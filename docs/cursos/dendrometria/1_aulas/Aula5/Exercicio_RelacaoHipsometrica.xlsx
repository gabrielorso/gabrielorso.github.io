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e0ac2bc10ec6c2/Florestal/UFMT/Disciplinas/3-Dendromeria/1-Aulas/5 - Relação Hipsométrica/"/>
    </mc:Choice>
  </mc:AlternateContent>
  <xr:revisionPtr revIDLastSave="258" documentId="8_{C83C2102-B983-480A-A1C8-F6AA66FE3480}" xr6:coauthVersionLast="47" xr6:coauthVersionMax="47" xr10:uidLastSave="{F3443FA1-0143-4B07-A56B-F737313A6EC0}"/>
  <bookViews>
    <workbookView xWindow="-108" yWindow="-108" windowWidth="23256" windowHeight="12456" xr2:uid="{DCB73687-AA38-4D5A-A96E-1315F9C5D40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/>
  <c r="O6" i="1"/>
  <c r="O7" i="1"/>
  <c r="O8" i="1"/>
  <c r="O9" i="1"/>
  <c r="O4" i="1"/>
  <c r="M22" i="1"/>
  <c r="D39" i="1"/>
  <c r="M20" i="1"/>
  <c r="M23" i="1" s="1"/>
  <c r="D38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19" i="1"/>
  <c r="E20" i="1"/>
  <c r="E21" i="1"/>
  <c r="E38" i="1" s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19" i="1"/>
  <c r="M19" i="1"/>
  <c r="M21" i="1" l="1"/>
  <c r="F38" i="1"/>
  <c r="E39" i="1"/>
  <c r="M25" i="1"/>
  <c r="H38" i="1"/>
  <c r="G38" i="1"/>
  <c r="I29" i="1" l="1"/>
  <c r="J29" i="1" s="1"/>
  <c r="I35" i="1"/>
  <c r="J35" i="1" s="1"/>
  <c r="I30" i="1"/>
  <c r="J30" i="1" s="1"/>
  <c r="I21" i="1"/>
  <c r="J21" i="1" s="1"/>
  <c r="I27" i="1"/>
  <c r="J27" i="1" s="1"/>
  <c r="I31" i="1"/>
  <c r="J31" i="1" s="1"/>
  <c r="I33" i="1"/>
  <c r="J33" i="1" s="1"/>
  <c r="I34" i="1"/>
  <c r="J34" i="1" s="1"/>
  <c r="I20" i="1"/>
  <c r="J20" i="1" s="1"/>
  <c r="I32" i="1"/>
  <c r="J32" i="1" s="1"/>
  <c r="I22" i="1"/>
  <c r="J22" i="1" s="1"/>
  <c r="I23" i="1"/>
  <c r="J23" i="1" s="1"/>
  <c r="I24" i="1"/>
  <c r="J24" i="1" s="1"/>
  <c r="I36" i="1"/>
  <c r="J36" i="1" s="1"/>
  <c r="I25" i="1"/>
  <c r="J25" i="1" s="1"/>
  <c r="I37" i="1"/>
  <c r="J37" i="1" s="1"/>
  <c r="I26" i="1"/>
  <c r="J26" i="1" s="1"/>
  <c r="I19" i="1"/>
  <c r="J19" i="1" s="1"/>
  <c r="I28" i="1"/>
  <c r="J28" i="1" s="1"/>
  <c r="M24" i="1"/>
  <c r="M26" i="1" l="1"/>
  <c r="M27" i="1" l="1"/>
</calcChain>
</file>

<file path=xl/sharedStrings.xml><?xml version="1.0" encoding="utf-8"?>
<sst xmlns="http://schemas.openxmlformats.org/spreadsheetml/2006/main" count="30" uniqueCount="22">
  <si>
    <t>n</t>
  </si>
  <si>
    <t>d</t>
  </si>
  <si>
    <t>h</t>
  </si>
  <si>
    <t>n=</t>
  </si>
  <si>
    <t>b1=</t>
  </si>
  <si>
    <t>x²</t>
  </si>
  <si>
    <t>y²</t>
  </si>
  <si>
    <t>xy</t>
  </si>
  <si>
    <t>Somas</t>
  </si>
  <si>
    <t>Médias</t>
  </si>
  <si>
    <t>b0=</t>
  </si>
  <si>
    <t>SQT=</t>
  </si>
  <si>
    <t>SQReg=</t>
  </si>
  <si>
    <t>SQRes=</t>
  </si>
  <si>
    <t>R²</t>
  </si>
  <si>
    <t>y=h</t>
  </si>
  <si>
    <t>x=1/d</t>
  </si>
  <si>
    <t>Syx=</t>
  </si>
  <si>
    <t>Syx%=</t>
  </si>
  <si>
    <t>Resíduos</t>
  </si>
  <si>
    <t>Estimados</t>
  </si>
  <si>
    <t>Alturas faltantes estimadas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</si>
</sst>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/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Resíduos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Planilha1!$I$19:$I$37</c:f>
              <c:numCache>
                <c:formatCode>General</c:formatCode>
                <c:ptCount val="19"/>
                <c:pt idx="0">
                  <c:v>17.003215508240856</c:v>
                </c:pt>
                <c:pt idx="1">
                  <c:v>18.141598397433988</c:v>
                </c:pt>
                <c:pt idx="2">
                  <c:v>17.637588944577086</c:v>
                </c:pt>
                <c:pt idx="3">
                  <c:v>16.065914496910899</c:v>
                </c:pt>
                <c:pt idx="4">
                  <c:v>15.032126616767565</c:v>
                </c:pt>
                <c:pt idx="5">
                  <c:v>15.473415174560094</c:v>
                </c:pt>
                <c:pt idx="6">
                  <c:v>14.631498793297386</c:v>
                </c:pt>
                <c:pt idx="7">
                  <c:v>16.588249425825424</c:v>
                </c:pt>
                <c:pt idx="8">
                  <c:v>17.148326346876928</c:v>
                </c:pt>
                <c:pt idx="9">
                  <c:v>15.032126616767565</c:v>
                </c:pt>
                <c:pt idx="10">
                  <c:v>16.642493358167314</c:v>
                </c:pt>
                <c:pt idx="11">
                  <c:v>15.679564573820835</c:v>
                </c:pt>
                <c:pt idx="12">
                  <c:v>18.965050461256524</c:v>
                </c:pt>
                <c:pt idx="13">
                  <c:v>17.052186660824045</c:v>
                </c:pt>
                <c:pt idx="14">
                  <c:v>15.876878998827548</c:v>
                </c:pt>
                <c:pt idx="15">
                  <c:v>18.282875312129274</c:v>
                </c:pt>
                <c:pt idx="16">
                  <c:v>15.679564573820835</c:v>
                </c:pt>
                <c:pt idx="17">
                  <c:v>13.82180887638923</c:v>
                </c:pt>
                <c:pt idx="18">
                  <c:v>17.195516863506541</c:v>
                </c:pt>
              </c:numCache>
            </c:numRef>
          </c:xVal>
          <c:yVal>
            <c:numRef>
              <c:f>Planilha1!$J$19:$J$37</c:f>
              <c:numCache>
                <c:formatCode>General</c:formatCode>
                <c:ptCount val="19"/>
                <c:pt idx="0">
                  <c:v>-0.87321550824085747</c:v>
                </c:pt>
                <c:pt idx="1">
                  <c:v>-0.38159839743398649</c:v>
                </c:pt>
                <c:pt idx="2">
                  <c:v>-0.25758894457708692</c:v>
                </c:pt>
                <c:pt idx="3">
                  <c:v>-6.5914496910899345E-2</c:v>
                </c:pt>
                <c:pt idx="4">
                  <c:v>-1.692126616767565</c:v>
                </c:pt>
                <c:pt idx="5">
                  <c:v>0.89658482543990736</c:v>
                </c:pt>
                <c:pt idx="6">
                  <c:v>1.088501206702615</c:v>
                </c:pt>
                <c:pt idx="7">
                  <c:v>0.79175057417457495</c:v>
                </c:pt>
                <c:pt idx="8">
                  <c:v>0.89167365312307112</c:v>
                </c:pt>
                <c:pt idx="9">
                  <c:v>-1.8321266167675656</c:v>
                </c:pt>
                <c:pt idx="10">
                  <c:v>-1.3424933581673137</c:v>
                </c:pt>
                <c:pt idx="11">
                  <c:v>0.82043542617916465</c:v>
                </c:pt>
                <c:pt idx="12">
                  <c:v>0.13494953874347715</c:v>
                </c:pt>
                <c:pt idx="13">
                  <c:v>1.1678133391759538</c:v>
                </c:pt>
                <c:pt idx="14">
                  <c:v>1.1231210011724517</c:v>
                </c:pt>
                <c:pt idx="15">
                  <c:v>-0.13287531212927561</c:v>
                </c:pt>
                <c:pt idx="16">
                  <c:v>3.0435426179165503E-2</c:v>
                </c:pt>
                <c:pt idx="17">
                  <c:v>0.1281911236107689</c:v>
                </c:pt>
                <c:pt idx="18">
                  <c:v>-0.49551686350654123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90-4476-9D87-BB8D2A40A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017360"/>
        <c:axId val="192017504"/>
      </c:scatterChart>
      <c:valAx>
        <c:axId val="104017360"/>
        <c:scaling>
          <c:orientation val="minMax"/>
          <c:min val="1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Altura Estimada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017504"/>
        <c:crosses val="autoZero"/>
        <c:crossBetween val="midCat"/>
      </c:valAx>
      <c:valAx>
        <c:axId val="19201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Resíduos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017360"/>
        <c:crossesAt val="-3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495300</xdr:colOff>
      <xdr:row>18</xdr:row>
      <xdr:rowOff>171450</xdr:rowOff>
    </xdr:from>
    <xdr:ext cx="4159408" cy="75937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8601EBB9-2877-4C3B-919C-55B151830FBE}"/>
                </a:ext>
              </a:extLst>
            </xdr:cNvPr>
            <xdr:cNvSpPr txBox="1"/>
          </xdr:nvSpPr>
          <xdr:spPr>
            <a:xfrm>
              <a:off x="8420100" y="3463290"/>
              <a:ext cx="4159408" cy="7593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pt-BR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pt-BR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𝑋𝑌</m:t>
                            </m:r>
                          </m:e>
                        </m:nary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 − </m:t>
                        </m:r>
                        <m:f>
                          <m:fPr>
                            <m:ctrlPr>
                              <a:rPr lang="pt-B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nary>
                              <m:naryPr>
                                <m:chr m:val="∑"/>
                                <m:subHide m:val="on"/>
                                <m:supHide m:val="on"/>
                                <m:ctrlPr>
                                  <a:rPr lang="pt-BR" sz="1100" b="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/>
                              <m:sup/>
                              <m:e>
                                <m:r>
                                  <a:rPr lang="pt-B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</m:nary>
                            <m:nary>
                              <m:naryPr>
                                <m:chr m:val="∑"/>
                                <m:subHide m:val="on"/>
                                <m:supHide m:val="on"/>
                                <m:ctrlPr>
                                  <a:rPr lang="pt-BR" sz="1100" b="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/>
                              <m:sup/>
                              <m:e>
                                <m:r>
                                  <a:rPr lang="pt-BR" sz="1100" b="0" i="1">
                                    <a:latin typeface="Cambria Math" panose="02040503050406030204" pitchFamily="18" charset="0"/>
                                  </a:rPr>
                                  <m:t>𝑌</m:t>
                                </m:r>
                              </m:e>
                            </m:nary>
                          </m:num>
                          <m:den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den>
                        </m:f>
                      </m:num>
                      <m:den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pt-BR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sSup>
                              <m:sSupPr>
                                <m:ctrlPr>
                                  <a:rPr lang="pt-B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pt-B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pt-B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nary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pt-B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p>
                              <m:sSupPr>
                                <m:ctrlPr>
                                  <a:rPr lang="pt-B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pt-B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nary>
                                      <m:naryPr>
                                        <m:chr m:val="∑"/>
                                        <m:subHide m:val="on"/>
                                        <m:supHide m:val="on"/>
                                        <m:ctrlPr>
                                          <a:rPr lang="pt-BR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naryPr>
                                      <m:sub/>
                                      <m:sup/>
                                      <m:e>
                                        <m:r>
                                          <a:rPr lang="pt-BR" sz="1100" b="0" i="1">
                                            <a:latin typeface="Cambria Math" panose="02040503050406030204" pitchFamily="18" charset="0"/>
                                          </a:rPr>
                                          <m:t>𝑋</m:t>
                                        </m:r>
                                      </m:e>
                                    </m:nary>
                                  </m:e>
                                </m:d>
                              </m:e>
                              <m:sup>
                                <m:r>
                                  <a:rPr lang="pt-B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num>
                          <m:den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den>
                        </m:f>
                      </m:den>
                    </m:f>
                    <m:r>
                      <a:rPr lang="pt-BR" sz="1100" b="0" i="1">
                        <a:latin typeface="Cambria Math" panose="02040503050406030204" pitchFamily="18" charset="0"/>
                      </a:rPr>
                      <m:t> = </m:t>
                    </m:r>
                    <m:f>
                      <m:f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20,6849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− </m:t>
                        </m:r>
                        <m:f>
                          <m:f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1,275579 . 311,95</m:t>
                            </m:r>
                          </m:num>
                          <m:den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19</m:t>
                            </m:r>
                          </m:den>
                        </m:f>
                      </m:num>
                      <m:den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0,087683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  <m:f>
                          <m:f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1,275579</m:t>
                                    </m:r>
                                  </m:e>
                                </m:d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</m:num>
                          <m:den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19</m:t>
                            </m:r>
                          </m:den>
                        </m:f>
                      </m:den>
                    </m:f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=−126,15</m:t>
                    </m:r>
                  </m:oMath>
                </m:oMathPara>
              </a14:m>
              <a:endParaRPr lang="pt-BR">
                <a:effectLst/>
              </a:endParaRPr>
            </a:p>
            <a:p>
              <a:endParaRPr lang="pt-BR" sz="1100"/>
            </a:p>
          </xdr:txBody>
        </xdr:sp>
      </mc:Choice>
      <mc:Fallback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8601EBB9-2877-4C3B-919C-55B151830FBE}"/>
                </a:ext>
              </a:extLst>
            </xdr:cNvPr>
            <xdr:cNvSpPr txBox="1"/>
          </xdr:nvSpPr>
          <xdr:spPr>
            <a:xfrm>
              <a:off x="8420100" y="3463290"/>
              <a:ext cx="4159408" cy="7593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pt-BR" sz="1100" b="0" i="0">
                  <a:latin typeface="Cambria Math" panose="02040503050406030204" pitchFamily="18" charset="0"/>
                </a:rPr>
                <a:t>𝑏_1=  (∑▒𝑋𝑌  − (∑▒𝑋 ∑▒𝑌)/𝑛)/(∑▒𝑋^2 −(∑▒𝑋)^2/𝑛)  = 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20,6849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− (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1,275579 . 311,95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)/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19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)/(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0,087683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−(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1,275579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)^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19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  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=−126,15</a:t>
              </a:r>
              <a:endParaRPr lang="pt-BR">
                <a:effectLst/>
              </a:endParaRPr>
            </a:p>
            <a:p>
              <a:endParaRPr lang="pt-BR" sz="1100"/>
            </a:p>
          </xdr:txBody>
        </xdr:sp>
      </mc:Fallback>
    </mc:AlternateContent>
    <xdr:clientData/>
  </xdr:oneCellAnchor>
  <xdr:oneCellAnchor>
    <xdr:from>
      <xdr:col>13</xdr:col>
      <xdr:colOff>472440</xdr:colOff>
      <xdr:row>23</xdr:row>
      <xdr:rowOff>3810</xdr:rowOff>
    </xdr:from>
    <xdr:ext cx="3880999" cy="18671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0819A7F2-0A54-CD15-D6F2-4E1E8CADE4EC}"/>
                </a:ext>
              </a:extLst>
            </xdr:cNvPr>
            <xdr:cNvSpPr txBox="1"/>
          </xdr:nvSpPr>
          <xdr:spPr>
            <a:xfrm>
              <a:off x="8397240" y="4210050"/>
              <a:ext cx="3880999" cy="1867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acc>
                      <m:accPr>
                        <m:chr m:val="̅"/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  <m:r>
                      <a:rPr lang="pt-BR" sz="1100" b="0" i="1">
                        <a:latin typeface="Cambria Math" panose="02040503050406030204" pitchFamily="18" charset="0"/>
                      </a:rPr>
                      <m:t> −</m:t>
                    </m:r>
                    <m:sSub>
                      <m:sSub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pt-BR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𝑏</m:t>
                            </m:r>
                          </m:e>
                        </m:acc>
                      </m:e>
                      <m:sub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pt-BR" sz="1100" b="0" i="1">
                        <a:latin typeface="Cambria Math" panose="02040503050406030204" pitchFamily="18" charset="0"/>
                      </a:rPr>
                      <m:t>. </m:t>
                    </m:r>
                    <m:acc>
                      <m:accPr>
                        <m:chr m:val="̅"/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r>
                      <a:rPr lang="pt-BR" sz="1100" b="0" i="1">
                        <a:latin typeface="Cambria Math" panose="02040503050406030204" pitchFamily="18" charset="0"/>
                      </a:rPr>
                      <m:t>=16,41842 −</m:t>
                    </m:r>
                    <m:d>
                      <m:d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−126,15</m:t>
                        </m:r>
                      </m:e>
                    </m:d>
                    <m:r>
                      <a:rPr lang="pt-BR" sz="1100" b="0" i="1">
                        <a:latin typeface="Cambria Math" panose="02040503050406030204" pitchFamily="18" charset="0"/>
                      </a:rPr>
                      <m:t>.0,067136=24,88757</m:t>
                    </m:r>
                  </m:oMath>
                </m:oMathPara>
              </a14:m>
              <a:endParaRPr lang="pt-BR" sz="1100"/>
            </a:p>
          </xdr:txBody>
        </xdr:sp>
      </mc:Choice>
      <mc:Fallback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0819A7F2-0A54-CD15-D6F2-4E1E8CADE4EC}"/>
                </a:ext>
              </a:extLst>
            </xdr:cNvPr>
            <xdr:cNvSpPr txBox="1"/>
          </xdr:nvSpPr>
          <xdr:spPr>
            <a:xfrm>
              <a:off x="8397240" y="4210050"/>
              <a:ext cx="3880999" cy="1867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𝑏_0=𝑦 ̅  −𝑏 ̂_1. 𝑥 ̅=16,41842 −(−126,15).0,067136=24,88757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13</xdr:col>
      <xdr:colOff>601980</xdr:colOff>
      <xdr:row>25</xdr:row>
      <xdr:rowOff>11430</xdr:rowOff>
    </xdr:from>
    <xdr:ext cx="3863943" cy="42838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709426F2-4713-2B0E-DFD1-EC06362D456A}"/>
                </a:ext>
              </a:extLst>
            </xdr:cNvPr>
            <xdr:cNvSpPr txBox="1"/>
          </xdr:nvSpPr>
          <xdr:spPr>
            <a:xfrm>
              <a:off x="8526780" y="4583430"/>
              <a:ext cx="3863943" cy="4283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𝑆𝑄𝑇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 </m:t>
                    </m:r>
                    <m:nary>
                      <m:naryPr>
                        <m:chr m:val="∑"/>
                        <m:subHide m:val="on"/>
                        <m:supHide m:val="on"/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naryPr>
                      <m:sub/>
                      <m:sup/>
                      <m:e>
                        <m:sSup>
                          <m:sSup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𝑌</m:t>
                            </m:r>
                          </m:e>
                          <m: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− </m:t>
                    </m:r>
                    <m:f>
                      <m:f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nary>
                                  <m:naryPr>
                                    <m:chr m:val="∑"/>
                                    <m:subHide m:val="on"/>
                                    <m:supHide m:val="on"/>
                                    <m:ctrlP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naryPr>
                                  <m:sub/>
                                  <m:sup/>
                                  <m:e>
                                    <m: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𝑌</m:t>
                                    </m:r>
                                  </m:e>
                                </m:nary>
                              </m:e>
                            </m:d>
                          </m:e>
                          <m: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𝑛</m:t>
                        </m:r>
                      </m:den>
                    </m:f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=5170,293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− </m:t>
                    </m:r>
                    <m:f>
                      <m:f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311,95</m:t>
                                </m:r>
                              </m:e>
                            </m:d>
                          </m:e>
                          <m: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19</m:t>
                        </m:r>
                      </m:den>
                    </m:f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=48,56685 </m:t>
                    </m:r>
                  </m:oMath>
                </m:oMathPara>
              </a14:m>
              <a:endParaRPr lang="pt-BR" sz="1100"/>
            </a:p>
          </xdr:txBody>
        </xdr:sp>
      </mc:Choice>
      <mc:Fallback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709426F2-4713-2B0E-DFD1-EC06362D456A}"/>
                </a:ext>
              </a:extLst>
            </xdr:cNvPr>
            <xdr:cNvSpPr txBox="1"/>
          </xdr:nvSpPr>
          <xdr:spPr>
            <a:xfrm>
              <a:off x="8526780" y="4583430"/>
              <a:ext cx="3863943" cy="4283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𝑆𝑄𝑇= 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∑▒𝑌^2   −  (∑▒𝑌)^2/𝑛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=5170,293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−  (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311,95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)^2/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19=48,56685 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13</xdr:col>
      <xdr:colOff>533400</xdr:colOff>
      <xdr:row>28</xdr:row>
      <xdr:rowOff>87630</xdr:rowOff>
    </xdr:from>
    <xdr:ext cx="5553250" cy="44916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CaixaDeTexto 5">
              <a:extLst>
                <a:ext uri="{FF2B5EF4-FFF2-40B4-BE49-F238E27FC236}">
                  <a16:creationId xmlns:a16="http://schemas.microsoft.com/office/drawing/2014/main" id="{0379D134-2EB9-472E-5A29-359DDE49DFD9}"/>
                </a:ext>
              </a:extLst>
            </xdr:cNvPr>
            <xdr:cNvSpPr txBox="1"/>
          </xdr:nvSpPr>
          <xdr:spPr>
            <a:xfrm>
              <a:off x="8458200" y="5208270"/>
              <a:ext cx="5553250" cy="4491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𝑆𝑄𝑅𝑒𝑔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</m:acc>
                      </m:e>
                      <m:sub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d>
                      <m:d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naryPr>
                          <m:sub/>
                          <m:sup/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𝑋𝑌</m:t>
                            </m:r>
                          </m:e>
                        </m:nary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− </m:t>
                        </m:r>
                        <m:f>
                          <m:f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nary>
                              <m:naryPr>
                                <m:chr m:val="∑"/>
                                <m:subHide m:val="on"/>
                                <m:supHide m:val="on"/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naryPr>
                              <m:sub/>
                              <m:sup/>
                              <m:e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</m:nary>
                            <m:nary>
                              <m:naryPr>
                                <m:chr m:val="∑"/>
                                <m:subHide m:val="on"/>
                                <m:supHide m:val="on"/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naryPr>
                              <m:sub/>
                              <m:sup/>
                              <m:e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𝑌</m:t>
                                </m:r>
                              </m:e>
                            </m:nary>
                          </m:num>
                          <m:den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𝑛</m:t>
                            </m:r>
                          </m:den>
                        </m:f>
                      </m:e>
                    </m:d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=−126,15 </m:t>
                    </m:r>
                    <m:d>
                      <m:d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20,6849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− </m:t>
                        </m:r>
                        <m:f>
                          <m:f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1,275579 . 311,95</m:t>
                            </m:r>
                          </m:num>
                          <m:den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19</m:t>
                            </m:r>
                          </m:den>
                        </m:f>
                      </m:e>
                    </m:d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=32,55805 </m:t>
                    </m:r>
                  </m:oMath>
                </m:oMathPara>
              </a14:m>
              <a:endParaRPr lang="pt-BR" sz="1100"/>
            </a:p>
          </xdr:txBody>
        </xdr:sp>
      </mc:Choice>
      <mc:Fallback>
        <xdr:sp macro="" textlink="">
          <xdr:nvSpPr>
            <xdr:cNvPr id="6" name="CaixaDeTexto 5">
              <a:extLst>
                <a:ext uri="{FF2B5EF4-FFF2-40B4-BE49-F238E27FC236}">
                  <a16:creationId xmlns:a16="http://schemas.microsoft.com/office/drawing/2014/main" id="{0379D134-2EB9-472E-5A29-359DDE49DFD9}"/>
                </a:ext>
              </a:extLst>
            </xdr:cNvPr>
            <xdr:cNvSpPr txBox="1"/>
          </xdr:nvSpPr>
          <xdr:spPr>
            <a:xfrm>
              <a:off x="8458200" y="5208270"/>
              <a:ext cx="5553250" cy="4491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𝑆𝑄𝑅𝑒𝑔=𝑏 ̂_1 (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∑▒𝑋𝑌  − (∑▒𝑋 ∑▒𝑌)/𝑛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)=−126,15 (20,6849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− (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1,275579 . 311,95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)/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19)=32,55805 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14</xdr:col>
      <xdr:colOff>30480</xdr:colOff>
      <xdr:row>31</xdr:row>
      <xdr:rowOff>140970</xdr:rowOff>
    </xdr:from>
    <xdr:ext cx="2368982" cy="34669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CaixaDeTexto 6">
              <a:extLst>
                <a:ext uri="{FF2B5EF4-FFF2-40B4-BE49-F238E27FC236}">
                  <a16:creationId xmlns:a16="http://schemas.microsoft.com/office/drawing/2014/main" id="{E5F640B8-E43E-2E2A-350F-4E48E80C03DC}"/>
                </a:ext>
              </a:extLst>
            </xdr:cNvPr>
            <xdr:cNvSpPr txBox="1"/>
          </xdr:nvSpPr>
          <xdr:spPr>
            <a:xfrm>
              <a:off x="8564880" y="5810250"/>
              <a:ext cx="2368982" cy="3466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p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pt-BR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𝑆𝑄𝑅𝑒𝑔</m:t>
                        </m:r>
                      </m:num>
                      <m:den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𝑆𝑄𝑇</m:t>
                        </m:r>
                      </m:den>
                    </m:f>
                    <m:r>
                      <a:rPr lang="pt-BR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32,55805</m:t>
                        </m:r>
                      </m:num>
                      <m:den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48,56685</m:t>
                        </m:r>
                      </m:den>
                    </m:f>
                    <m:r>
                      <a:rPr lang="pt-BR" sz="1100" b="0" i="1">
                        <a:latin typeface="Cambria Math" panose="02040503050406030204" pitchFamily="18" charset="0"/>
                      </a:rPr>
                      <m:t>=0,966483</m:t>
                    </m:r>
                  </m:oMath>
                </m:oMathPara>
              </a14:m>
              <a:endParaRPr lang="pt-BR" sz="1100"/>
            </a:p>
          </xdr:txBody>
        </xdr:sp>
      </mc:Choice>
      <mc:Fallback>
        <xdr:sp macro="" textlink="">
          <xdr:nvSpPr>
            <xdr:cNvPr id="7" name="CaixaDeTexto 6">
              <a:extLst>
                <a:ext uri="{FF2B5EF4-FFF2-40B4-BE49-F238E27FC236}">
                  <a16:creationId xmlns:a16="http://schemas.microsoft.com/office/drawing/2014/main" id="{E5F640B8-E43E-2E2A-350F-4E48E80C03DC}"/>
                </a:ext>
              </a:extLst>
            </xdr:cNvPr>
            <xdr:cNvSpPr txBox="1"/>
          </xdr:nvSpPr>
          <xdr:spPr>
            <a:xfrm>
              <a:off x="8564880" y="5810250"/>
              <a:ext cx="2368982" cy="3466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𝑅^2=  𝑆𝑄𝑅𝑒𝑔/𝑆𝑄𝑇=  32,55805/48,56685=0,966483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13</xdr:col>
      <xdr:colOff>510540</xdr:colOff>
      <xdr:row>35</xdr:row>
      <xdr:rowOff>19050</xdr:rowOff>
    </xdr:from>
    <xdr:ext cx="2529539" cy="5143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CaixaDeTexto 7">
              <a:extLst>
                <a:ext uri="{FF2B5EF4-FFF2-40B4-BE49-F238E27FC236}">
                  <a16:creationId xmlns:a16="http://schemas.microsoft.com/office/drawing/2014/main" id="{D4B6AE10-AF9C-49C9-3B17-26007A8AC4FD}"/>
                </a:ext>
              </a:extLst>
            </xdr:cNvPr>
            <xdr:cNvSpPr txBox="1"/>
          </xdr:nvSpPr>
          <xdr:spPr>
            <a:xfrm>
              <a:off x="8435340" y="6419850"/>
              <a:ext cx="2529539" cy="5143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𝑦𝑥</m:t>
                        </m:r>
                      </m:sub>
                    </m:sSub>
                    <m:r>
                      <a:rPr lang="pt-BR" sz="1100" b="0" i="1">
                        <a:latin typeface="Cambria Math" panose="02040503050406030204" pitchFamily="18" charset="0"/>
                      </a:rPr>
                      <m:t>= </m:t>
                    </m:r>
                    <m:rad>
                      <m:radPr>
                        <m:degHide m:val="on"/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pt-B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𝑆𝑄𝑅𝑒𝑠</m:t>
                            </m:r>
                          </m:num>
                          <m:den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den>
                        </m:f>
                      </m:e>
                    </m:rad>
                    <m:r>
                      <a:rPr lang="pt-BR" sz="1100" b="0" i="1">
                        <a:latin typeface="Cambria Math" panose="02040503050406030204" pitchFamily="18" charset="0"/>
                      </a:rPr>
                      <m:t>= </m:t>
                    </m:r>
                    <m:rad>
                      <m:radPr>
                        <m:degHide m:val="on"/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pt-B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16,0088</m:t>
                            </m:r>
                          </m:num>
                          <m:den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19−2</m:t>
                            </m:r>
                          </m:den>
                        </m:f>
                      </m:e>
                    </m:rad>
                    <m:r>
                      <a:rPr lang="pt-BR" sz="1100" b="0" i="1">
                        <a:latin typeface="Cambria Math" panose="02040503050406030204" pitchFamily="18" charset="0"/>
                      </a:rPr>
                      <m:t>=0,970409</m:t>
                    </m:r>
                  </m:oMath>
                </m:oMathPara>
              </a14:m>
              <a:endParaRPr lang="pt-BR" sz="1100"/>
            </a:p>
          </xdr:txBody>
        </xdr:sp>
      </mc:Choice>
      <mc:Fallback>
        <xdr:sp macro="" textlink="">
          <xdr:nvSpPr>
            <xdr:cNvPr id="8" name="CaixaDeTexto 7">
              <a:extLst>
                <a:ext uri="{FF2B5EF4-FFF2-40B4-BE49-F238E27FC236}">
                  <a16:creationId xmlns:a16="http://schemas.microsoft.com/office/drawing/2014/main" id="{D4B6AE10-AF9C-49C9-3B17-26007A8AC4FD}"/>
                </a:ext>
              </a:extLst>
            </xdr:cNvPr>
            <xdr:cNvSpPr txBox="1"/>
          </xdr:nvSpPr>
          <xdr:spPr>
            <a:xfrm>
              <a:off x="8435340" y="6419850"/>
              <a:ext cx="2529539" cy="5143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𝑆_𝑦𝑥= √(𝑆𝑄𝑅𝑒𝑠/(𝑛−𝑝))= √(16,0088/(19−2))=0,970409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14</xdr:col>
      <xdr:colOff>0</xdr:colOff>
      <xdr:row>39</xdr:row>
      <xdr:rowOff>0</xdr:rowOff>
    </xdr:from>
    <xdr:ext cx="3068597" cy="34047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CaixaDeTexto 8">
              <a:extLst>
                <a:ext uri="{FF2B5EF4-FFF2-40B4-BE49-F238E27FC236}">
                  <a16:creationId xmlns:a16="http://schemas.microsoft.com/office/drawing/2014/main" id="{82F5DE2D-0489-4085-8631-A55C4D56694E}"/>
                </a:ext>
              </a:extLst>
            </xdr:cNvPr>
            <xdr:cNvSpPr txBox="1"/>
          </xdr:nvSpPr>
          <xdr:spPr>
            <a:xfrm>
              <a:off x="8534400" y="7132320"/>
              <a:ext cx="3068597" cy="3404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𝑦𝑥</m:t>
                        </m:r>
                      </m:sub>
                    </m:sSub>
                    <m:r>
                      <a:rPr lang="pt-BR" sz="1100" b="0" i="1">
                        <a:latin typeface="Cambria Math" panose="02040503050406030204" pitchFamily="18" charset="0"/>
                      </a:rPr>
                      <m:t>%= </m:t>
                    </m:r>
                    <m:f>
                      <m:f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pt-B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𝑦𝑥</m:t>
                            </m:r>
                          </m:sub>
                        </m:sSub>
                      </m:num>
                      <m:den>
                        <m:acc>
                          <m:accPr>
                            <m:chr m:val="̅"/>
                            <m:ctrlPr>
                              <a:rPr lang="pt-BR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</m:acc>
                      </m:den>
                    </m:f>
                    <m:r>
                      <a:rPr lang="pt-BR" sz="1100" b="0" i="1">
                        <a:latin typeface="Cambria Math" panose="02040503050406030204" pitchFamily="18" charset="0"/>
                      </a:rPr>
                      <m:t>.100= </m:t>
                    </m:r>
                    <m:f>
                      <m:f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0,970409</m:t>
                        </m:r>
                      </m:num>
                      <m:den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16,41842</m:t>
                        </m:r>
                      </m:den>
                    </m:f>
                    <m:r>
                      <a:rPr lang="pt-BR" sz="1100" b="0" i="1">
                        <a:latin typeface="Cambria Math" panose="02040503050406030204" pitchFamily="18" charset="0"/>
                      </a:rPr>
                      <m:t>.100=5,910492%</m:t>
                    </m:r>
                  </m:oMath>
                </m:oMathPara>
              </a14:m>
              <a:endParaRPr lang="pt-BR" sz="1100"/>
            </a:p>
          </xdr:txBody>
        </xdr:sp>
      </mc:Choice>
      <mc:Fallback>
        <xdr:sp macro="" textlink="">
          <xdr:nvSpPr>
            <xdr:cNvPr id="9" name="CaixaDeTexto 8">
              <a:extLst>
                <a:ext uri="{FF2B5EF4-FFF2-40B4-BE49-F238E27FC236}">
                  <a16:creationId xmlns:a16="http://schemas.microsoft.com/office/drawing/2014/main" id="{82F5DE2D-0489-4085-8631-A55C4D56694E}"/>
                </a:ext>
              </a:extLst>
            </xdr:cNvPr>
            <xdr:cNvSpPr txBox="1"/>
          </xdr:nvSpPr>
          <xdr:spPr>
            <a:xfrm>
              <a:off x="8534400" y="7132320"/>
              <a:ext cx="3068597" cy="3404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𝑆_𝑦𝑥%=  𝑆_𝑦𝑥/𝑌 ̅ .100=  0,970409/16,41842.100=5,910492%</a:t>
              </a:r>
              <a:endParaRPr lang="pt-BR" sz="1100"/>
            </a:p>
          </xdr:txBody>
        </xdr:sp>
      </mc:Fallback>
    </mc:AlternateContent>
    <xdr:clientData/>
  </xdr:oneCellAnchor>
  <xdr:twoCellAnchor>
    <xdr:from>
      <xdr:col>1</xdr:col>
      <xdr:colOff>0</xdr:colOff>
      <xdr:row>42</xdr:row>
      <xdr:rowOff>3810</xdr:rowOff>
    </xdr:from>
    <xdr:to>
      <xdr:col>8</xdr:col>
      <xdr:colOff>304800</xdr:colOff>
      <xdr:row>57</xdr:row>
      <xdr:rowOff>3810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2E9E6D5-DCFB-DC99-4720-A1B88A9AE7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480F3-1676-4D45-9DB0-ED5CF9E104B5}">
  <dimension ref="B2:O39"/>
  <sheetViews>
    <sheetView showGridLines="0" tabSelected="1" topLeftCell="A12" workbookViewId="0">
      <selection activeCell="L15" sqref="L15"/>
    </sheetView>
  </sheetViews>
  <sheetFormatPr defaultRowHeight="14.4" x14ac:dyDescent="0.3"/>
  <sheetData>
    <row r="2" spans="2:15" x14ac:dyDescent="0.3">
      <c r="B2" s="4" t="s">
        <v>0</v>
      </c>
      <c r="C2" s="4" t="s">
        <v>1</v>
      </c>
      <c r="D2" s="5" t="s">
        <v>2</v>
      </c>
      <c r="E2" s="4" t="s">
        <v>0</v>
      </c>
      <c r="F2" s="4" t="s">
        <v>1</v>
      </c>
      <c r="G2" s="4" t="s">
        <v>2</v>
      </c>
      <c r="M2" t="s">
        <v>21</v>
      </c>
    </row>
    <row r="3" spans="2:15" x14ac:dyDescent="0.3">
      <c r="B3">
        <v>1</v>
      </c>
      <c r="C3">
        <v>23.1</v>
      </c>
      <c r="D3" s="2"/>
      <c r="E3">
        <v>14</v>
      </c>
      <c r="F3">
        <v>15.3</v>
      </c>
      <c r="G3">
        <v>15.3</v>
      </c>
      <c r="M3" s="10" t="s">
        <v>0</v>
      </c>
      <c r="N3" s="4" t="s">
        <v>1</v>
      </c>
      <c r="O3" s="5" t="s">
        <v>2</v>
      </c>
    </row>
    <row r="4" spans="2:15" x14ac:dyDescent="0.3">
      <c r="B4">
        <v>2</v>
      </c>
      <c r="C4">
        <v>16</v>
      </c>
      <c r="D4" s="2">
        <v>16.13</v>
      </c>
      <c r="E4">
        <v>15</v>
      </c>
      <c r="F4">
        <v>14.5</v>
      </c>
      <c r="M4" s="12">
        <v>1</v>
      </c>
      <c r="N4" s="9">
        <v>23.1</v>
      </c>
      <c r="O4" s="15">
        <f>$M$21+$M$20*(1/N4)</f>
        <v>19.426545573948278</v>
      </c>
    </row>
    <row r="5" spans="2:15" x14ac:dyDescent="0.3">
      <c r="B5">
        <v>3</v>
      </c>
      <c r="C5">
        <v>18.7</v>
      </c>
      <c r="D5" s="2">
        <v>17.760000000000002</v>
      </c>
      <c r="E5">
        <v>16</v>
      </c>
      <c r="F5">
        <v>13.7</v>
      </c>
      <c r="G5">
        <v>16.5</v>
      </c>
      <c r="M5" s="12">
        <v>5</v>
      </c>
      <c r="N5" s="9">
        <v>16.7</v>
      </c>
      <c r="O5" s="15">
        <f t="shared" ref="O5:O9" si="0">$M$21+$M$20*(1/N5)</f>
        <v>17.333697478068714</v>
      </c>
    </row>
    <row r="6" spans="2:15" x14ac:dyDescent="0.3">
      <c r="B6">
        <v>4</v>
      </c>
      <c r="C6">
        <v>17.399999999999999</v>
      </c>
      <c r="D6" s="2">
        <v>17.38</v>
      </c>
      <c r="E6">
        <v>17</v>
      </c>
      <c r="F6">
        <v>21.3</v>
      </c>
      <c r="G6">
        <v>19.100000000000001</v>
      </c>
      <c r="M6" s="12">
        <v>9</v>
      </c>
      <c r="N6" s="9">
        <v>14.8</v>
      </c>
      <c r="O6" s="15">
        <f t="shared" si="0"/>
        <v>16.363943435330601</v>
      </c>
    </row>
    <row r="7" spans="2:15" x14ac:dyDescent="0.3">
      <c r="B7">
        <v>5</v>
      </c>
      <c r="C7">
        <v>16.7</v>
      </c>
      <c r="D7" s="2"/>
      <c r="E7">
        <v>18</v>
      </c>
      <c r="F7">
        <v>16.100000000000001</v>
      </c>
      <c r="G7">
        <v>18.22</v>
      </c>
      <c r="M7" s="12">
        <v>15</v>
      </c>
      <c r="N7" s="9">
        <v>14.5</v>
      </c>
      <c r="O7" s="15">
        <f t="shared" si="0"/>
        <v>16.187592518665703</v>
      </c>
    </row>
    <row r="8" spans="2:15" x14ac:dyDescent="0.3">
      <c r="B8">
        <v>6</v>
      </c>
      <c r="C8">
        <v>14.3</v>
      </c>
      <c r="D8" s="2">
        <v>16</v>
      </c>
      <c r="E8">
        <v>19</v>
      </c>
      <c r="F8">
        <v>14</v>
      </c>
      <c r="G8">
        <v>17</v>
      </c>
      <c r="M8" s="12">
        <v>20</v>
      </c>
      <c r="N8" s="9">
        <v>18.399999999999999</v>
      </c>
      <c r="O8" s="15">
        <f t="shared" si="0"/>
        <v>18.031609712487789</v>
      </c>
    </row>
    <row r="9" spans="2:15" x14ac:dyDescent="0.3">
      <c r="B9">
        <v>7</v>
      </c>
      <c r="C9">
        <v>12.8</v>
      </c>
      <c r="D9" s="2">
        <v>13.34</v>
      </c>
      <c r="E9">
        <v>20</v>
      </c>
      <c r="F9">
        <v>18.399999999999999</v>
      </c>
      <c r="M9" s="14">
        <v>24</v>
      </c>
      <c r="N9" s="7">
        <v>10.6</v>
      </c>
      <c r="O9" s="16">
        <f t="shared" si="0"/>
        <v>12.986657012408489</v>
      </c>
    </row>
    <row r="10" spans="2:15" x14ac:dyDescent="0.3">
      <c r="B10">
        <v>8</v>
      </c>
      <c r="C10">
        <v>13.4</v>
      </c>
      <c r="D10" s="2">
        <v>16.37</v>
      </c>
      <c r="E10">
        <v>21</v>
      </c>
      <c r="F10">
        <v>19.100000000000001</v>
      </c>
      <c r="G10">
        <v>18.149999999999999</v>
      </c>
    </row>
    <row r="11" spans="2:15" x14ac:dyDescent="0.3">
      <c r="B11">
        <v>9</v>
      </c>
      <c r="C11">
        <v>14.8</v>
      </c>
      <c r="D11" s="2"/>
      <c r="E11">
        <v>22</v>
      </c>
      <c r="F11">
        <v>13.7</v>
      </c>
      <c r="G11">
        <v>15.71</v>
      </c>
    </row>
    <row r="12" spans="2:15" x14ac:dyDescent="0.3">
      <c r="B12">
        <v>10</v>
      </c>
      <c r="C12">
        <v>12.3</v>
      </c>
      <c r="D12" s="2">
        <v>15.72</v>
      </c>
      <c r="E12">
        <v>23</v>
      </c>
      <c r="F12">
        <v>11.4</v>
      </c>
      <c r="G12">
        <v>13.95</v>
      </c>
    </row>
    <row r="13" spans="2:15" x14ac:dyDescent="0.3">
      <c r="B13">
        <v>11</v>
      </c>
      <c r="C13">
        <v>15.2</v>
      </c>
      <c r="D13" s="2">
        <v>17.38</v>
      </c>
      <c r="E13">
        <v>24</v>
      </c>
      <c r="F13">
        <v>10.6</v>
      </c>
    </row>
    <row r="14" spans="2:15" x14ac:dyDescent="0.3">
      <c r="B14">
        <v>12</v>
      </c>
      <c r="C14">
        <v>16.3</v>
      </c>
      <c r="D14" s="2">
        <v>18.04</v>
      </c>
      <c r="E14">
        <v>25</v>
      </c>
      <c r="F14">
        <v>16.399999999999999</v>
      </c>
      <c r="G14">
        <v>16.7</v>
      </c>
    </row>
    <row r="15" spans="2:15" x14ac:dyDescent="0.3">
      <c r="B15" s="1">
        <v>13</v>
      </c>
      <c r="C15" s="1">
        <v>12.8</v>
      </c>
      <c r="D15" s="3">
        <v>13.2</v>
      </c>
      <c r="E15" s="1"/>
      <c r="F15" s="1"/>
      <c r="G15" s="1"/>
    </row>
    <row r="18" spans="2:13" x14ac:dyDescent="0.3">
      <c r="B18" s="10" t="s">
        <v>0</v>
      </c>
      <c r="C18" s="4" t="s">
        <v>1</v>
      </c>
      <c r="D18" s="4" t="s">
        <v>15</v>
      </c>
      <c r="E18" s="4" t="s">
        <v>16</v>
      </c>
      <c r="F18" s="6" t="s">
        <v>5</v>
      </c>
      <c r="G18" s="6" t="s">
        <v>6</v>
      </c>
      <c r="H18" s="6" t="s">
        <v>7</v>
      </c>
      <c r="I18" s="6" t="s">
        <v>20</v>
      </c>
      <c r="J18" s="11" t="s">
        <v>19</v>
      </c>
    </row>
    <row r="19" spans="2:13" x14ac:dyDescent="0.3">
      <c r="B19" s="12">
        <v>2</v>
      </c>
      <c r="C19" s="9">
        <v>16</v>
      </c>
      <c r="D19" s="9">
        <v>16.13</v>
      </c>
      <c r="E19" s="9">
        <f>1/C19</f>
        <v>6.25E-2</v>
      </c>
      <c r="F19" s="9">
        <f>E19^2</f>
        <v>3.90625E-3</v>
      </c>
      <c r="G19" s="9">
        <f>D19^2</f>
        <v>260.17689999999999</v>
      </c>
      <c r="H19" s="9">
        <f>E19*D19</f>
        <v>1.0081249999999999</v>
      </c>
      <c r="I19" s="13">
        <f>$M$21+$M$20*E19</f>
        <v>17.003215508240856</v>
      </c>
      <c r="J19" s="2">
        <f>D19-I19</f>
        <v>-0.87321550824085747</v>
      </c>
      <c r="L19" t="s">
        <v>3</v>
      </c>
      <c r="M19">
        <f>COUNT(B19:B37)</f>
        <v>19</v>
      </c>
    </row>
    <row r="20" spans="2:13" x14ac:dyDescent="0.3">
      <c r="B20" s="12">
        <v>3</v>
      </c>
      <c r="C20" s="9">
        <v>18.7</v>
      </c>
      <c r="D20" s="9">
        <v>17.760000000000002</v>
      </c>
      <c r="E20" s="9">
        <f t="shared" ref="E20:E37" si="1">1/C20</f>
        <v>5.3475935828877004E-2</v>
      </c>
      <c r="F20" s="9">
        <f t="shared" ref="F20:F37" si="2">E20^2</f>
        <v>2.8596757127741712E-3</v>
      </c>
      <c r="G20" s="9">
        <f t="shared" ref="G20:G37" si="3">D20^2</f>
        <v>315.41760000000005</v>
      </c>
      <c r="H20" s="9">
        <f t="shared" ref="H20:H37" si="4">E20*D20</f>
        <v>0.9497326203208557</v>
      </c>
      <c r="I20" s="13">
        <f>$M$21+$M$20*E20</f>
        <v>18.141598397433988</v>
      </c>
      <c r="J20" s="2">
        <f t="shared" ref="J20:J37" si="5">D20-I20</f>
        <v>-0.38159839743398649</v>
      </c>
      <c r="L20" t="s">
        <v>4</v>
      </c>
      <c r="M20">
        <f>(H38-(E38*D38)/M19)/(F38-(E38^2)/M19)</f>
        <v>-126.14968905429056</v>
      </c>
    </row>
    <row r="21" spans="2:13" x14ac:dyDescent="0.3">
      <c r="B21" s="12">
        <v>4</v>
      </c>
      <c r="C21" s="9">
        <v>17.399999999999999</v>
      </c>
      <c r="D21" s="9">
        <v>17.38</v>
      </c>
      <c r="E21" s="9">
        <f t="shared" si="1"/>
        <v>5.7471264367816098E-2</v>
      </c>
      <c r="F21" s="9">
        <f t="shared" si="2"/>
        <v>3.3029462280354084E-3</v>
      </c>
      <c r="G21" s="9">
        <f t="shared" si="3"/>
        <v>302.06439999999998</v>
      </c>
      <c r="H21" s="9">
        <f t="shared" si="4"/>
        <v>0.99885057471264371</v>
      </c>
      <c r="I21" s="13">
        <f>$M$21+$M$20*E21</f>
        <v>17.637588944577086</v>
      </c>
      <c r="J21" s="2">
        <f t="shared" si="5"/>
        <v>-0.25758894457708692</v>
      </c>
      <c r="L21" t="s">
        <v>10</v>
      </c>
      <c r="M21">
        <f>D39-M20*E39</f>
        <v>24.887571074134016</v>
      </c>
    </row>
    <row r="22" spans="2:13" x14ac:dyDescent="0.3">
      <c r="B22" s="12">
        <v>6</v>
      </c>
      <c r="C22" s="9">
        <v>14.3</v>
      </c>
      <c r="D22" s="9">
        <v>16</v>
      </c>
      <c r="E22" s="9">
        <f t="shared" si="1"/>
        <v>6.9930069930069921E-2</v>
      </c>
      <c r="F22" s="9">
        <f t="shared" si="2"/>
        <v>4.8902146804244697E-3</v>
      </c>
      <c r="G22" s="9">
        <f t="shared" si="3"/>
        <v>256</v>
      </c>
      <c r="H22" s="9">
        <f t="shared" si="4"/>
        <v>1.1188811188811187</v>
      </c>
      <c r="I22" s="13">
        <f>$M$21+$M$20*E22</f>
        <v>16.065914496910899</v>
      </c>
      <c r="J22" s="2">
        <f t="shared" si="5"/>
        <v>-6.5914496910899345E-2</v>
      </c>
      <c r="L22" t="s">
        <v>11</v>
      </c>
      <c r="M22">
        <f>G38-(D38^2)/M19</f>
        <v>48.566852631581241</v>
      </c>
    </row>
    <row r="23" spans="2:13" x14ac:dyDescent="0.3">
      <c r="B23" s="12">
        <v>7</v>
      </c>
      <c r="C23" s="9">
        <v>12.8</v>
      </c>
      <c r="D23" s="9">
        <v>13.34</v>
      </c>
      <c r="E23" s="9">
        <f t="shared" si="1"/>
        <v>7.8125E-2</v>
      </c>
      <c r="F23" s="9">
        <f t="shared" si="2"/>
        <v>6.103515625E-3</v>
      </c>
      <c r="G23" s="9">
        <f t="shared" si="3"/>
        <v>177.9556</v>
      </c>
      <c r="H23" s="9">
        <f t="shared" si="4"/>
        <v>1.0421875</v>
      </c>
      <c r="I23" s="13">
        <f>$M$21+$M$20*E23</f>
        <v>15.032126616767565</v>
      </c>
      <c r="J23" s="2">
        <f t="shared" si="5"/>
        <v>-1.692126616767565</v>
      </c>
      <c r="L23" t="s">
        <v>12</v>
      </c>
      <c r="M23">
        <f>M20*(H38-(E38*D38)/M19)</f>
        <v>32.558047705303203</v>
      </c>
    </row>
    <row r="24" spans="2:13" x14ac:dyDescent="0.3">
      <c r="B24" s="12">
        <v>8</v>
      </c>
      <c r="C24" s="9">
        <v>13.4</v>
      </c>
      <c r="D24" s="9">
        <v>16.37</v>
      </c>
      <c r="E24" s="9">
        <f t="shared" si="1"/>
        <v>7.4626865671641784E-2</v>
      </c>
      <c r="F24" s="9">
        <f t="shared" si="2"/>
        <v>5.5691690799732673E-3</v>
      </c>
      <c r="G24" s="9">
        <f t="shared" si="3"/>
        <v>267.97690000000006</v>
      </c>
      <c r="H24" s="9">
        <f t="shared" si="4"/>
        <v>1.2216417910447761</v>
      </c>
      <c r="I24" s="13">
        <f>$M$21+$M$20*E24</f>
        <v>15.473415174560094</v>
      </c>
      <c r="J24" s="2">
        <f t="shared" si="5"/>
        <v>0.89658482543990736</v>
      </c>
      <c r="L24" t="s">
        <v>13</v>
      </c>
      <c r="M24">
        <f>M22-M23</f>
        <v>16.008804926278039</v>
      </c>
    </row>
    <row r="25" spans="2:13" x14ac:dyDescent="0.3">
      <c r="B25" s="12">
        <v>10</v>
      </c>
      <c r="C25" s="9">
        <v>12.3</v>
      </c>
      <c r="D25" s="9">
        <v>15.72</v>
      </c>
      <c r="E25" s="9">
        <f t="shared" si="1"/>
        <v>8.1300813008130079E-2</v>
      </c>
      <c r="F25" s="9">
        <f t="shared" si="2"/>
        <v>6.6098221957829328E-3</v>
      </c>
      <c r="G25" s="9">
        <f t="shared" si="3"/>
        <v>247.11840000000001</v>
      </c>
      <c r="H25" s="9">
        <f t="shared" si="4"/>
        <v>1.2780487804878049</v>
      </c>
      <c r="I25" s="13">
        <f>$M$21+$M$20*E25</f>
        <v>14.631498793297386</v>
      </c>
      <c r="J25" s="2">
        <f t="shared" si="5"/>
        <v>1.088501206702615</v>
      </c>
      <c r="L25" t="s">
        <v>14</v>
      </c>
      <c r="M25">
        <f>RSQ(E19:E37,C19:C37)</f>
        <v>0.96648252700240089</v>
      </c>
    </row>
    <row r="26" spans="2:13" x14ac:dyDescent="0.3">
      <c r="B26" s="12">
        <v>11</v>
      </c>
      <c r="C26" s="9">
        <v>15.2</v>
      </c>
      <c r="D26" s="9">
        <v>17.38</v>
      </c>
      <c r="E26" s="9">
        <f t="shared" si="1"/>
        <v>6.5789473684210523E-2</v>
      </c>
      <c r="F26" s="9">
        <f t="shared" si="2"/>
        <v>4.3282548476454288E-3</v>
      </c>
      <c r="G26" s="9">
        <f t="shared" si="3"/>
        <v>302.06439999999998</v>
      </c>
      <c r="H26" s="9">
        <f t="shared" si="4"/>
        <v>1.1434210526315789</v>
      </c>
      <c r="I26" s="13">
        <f>$M$21+$M$20*E26</f>
        <v>16.588249425825424</v>
      </c>
      <c r="J26" s="2">
        <f t="shared" si="5"/>
        <v>0.79175057417457495</v>
      </c>
      <c r="L26" t="s">
        <v>17</v>
      </c>
      <c r="M26">
        <f>SQRT(M24/(M19-2))</f>
        <v>0.97040940196811776</v>
      </c>
    </row>
    <row r="27" spans="2:13" x14ac:dyDescent="0.3">
      <c r="B27" s="12">
        <v>12</v>
      </c>
      <c r="C27" s="9">
        <v>16.3</v>
      </c>
      <c r="D27" s="9">
        <v>18.04</v>
      </c>
      <c r="E27" s="9">
        <f t="shared" si="1"/>
        <v>6.1349693251533742E-2</v>
      </c>
      <c r="F27" s="9">
        <f t="shared" si="2"/>
        <v>3.763784862057285E-3</v>
      </c>
      <c r="G27" s="9">
        <f t="shared" si="3"/>
        <v>325.44159999999999</v>
      </c>
      <c r="H27" s="9">
        <f t="shared" si="4"/>
        <v>1.1067484662576688</v>
      </c>
      <c r="I27" s="13">
        <f>$M$21+$M$20*E27</f>
        <v>17.148326346876928</v>
      </c>
      <c r="J27" s="2">
        <f t="shared" si="5"/>
        <v>0.89167365312307112</v>
      </c>
      <c r="L27" t="s">
        <v>18</v>
      </c>
      <c r="M27">
        <f>M26/D39*100</f>
        <v>5.9104916292336078</v>
      </c>
    </row>
    <row r="28" spans="2:13" x14ac:dyDescent="0.3">
      <c r="B28" s="12">
        <v>13</v>
      </c>
      <c r="C28" s="9">
        <v>12.8</v>
      </c>
      <c r="D28" s="9">
        <v>13.2</v>
      </c>
      <c r="E28" s="9">
        <f t="shared" si="1"/>
        <v>7.8125E-2</v>
      </c>
      <c r="F28" s="9">
        <f t="shared" si="2"/>
        <v>6.103515625E-3</v>
      </c>
      <c r="G28" s="9">
        <f t="shared" si="3"/>
        <v>174.23999999999998</v>
      </c>
      <c r="H28" s="9">
        <f t="shared" si="4"/>
        <v>1.03125</v>
      </c>
      <c r="I28" s="13">
        <f>$M$21+$M$20*E28</f>
        <v>15.032126616767565</v>
      </c>
      <c r="J28" s="2">
        <f t="shared" si="5"/>
        <v>-1.8321266167675656</v>
      </c>
    </row>
    <row r="29" spans="2:13" x14ac:dyDescent="0.3">
      <c r="B29" s="12">
        <v>14</v>
      </c>
      <c r="C29" s="9">
        <v>15.3</v>
      </c>
      <c r="D29" s="9">
        <v>15.3</v>
      </c>
      <c r="E29" s="9">
        <f t="shared" si="1"/>
        <v>6.535947712418301E-2</v>
      </c>
      <c r="F29" s="9">
        <f t="shared" si="2"/>
        <v>4.2718612499466025E-3</v>
      </c>
      <c r="G29" s="9">
        <f t="shared" si="3"/>
        <v>234.09000000000003</v>
      </c>
      <c r="H29" s="9">
        <f t="shared" si="4"/>
        <v>1</v>
      </c>
      <c r="I29" s="13">
        <f>$M$21+$M$20*E29</f>
        <v>16.642493358167314</v>
      </c>
      <c r="J29" s="2">
        <f t="shared" si="5"/>
        <v>-1.3424933581673137</v>
      </c>
    </row>
    <row r="30" spans="2:13" x14ac:dyDescent="0.3">
      <c r="B30" s="12">
        <v>16</v>
      </c>
      <c r="C30" s="9">
        <v>13.7</v>
      </c>
      <c r="D30" s="9">
        <v>16.5</v>
      </c>
      <c r="E30" s="9">
        <f t="shared" si="1"/>
        <v>7.2992700729927015E-2</v>
      </c>
      <c r="F30" s="9">
        <f t="shared" si="2"/>
        <v>5.3279343598486876E-3</v>
      </c>
      <c r="G30" s="9">
        <f t="shared" si="3"/>
        <v>272.25</v>
      </c>
      <c r="H30" s="9">
        <f t="shared" si="4"/>
        <v>1.2043795620437958</v>
      </c>
      <c r="I30" s="13">
        <f>$M$21+$M$20*E30</f>
        <v>15.679564573820835</v>
      </c>
      <c r="J30" s="2">
        <f t="shared" si="5"/>
        <v>0.82043542617916465</v>
      </c>
    </row>
    <row r="31" spans="2:13" x14ac:dyDescent="0.3">
      <c r="B31" s="12">
        <v>17</v>
      </c>
      <c r="C31" s="9">
        <v>21.3</v>
      </c>
      <c r="D31" s="9">
        <v>19.100000000000001</v>
      </c>
      <c r="E31" s="9">
        <f t="shared" si="1"/>
        <v>4.6948356807511735E-2</v>
      </c>
      <c r="F31" s="9">
        <f t="shared" si="2"/>
        <v>2.2041482069254333E-3</v>
      </c>
      <c r="G31" s="9">
        <f t="shared" si="3"/>
        <v>364.81000000000006</v>
      </c>
      <c r="H31" s="9">
        <f t="shared" si="4"/>
        <v>0.89671361502347424</v>
      </c>
      <c r="I31" s="13">
        <f>$M$21+$M$20*E31</f>
        <v>18.965050461256524</v>
      </c>
      <c r="J31" s="2">
        <f t="shared" si="5"/>
        <v>0.13494953874347715</v>
      </c>
    </row>
    <row r="32" spans="2:13" x14ac:dyDescent="0.3">
      <c r="B32" s="12">
        <v>18</v>
      </c>
      <c r="C32" s="9">
        <v>16.100000000000001</v>
      </c>
      <c r="D32" s="9">
        <v>18.22</v>
      </c>
      <c r="E32" s="9">
        <f t="shared" si="1"/>
        <v>6.2111801242236017E-2</v>
      </c>
      <c r="F32" s="9">
        <f t="shared" si="2"/>
        <v>3.8578758535550315E-3</v>
      </c>
      <c r="G32" s="9">
        <f t="shared" si="3"/>
        <v>331.96839999999997</v>
      </c>
      <c r="H32" s="9">
        <f t="shared" si="4"/>
        <v>1.1316770186335401</v>
      </c>
      <c r="I32" s="13">
        <f>$M$21+$M$20*E32</f>
        <v>17.052186660824045</v>
      </c>
      <c r="J32" s="2">
        <f t="shared" si="5"/>
        <v>1.1678133391759538</v>
      </c>
    </row>
    <row r="33" spans="2:10" x14ac:dyDescent="0.3">
      <c r="B33" s="12">
        <v>19</v>
      </c>
      <c r="C33" s="9">
        <v>14</v>
      </c>
      <c r="D33" s="9">
        <v>17</v>
      </c>
      <c r="E33" s="9">
        <f t="shared" si="1"/>
        <v>7.1428571428571425E-2</v>
      </c>
      <c r="F33" s="9">
        <f t="shared" si="2"/>
        <v>5.1020408163265302E-3</v>
      </c>
      <c r="G33" s="9">
        <f t="shared" si="3"/>
        <v>289</v>
      </c>
      <c r="H33" s="9">
        <f t="shared" si="4"/>
        <v>1.2142857142857142</v>
      </c>
      <c r="I33" s="13">
        <f>$M$21+$M$20*E33</f>
        <v>15.876878998827548</v>
      </c>
      <c r="J33" s="2">
        <f t="shared" si="5"/>
        <v>1.1231210011724517</v>
      </c>
    </row>
    <row r="34" spans="2:10" x14ac:dyDescent="0.3">
      <c r="B34" s="12">
        <v>21</v>
      </c>
      <c r="C34" s="9">
        <v>19.100000000000001</v>
      </c>
      <c r="D34" s="9">
        <v>18.149999999999999</v>
      </c>
      <c r="E34" s="9">
        <f t="shared" si="1"/>
        <v>5.235602094240837E-2</v>
      </c>
      <c r="F34" s="9">
        <f t="shared" si="2"/>
        <v>2.741152928921904E-3</v>
      </c>
      <c r="G34" s="9">
        <f t="shared" si="3"/>
        <v>329.42249999999996</v>
      </c>
      <c r="H34" s="9">
        <f t="shared" si="4"/>
        <v>0.95026178010471185</v>
      </c>
      <c r="I34" s="13">
        <f>$M$21+$M$20*E34</f>
        <v>18.282875312129274</v>
      </c>
      <c r="J34" s="2">
        <f t="shared" si="5"/>
        <v>-0.13287531212927561</v>
      </c>
    </row>
    <row r="35" spans="2:10" x14ac:dyDescent="0.3">
      <c r="B35" s="12">
        <v>22</v>
      </c>
      <c r="C35" s="9">
        <v>13.7</v>
      </c>
      <c r="D35" s="9">
        <v>15.71</v>
      </c>
      <c r="E35" s="9">
        <f t="shared" si="1"/>
        <v>7.2992700729927015E-2</v>
      </c>
      <c r="F35" s="9">
        <f t="shared" si="2"/>
        <v>5.3279343598486876E-3</v>
      </c>
      <c r="G35" s="9">
        <f t="shared" si="3"/>
        <v>246.80410000000003</v>
      </c>
      <c r="H35" s="9">
        <f t="shared" si="4"/>
        <v>1.1467153284671534</v>
      </c>
      <c r="I35" s="13">
        <f>$M$21+$M$20*E35</f>
        <v>15.679564573820835</v>
      </c>
      <c r="J35" s="2">
        <f t="shared" si="5"/>
        <v>3.0435426179165503E-2</v>
      </c>
    </row>
    <row r="36" spans="2:10" x14ac:dyDescent="0.3">
      <c r="B36" s="12">
        <v>23</v>
      </c>
      <c r="C36" s="9">
        <v>11.4</v>
      </c>
      <c r="D36" s="9">
        <v>13.95</v>
      </c>
      <c r="E36" s="9">
        <f t="shared" si="1"/>
        <v>8.771929824561403E-2</v>
      </c>
      <c r="F36" s="9">
        <f t="shared" si="2"/>
        <v>7.6946752847029849E-3</v>
      </c>
      <c r="G36" s="9">
        <f t="shared" si="3"/>
        <v>194.60249999999999</v>
      </c>
      <c r="H36" s="9">
        <f t="shared" si="4"/>
        <v>1.2236842105263157</v>
      </c>
      <c r="I36" s="13">
        <f>$M$21+$M$20*E36</f>
        <v>13.82180887638923</v>
      </c>
      <c r="J36" s="2">
        <f t="shared" si="5"/>
        <v>0.1281911236107689</v>
      </c>
    </row>
    <row r="37" spans="2:10" x14ac:dyDescent="0.3">
      <c r="B37" s="14">
        <v>25</v>
      </c>
      <c r="C37" s="7">
        <v>16.399999999999999</v>
      </c>
      <c r="D37" s="7">
        <v>16.7</v>
      </c>
      <c r="E37" s="7">
        <f t="shared" si="1"/>
        <v>6.0975609756097567E-2</v>
      </c>
      <c r="F37" s="7">
        <f t="shared" si="2"/>
        <v>3.7180249851279006E-3</v>
      </c>
      <c r="G37" s="7">
        <f t="shared" si="3"/>
        <v>278.89</v>
      </c>
      <c r="H37" s="7">
        <f t="shared" si="4"/>
        <v>1.0182926829268293</v>
      </c>
      <c r="I37" s="1">
        <f>$M$21+$M$20*E37</f>
        <v>17.195516863506541</v>
      </c>
      <c r="J37" s="3">
        <f t="shared" si="5"/>
        <v>-0.49551686350654123</v>
      </c>
    </row>
    <row r="38" spans="2:10" x14ac:dyDescent="0.3">
      <c r="B38" t="s">
        <v>8</v>
      </c>
      <c r="D38">
        <f>SUM(D19:D37)</f>
        <v>311.94999999999993</v>
      </c>
      <c r="E38" s="8">
        <f>SUM(E19:E37)</f>
        <v>1.2755786527487554</v>
      </c>
      <c r="F38">
        <f t="shared" ref="D38:H38" si="6">SUM(F19:F37)</f>
        <v>8.7682796901896717E-2</v>
      </c>
      <c r="G38">
        <f t="shared" si="6"/>
        <v>5170.2933000000003</v>
      </c>
      <c r="H38">
        <f t="shared" si="6"/>
        <v>20.68489681634798</v>
      </c>
    </row>
    <row r="39" spans="2:10" x14ac:dyDescent="0.3">
      <c r="B39" t="s">
        <v>9</v>
      </c>
      <c r="D39">
        <f>AVERAGE(D19:D37)</f>
        <v>16.418421052631576</v>
      </c>
      <c r="E39" s="8">
        <f>AVERAGE(E19:E37)</f>
        <v>6.7135718565723965E-2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Orso</dc:creator>
  <cp:lastModifiedBy>Gabriel Orso</cp:lastModifiedBy>
  <dcterms:created xsi:type="dcterms:W3CDTF">2025-02-17T21:21:34Z</dcterms:created>
  <dcterms:modified xsi:type="dcterms:W3CDTF">2025-02-21T12:52:29Z</dcterms:modified>
</cp:coreProperties>
</file>