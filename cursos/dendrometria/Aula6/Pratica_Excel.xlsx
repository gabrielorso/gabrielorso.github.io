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e0ac2bc10ec6c2/Florestal/UFSM/Dendrometria/dentro_quarto/Aula 6/"/>
    </mc:Choice>
  </mc:AlternateContent>
  <xr:revisionPtr revIDLastSave="410" documentId="8_{FC4A78BD-B839-44AE-A20F-49B0AFA42403}" xr6:coauthVersionLast="47" xr6:coauthVersionMax="47" xr10:uidLastSave="{9E7576A7-ED2E-4480-A76B-0C63102919B4}"/>
  <bookViews>
    <workbookView xWindow="-120" yWindow="-120" windowWidth="29040" windowHeight="15720" activeTab="1" xr2:uid="{817B5969-F626-4A93-B016-D8620B9A4B8A}"/>
  </bookViews>
  <sheets>
    <sheet name="Cubagem" sheetId="1" r:id="rId1"/>
    <sheet name="Exercicio Cubagem" sheetId="3" r:id="rId2"/>
    <sheet name="Relação Hipsométrica" sheetId="2" r:id="rId3"/>
    <sheet name="Exercicio Relação Hipsométrica" sheetId="4" r:id="rId4"/>
  </sheets>
  <definedNames>
    <definedName name="apar">Cubagem!$C$12</definedName>
    <definedName name="meu_pi">Cubagem!$B$9</definedName>
    <definedName name="meupi">Cubagem!$B$9</definedName>
    <definedName name="pi">Cubagem!$B$9</definedName>
    <definedName name="pi_">Cubagem!$B$9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6" i="1" l="1"/>
  <c r="O12" i="1"/>
  <c r="P12" i="1"/>
  <c r="N12" i="1"/>
  <c r="N8" i="1"/>
  <c r="O11" i="1"/>
  <c r="P11" i="1"/>
  <c r="N11" i="1"/>
  <c r="N7" i="1"/>
  <c r="N6" i="1"/>
  <c r="K25" i="1"/>
  <c r="K8" i="1"/>
  <c r="K10" i="1"/>
  <c r="K12" i="1"/>
  <c r="K14" i="1"/>
  <c r="K16" i="1"/>
  <c r="K18" i="1"/>
  <c r="K20" i="1"/>
  <c r="K22" i="1"/>
  <c r="K6" i="1"/>
  <c r="J25" i="1"/>
  <c r="J8" i="1"/>
  <c r="J10" i="1"/>
  <c r="J12" i="1"/>
  <c r="J14" i="1"/>
  <c r="I25" i="1"/>
  <c r="J16" i="1"/>
  <c r="J18" i="1"/>
  <c r="J20" i="1"/>
  <c r="J22" i="1"/>
  <c r="J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6" i="1"/>
  <c r="B9" i="1"/>
  <c r="G12" i="1" s="1"/>
  <c r="G7" i="1"/>
  <c r="G8" i="1"/>
  <c r="G9" i="1"/>
  <c r="G10" i="1"/>
  <c r="G11" i="1"/>
  <c r="G19" i="1"/>
  <c r="G20" i="1"/>
  <c r="G21" i="1"/>
  <c r="G22" i="1"/>
  <c r="G23" i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3" i="2"/>
  <c r="Q5" i="2"/>
  <c r="Q4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" i="2"/>
  <c r="G17" i="1" l="1"/>
  <c r="G18" i="1"/>
  <c r="G16" i="1"/>
  <c r="G15" i="1"/>
  <c r="G14" i="1"/>
  <c r="G6" i="1"/>
  <c r="G13" i="1"/>
  <c r="G24" i="1"/>
</calcChain>
</file>

<file path=xl/sharedStrings.xml><?xml version="1.0" encoding="utf-8"?>
<sst xmlns="http://schemas.openxmlformats.org/spreadsheetml/2006/main" count="80" uniqueCount="60">
  <si>
    <t>Smalian</t>
  </si>
  <si>
    <t>DAP</t>
  </si>
  <si>
    <t>h</t>
  </si>
  <si>
    <t>DAP =</t>
  </si>
  <si>
    <t>h =</t>
  </si>
  <si>
    <t>gi (m²)</t>
  </si>
  <si>
    <t>di (cm)</t>
  </si>
  <si>
    <t>hi (m)</t>
  </si>
  <si>
    <t xml:space="preserve">Volume da base: </t>
  </si>
  <si>
    <t>Volume do Ápice:</t>
  </si>
  <si>
    <t>m³</t>
  </si>
  <si>
    <t>Volume Cilindro:</t>
  </si>
  <si>
    <t>1) Seja uma árvore com DAP = 25,8 cm e h = 18,5 m, calcule o volume da árvore pelos métodos de Smalian, Huber e Newton, e calcule o fator de forma a partir de cada método</t>
  </si>
  <si>
    <t>Volumes Secções (m³)</t>
  </si>
  <si>
    <t>Huber</t>
  </si>
  <si>
    <t>Newton</t>
  </si>
  <si>
    <t>Volume Total</t>
  </si>
  <si>
    <t>Fator de Forma</t>
  </si>
  <si>
    <t>2) Calcule o volume pelo método de Hohenadl</t>
  </si>
  <si>
    <t>Posição</t>
  </si>
  <si>
    <t>n =</t>
  </si>
  <si>
    <t>Volume total =</t>
  </si>
  <si>
    <t>Fator de Forma =</t>
  </si>
  <si>
    <t>Volume Cilindro =</t>
  </si>
  <si>
    <t>Árvore</t>
  </si>
  <si>
    <t>Ajuste os seguintes modelos hipsométricos</t>
  </si>
  <si>
    <t>Y</t>
  </si>
  <si>
    <t>X</t>
  </si>
  <si>
    <t>RESUMO DOS RESULTADOS</t>
  </si>
  <si>
    <t>d</t>
  </si>
  <si>
    <t>h estimada</t>
  </si>
  <si>
    <t>Ajuste o seguinte modelo hipsométrico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</si>
  <si>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</si>
  <si>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</si>
  <si>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</si>
  <si>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</si>
  <si>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</si>
  <si>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</si>
  <si>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</si>
  <si>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</si>
  <si>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</si>
  <si>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</si>
  <si>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</si>
  <si>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</si>
  <si>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</si>
  <si>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</si>
  <si>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</si>
  <si>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</si>
  <si>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</si>
  <si>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</si>
  <si>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</si>
  <si>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</si>
  <si>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</si>
  <si>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</si>
  <si>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</si>
  <si>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B0</t>
  </si>
  <si>
    <t>B1</t>
  </si>
  <si>
    <t>1) Realize a Cubagem pelos métodos de Smalian, Huber e Newton. Calcule o fator de forma para cada um desses métodos. Para os métodos de Huber e Newton ignore o último di</t>
  </si>
  <si>
    <t xml:space="preserve">ht = 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</si>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</sst>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right"/>
    </xf>
    <xf numFmtId="0" fontId="1" fillId="0" borderId="0" xfId="0" applyFont="1"/>
    <xf numFmtId="0" fontId="0" fillId="7" borderId="2" xfId="0" applyFill="1" applyBorder="1" applyAlignment="1">
      <alignment horizontal="center" vertical="center"/>
    </xf>
    <xf numFmtId="0" fontId="0" fillId="8" borderId="0" xfId="0" applyFill="1"/>
    <xf numFmtId="0" fontId="0" fillId="8" borderId="1" xfId="0" applyFill="1" applyBorder="1"/>
    <xf numFmtId="0" fontId="0" fillId="7" borderId="0" xfId="0" applyFill="1" applyAlignment="1">
      <alignment horizontal="right" vertical="center"/>
    </xf>
    <xf numFmtId="0" fontId="0" fillId="7" borderId="1" xfId="0" applyFill="1" applyBorder="1" applyAlignment="1">
      <alignment horizontal="right" vertical="center"/>
    </xf>
    <xf numFmtId="0" fontId="1" fillId="7" borderId="0" xfId="0" applyFont="1" applyFill="1" applyAlignment="1">
      <alignment horizontal="right" vertical="center"/>
    </xf>
    <xf numFmtId="0" fontId="1" fillId="8" borderId="0" xfId="0" applyFont="1" applyFill="1"/>
    <xf numFmtId="0" fontId="1" fillId="7" borderId="0" xfId="0" applyFont="1" applyFill="1"/>
    <xf numFmtId="0" fontId="0" fillId="8" borderId="0" xfId="0" applyFill="1" applyAlignment="1">
      <alignment vertical="center"/>
    </xf>
    <xf numFmtId="0" fontId="1" fillId="8" borderId="0" xfId="0" applyFont="1" applyFill="1" applyAlignment="1">
      <alignment vertical="center"/>
    </xf>
    <xf numFmtId="0" fontId="0" fillId="9" borderId="0" xfId="0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0" borderId="0" xfId="0" applyNumberFormat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Continuous"/>
    </xf>
    <xf numFmtId="164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/>
    </xf>
    <xf numFmtId="0" fontId="0" fillId="10" borderId="0" xfId="0" applyFill="1" applyAlignment="1">
      <alignment horizontal="right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'Relação Hipsométrica'!$S$3:$S$18</c:f>
              <c:numCache>
                <c:formatCode>General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</c:numCache>
            </c:numRef>
          </c:xVal>
          <c:yVal>
            <c:numRef>
              <c:f>'Relação Hipsométrica'!$T$3:$T$18</c:f>
              <c:numCache>
                <c:formatCode>0.0</c:formatCode>
                <c:ptCount val="16"/>
                <c:pt idx="0">
                  <c:v>10.16063863662988</c:v>
                </c:pt>
                <c:pt idx="1">
                  <c:v>10.717126630950974</c:v>
                </c:pt>
                <c:pt idx="2">
                  <c:v>11.308564576457677</c:v>
                </c:pt>
                <c:pt idx="3">
                  <c:v>11.937147487418651</c:v>
                </c:pt>
                <c:pt idx="4">
                  <c:v>12.605208234879933</c:v>
                </c:pt>
                <c:pt idx="5">
                  <c:v>13.315226204691138</c:v>
                </c:pt>
                <c:pt idx="6">
                  <c:v>14.069836499294682</c:v>
                </c:pt>
                <c:pt idx="7">
                  <c:v>14.871839717428818</c:v>
                </c:pt>
                <c:pt idx="8">
                  <c:v>15.724212348040005</c:v>
                </c:pt>
                <c:pt idx="9">
                  <c:v>16.630117816979809</c:v>
                </c:pt>
                <c:pt idx="10">
                  <c:v>17.592918227484073</c:v>
                </c:pt>
                <c:pt idx="11">
                  <c:v>18.616186838007025</c:v>
                </c:pt>
                <c:pt idx="12">
                  <c:v>19.703721323719549</c:v>
                </c:pt>
                <c:pt idx="13">
                  <c:v>20.859557870889294</c:v>
                </c:pt>
                <c:pt idx="14">
                  <c:v>22.087986156451162</c:v>
                </c:pt>
                <c:pt idx="15">
                  <c:v>23.393565268362472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0D-4C5F-9C0F-AD9A17852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546687"/>
        <c:axId val="1307545727"/>
      </c:scatterChar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'Relação Hipsométrica'!$C$3:$C$37</c:f>
              <c:numCache>
                <c:formatCode>General</c:formatCode>
                <c:ptCount val="35"/>
                <c:pt idx="0">
                  <c:v>14.6</c:v>
                </c:pt>
                <c:pt idx="1">
                  <c:v>12.7</c:v>
                </c:pt>
                <c:pt idx="2">
                  <c:v>7.3</c:v>
                </c:pt>
                <c:pt idx="3">
                  <c:v>18.3</c:v>
                </c:pt>
                <c:pt idx="4">
                  <c:v>12.6</c:v>
                </c:pt>
                <c:pt idx="5">
                  <c:v>7.5</c:v>
                </c:pt>
                <c:pt idx="6">
                  <c:v>10.7</c:v>
                </c:pt>
                <c:pt idx="7">
                  <c:v>5.6</c:v>
                </c:pt>
                <c:pt idx="8">
                  <c:v>9.5</c:v>
                </c:pt>
                <c:pt idx="9">
                  <c:v>15.8</c:v>
                </c:pt>
                <c:pt idx="10">
                  <c:v>7.6</c:v>
                </c:pt>
                <c:pt idx="11">
                  <c:v>9.6999999999999993</c:v>
                </c:pt>
                <c:pt idx="12">
                  <c:v>17.2</c:v>
                </c:pt>
                <c:pt idx="13">
                  <c:v>16.600000000000001</c:v>
                </c:pt>
                <c:pt idx="14">
                  <c:v>7.6</c:v>
                </c:pt>
                <c:pt idx="15">
                  <c:v>12.9</c:v>
                </c:pt>
                <c:pt idx="16">
                  <c:v>11</c:v>
                </c:pt>
                <c:pt idx="17">
                  <c:v>12.1</c:v>
                </c:pt>
                <c:pt idx="18">
                  <c:v>5.9</c:v>
                </c:pt>
                <c:pt idx="19">
                  <c:v>8.9</c:v>
                </c:pt>
                <c:pt idx="20">
                  <c:v>15.4</c:v>
                </c:pt>
                <c:pt idx="21">
                  <c:v>9.9</c:v>
                </c:pt>
                <c:pt idx="22">
                  <c:v>7</c:v>
                </c:pt>
                <c:pt idx="23">
                  <c:v>16.100000000000001</c:v>
                </c:pt>
                <c:pt idx="24">
                  <c:v>19.100000000000001</c:v>
                </c:pt>
                <c:pt idx="25">
                  <c:v>12.4</c:v>
                </c:pt>
                <c:pt idx="26">
                  <c:v>18</c:v>
                </c:pt>
                <c:pt idx="27">
                  <c:v>19.399999999999999</c:v>
                </c:pt>
                <c:pt idx="28" formatCode="0.0">
                  <c:v>12.4</c:v>
                </c:pt>
                <c:pt idx="29" formatCode="0.0">
                  <c:v>15.8</c:v>
                </c:pt>
                <c:pt idx="30" formatCode="0.0">
                  <c:v>15.9</c:v>
                </c:pt>
                <c:pt idx="31" formatCode="0.0">
                  <c:v>8.9</c:v>
                </c:pt>
                <c:pt idx="32" formatCode="0.0">
                  <c:v>17</c:v>
                </c:pt>
                <c:pt idx="33" formatCode="0.0">
                  <c:v>5.9</c:v>
                </c:pt>
                <c:pt idx="34" formatCode="0.0">
                  <c:v>12.5</c:v>
                </c:pt>
              </c:numCache>
            </c:numRef>
          </c:xVal>
          <c:yVal>
            <c:numRef>
              <c:f>'Relação Hipsométrica'!$D$3:$D$37</c:f>
              <c:numCache>
                <c:formatCode>General</c:formatCode>
                <c:ptCount val="35"/>
                <c:pt idx="0">
                  <c:v>17.7</c:v>
                </c:pt>
                <c:pt idx="1">
                  <c:v>18.2</c:v>
                </c:pt>
                <c:pt idx="2">
                  <c:v>11.7</c:v>
                </c:pt>
                <c:pt idx="3">
                  <c:v>19.5</c:v>
                </c:pt>
                <c:pt idx="4">
                  <c:v>16.5</c:v>
                </c:pt>
                <c:pt idx="5">
                  <c:v>10.199999999999999</c:v>
                </c:pt>
                <c:pt idx="6">
                  <c:v>14.8</c:v>
                </c:pt>
                <c:pt idx="7">
                  <c:v>8</c:v>
                </c:pt>
                <c:pt idx="8">
                  <c:v>12.5</c:v>
                </c:pt>
                <c:pt idx="9">
                  <c:v>17.5</c:v>
                </c:pt>
                <c:pt idx="10">
                  <c:v>12.3</c:v>
                </c:pt>
                <c:pt idx="11">
                  <c:v>13.6</c:v>
                </c:pt>
                <c:pt idx="12">
                  <c:v>17.899999999999999</c:v>
                </c:pt>
                <c:pt idx="13">
                  <c:v>17.899999999999999</c:v>
                </c:pt>
                <c:pt idx="14">
                  <c:v>11.7</c:v>
                </c:pt>
                <c:pt idx="15">
                  <c:v>15.8</c:v>
                </c:pt>
                <c:pt idx="16">
                  <c:v>16</c:v>
                </c:pt>
                <c:pt idx="17">
                  <c:v>17</c:v>
                </c:pt>
                <c:pt idx="18">
                  <c:v>9.1999999999999993</c:v>
                </c:pt>
                <c:pt idx="19">
                  <c:v>11.7</c:v>
                </c:pt>
                <c:pt idx="20">
                  <c:v>18.3</c:v>
                </c:pt>
                <c:pt idx="21">
                  <c:v>14.3</c:v>
                </c:pt>
                <c:pt idx="22">
                  <c:v>12</c:v>
                </c:pt>
                <c:pt idx="23">
                  <c:v>19.2</c:v>
                </c:pt>
                <c:pt idx="24">
                  <c:v>21.3</c:v>
                </c:pt>
                <c:pt idx="25">
                  <c:v>17.100000000000001</c:v>
                </c:pt>
                <c:pt idx="26">
                  <c:v>18.3</c:v>
                </c:pt>
                <c:pt idx="27">
                  <c:v>19.8</c:v>
                </c:pt>
                <c:pt idx="28" formatCode="0.0">
                  <c:v>17.399999999999999</c:v>
                </c:pt>
                <c:pt idx="29" formatCode="0.0">
                  <c:v>18.600000000000001</c:v>
                </c:pt>
                <c:pt idx="30" formatCode="0.0">
                  <c:v>18.7</c:v>
                </c:pt>
                <c:pt idx="31" formatCode="0.0">
                  <c:v>14</c:v>
                </c:pt>
                <c:pt idx="32" formatCode="0.0">
                  <c:v>19.100000000000001</c:v>
                </c:pt>
                <c:pt idx="33" formatCode="0.0">
                  <c:v>9.4</c:v>
                </c:pt>
                <c:pt idx="34" formatCode="0.0">
                  <c:v>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0D-4C5F-9C0F-AD9A17852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546687"/>
        <c:axId val="1307545727"/>
      </c:scatterChart>
      <c:valAx>
        <c:axId val="130754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7545727"/>
        <c:crosses val="autoZero"/>
        <c:crossBetween val="midCat"/>
      </c:valAx>
      <c:valAx>
        <c:axId val="130754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7546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333375</xdr:colOff>
      <xdr:row>0</xdr:row>
      <xdr:rowOff>170497</xdr:rowOff>
    </xdr:from>
    <xdr:ext cx="1533946" cy="234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F0C391B2-D5D0-1C60-D737-F3D173FC9CF0}"/>
                </a:ext>
              </a:extLst>
            </xdr:cNvPr>
            <xdr:cNvSpPr txBox="1"/>
          </xdr:nvSpPr>
          <xdr:spPr>
            <a:xfrm>
              <a:off x="8867775" y="170497"/>
              <a:ext cx="1533946" cy="234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1" i="1">
                        <a:latin typeface="Cambria Math" panose="02040503050406030204" pitchFamily="18" charset="0"/>
                      </a:rPr>
                      <m:t>𝒉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t-BR" sz="14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p>
                        <m:sSub>
                          <m:sSubPr>
                            <m:ctrlPr>
                              <a:rPr lang="pt-BR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b="1" i="1">
                                <a:latin typeface="Cambria Math" panose="02040503050406030204" pitchFamily="18" charset="0"/>
                              </a:rPr>
                              <m:t>𝜷</m:t>
                            </m:r>
                          </m:e>
                          <m:sub>
                            <m:r>
                              <a:rPr lang="pt-BR" sz="14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pt-BR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b="1" i="1">
                                <a:latin typeface="Cambria Math" panose="02040503050406030204" pitchFamily="18" charset="0"/>
                              </a:rPr>
                              <m:t>𝜷</m:t>
                            </m:r>
                          </m:e>
                          <m:sub>
                            <m:r>
                              <a:rPr lang="pt-BR" sz="14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 . </m:t>
                        </m:r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𝒅</m:t>
                        </m:r>
                      </m:sup>
                    </m:sSup>
                    <m:r>
                      <a:rPr lang="pt-BR" sz="14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𝟑</m:t>
                    </m:r>
                  </m:oMath>
                </m:oMathPara>
              </a14:m>
              <a:endParaRPr lang="pt-BR" sz="1400" b="1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F0C391B2-D5D0-1C60-D737-F3D173FC9CF0}"/>
                </a:ext>
              </a:extLst>
            </xdr:cNvPr>
            <xdr:cNvSpPr txBox="1"/>
          </xdr:nvSpPr>
          <xdr:spPr>
            <a:xfrm>
              <a:off x="8867775" y="170497"/>
              <a:ext cx="1533946" cy="234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400" b="1" i="0">
                  <a:latin typeface="Cambria Math" panose="02040503050406030204" pitchFamily="18" charset="0"/>
                </a:rPr>
                <a:t>𝒉=𝒆^(𝜷_𝟎+𝜷_𝟏  . 𝒅)+𝟏,𝟑</a:t>
              </a:r>
              <a:endParaRPr lang="pt-BR" sz="1400" b="1"/>
            </a:p>
          </xdr:txBody>
        </xdr:sp>
      </mc:Fallback>
    </mc:AlternateContent>
    <xdr:clientData/>
  </xdr:oneCellAnchor>
  <xdr:twoCellAnchor>
    <xdr:from>
      <xdr:col>20</xdr:col>
      <xdr:colOff>342900</xdr:colOff>
      <xdr:row>2</xdr:row>
      <xdr:rowOff>49530</xdr:rowOff>
    </xdr:from>
    <xdr:to>
      <xdr:col>28</xdr:col>
      <xdr:colOff>38100</xdr:colOff>
      <xdr:row>17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CB4F39F-3BFF-FD9A-FA53-3BE1B9F0C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180022</xdr:rowOff>
    </xdr:from>
    <xdr:ext cx="1533946" cy="234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4A0DCBD6-1402-437B-A5FB-EFC7046A70DD}"/>
                </a:ext>
              </a:extLst>
            </xdr:cNvPr>
            <xdr:cNvSpPr txBox="1"/>
          </xdr:nvSpPr>
          <xdr:spPr>
            <a:xfrm>
              <a:off x="4419600" y="549592"/>
              <a:ext cx="1533946" cy="234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1" i="1">
                        <a:latin typeface="Cambria Math" panose="02040503050406030204" pitchFamily="18" charset="0"/>
                      </a:rPr>
                      <m:t>𝒉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t-BR" sz="14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p>
                        <m:sSub>
                          <m:sSubPr>
                            <m:ctrlPr>
                              <a:rPr lang="pt-BR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b="1" i="1">
                                <a:latin typeface="Cambria Math" panose="02040503050406030204" pitchFamily="18" charset="0"/>
                              </a:rPr>
                              <m:t>𝜷</m:t>
                            </m:r>
                          </m:e>
                          <m:sub>
                            <m:r>
                              <a:rPr lang="pt-BR" sz="14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pt-BR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b="1" i="1">
                                <a:latin typeface="Cambria Math" panose="02040503050406030204" pitchFamily="18" charset="0"/>
                              </a:rPr>
                              <m:t>𝜷</m:t>
                            </m:r>
                          </m:e>
                          <m:sub>
                            <m:r>
                              <a:rPr lang="pt-BR" sz="14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 . </m:t>
                        </m:r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𝒅</m:t>
                        </m:r>
                      </m:sup>
                    </m:sSup>
                    <m:r>
                      <a:rPr lang="pt-BR" sz="14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𝟑</m:t>
                    </m:r>
                  </m:oMath>
                </m:oMathPara>
              </a14:m>
              <a:endParaRPr lang="pt-BR" sz="1400" b="1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4A0DCBD6-1402-437B-A5FB-EFC7046A70DD}"/>
                </a:ext>
              </a:extLst>
            </xdr:cNvPr>
            <xdr:cNvSpPr txBox="1"/>
          </xdr:nvSpPr>
          <xdr:spPr>
            <a:xfrm>
              <a:off x="4419600" y="549592"/>
              <a:ext cx="1533946" cy="234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400" b="1" i="0">
                  <a:latin typeface="Cambria Math" panose="02040503050406030204" pitchFamily="18" charset="0"/>
                </a:rPr>
                <a:t>𝒉=𝒆^(𝜷_𝟎+𝜷_𝟏  . 𝒅)+𝟏,𝟑</a:t>
              </a:r>
              <a:endParaRPr lang="pt-BR" sz="1400" b="1"/>
            </a:p>
          </xdr:txBody>
        </xdr:sp>
      </mc:Fallback>
    </mc:AlternateContent>
    <xdr:clientData/>
  </xdr:oneCellAnchor>
  <xdr:oneCellAnchor>
    <xdr:from>
      <xdr:col>7</xdr:col>
      <xdr:colOff>133350</xdr:colOff>
      <xdr:row>5</xdr:row>
      <xdr:rowOff>130492</xdr:rowOff>
    </xdr:from>
    <xdr:ext cx="985976" cy="240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1F3F26B1-B593-4CB9-A763-3F59529193F1}"/>
                </a:ext>
              </a:extLst>
            </xdr:cNvPr>
            <xdr:cNvSpPr txBox="1"/>
          </xdr:nvSpPr>
          <xdr:spPr>
            <a:xfrm>
              <a:off x="4400550" y="1044892"/>
              <a:ext cx="985976" cy="240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1" i="1">
                        <a:latin typeface="Cambria Math" panose="02040503050406030204" pitchFamily="18" charset="0"/>
                      </a:rPr>
                      <m:t>𝒉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𝜷</m:t>
                        </m:r>
                      </m:e>
                      <m:sub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pt-BR" sz="1400" b="1" i="1">
                        <a:latin typeface="Cambria Math" panose="02040503050406030204" pitchFamily="18" charset="0"/>
                      </a:rPr>
                      <m:t>.   </m:t>
                    </m:r>
                    <m:sSubSup>
                      <m:sSubSupPr>
                        <m:ctrlPr>
                          <a:rPr lang="pt-BR" sz="14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𝜷</m:t>
                        </m:r>
                      </m:e>
                      <m:sub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  <m:sup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𝒅</m:t>
                        </m:r>
                      </m:sup>
                    </m:sSubSup>
                    <m:r>
                      <a:rPr lang="pt-BR" sz="1400" b="1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pt-BR" sz="1400" b="1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1F3F26B1-B593-4CB9-A763-3F59529193F1}"/>
                </a:ext>
              </a:extLst>
            </xdr:cNvPr>
            <xdr:cNvSpPr txBox="1"/>
          </xdr:nvSpPr>
          <xdr:spPr>
            <a:xfrm>
              <a:off x="4400550" y="1044892"/>
              <a:ext cx="985976" cy="240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400" b="1" i="0">
                  <a:latin typeface="Cambria Math" panose="02040503050406030204" pitchFamily="18" charset="0"/>
                </a:rPr>
                <a:t>𝒉=𝜷_𝟎.   𝜷_𝟏^𝒅  </a:t>
              </a:r>
              <a:endParaRPr lang="pt-BR" sz="1400" b="1"/>
            </a:p>
          </xdr:txBody>
        </xdr:sp>
      </mc:Fallback>
    </mc:AlternateContent>
    <xdr:clientData/>
  </xdr:oneCellAnchor>
  <xdr:oneCellAnchor>
    <xdr:from>
      <xdr:col>7</xdr:col>
      <xdr:colOff>150495</xdr:colOff>
      <xdr:row>8</xdr:row>
      <xdr:rowOff>113347</xdr:rowOff>
    </xdr:from>
    <xdr:ext cx="2028761" cy="6632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199B200C-82E7-4482-A92E-E50114859F04}"/>
                </a:ext>
              </a:extLst>
            </xdr:cNvPr>
            <xdr:cNvSpPr txBox="1"/>
          </xdr:nvSpPr>
          <xdr:spPr>
            <a:xfrm>
              <a:off x="4417695" y="1570672"/>
              <a:ext cx="2028761" cy="6632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1" i="1">
                        <a:latin typeface="Cambria Math" panose="02040503050406030204" pitchFamily="18" charset="0"/>
                      </a:rPr>
                      <m:t>𝒉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pt-BR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sSup>
                          <m:sSupPr>
                            <m:ctrlPr>
                              <a:rPr lang="pt-BR" sz="14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pt-BR" sz="14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t-BR" sz="14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t-BR" sz="1400" b="1" i="1">
                                        <a:latin typeface="Cambria Math" panose="02040503050406030204" pitchFamily="18" charset="0"/>
                                      </a:rPr>
                                      <m:t>𝜷</m:t>
                                    </m:r>
                                  </m:e>
                                  <m:sub>
                                    <m:r>
                                      <a:rPr lang="pt-BR" sz="1400" b="1" i="1">
                                        <a:latin typeface="Cambria Math" panose="02040503050406030204" pitchFamily="18" charset="0"/>
                                      </a:rPr>
                                      <m:t>𝟎</m:t>
                                    </m:r>
                                  </m:sub>
                                </m:sSub>
                                <m:r>
                                  <a:rPr lang="pt-BR" sz="1400" b="1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pt-BR" sz="14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t-BR" sz="1400" b="1" i="1">
                                        <a:latin typeface="Cambria Math" panose="02040503050406030204" pitchFamily="18" charset="0"/>
                                      </a:rPr>
                                      <m:t>𝜷</m:t>
                                    </m:r>
                                  </m:e>
                                  <m:sub>
                                    <m:r>
                                      <a:rPr lang="pt-BR" sz="1400" b="1" i="1">
                                        <a:latin typeface="Cambria Math" panose="02040503050406030204" pitchFamily="18" charset="0"/>
                                      </a:rPr>
                                      <m:t>𝟏</m:t>
                                    </m:r>
                                  </m:sub>
                                </m:sSub>
                                <m:r>
                                  <a:rPr lang="pt-BR" sz="1400" b="1" i="1">
                                    <a:latin typeface="Cambria Math" panose="02040503050406030204" pitchFamily="18" charset="0"/>
                                  </a:rPr>
                                  <m:t> . </m:t>
                                </m:r>
                                <m:f>
                                  <m:fPr>
                                    <m:ctrlPr>
                                      <a:rPr lang="pt-BR" sz="14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pt-BR" sz="1400" b="1" i="1">
                                        <a:latin typeface="Cambria Math" panose="02040503050406030204" pitchFamily="18" charset="0"/>
                                      </a:rPr>
                                      <m:t>𝟏</m:t>
                                    </m:r>
                                  </m:num>
                                  <m:den>
                                    <m:r>
                                      <a:rPr lang="pt-BR" sz="1400" b="1" i="1">
                                        <a:latin typeface="Cambria Math" panose="02040503050406030204" pitchFamily="18" charset="0"/>
                                      </a:rPr>
                                      <m:t>𝒅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pt-BR" sz="14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den>
                    </m:f>
                    <m:r>
                      <a:rPr lang="pt-BR" sz="14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𝟑</m:t>
                    </m:r>
                  </m:oMath>
                </m:oMathPara>
              </a14:m>
              <a:endParaRPr lang="pt-BR" sz="1400" b="1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199B200C-82E7-4482-A92E-E50114859F04}"/>
                </a:ext>
              </a:extLst>
            </xdr:cNvPr>
            <xdr:cNvSpPr txBox="1"/>
          </xdr:nvSpPr>
          <xdr:spPr>
            <a:xfrm>
              <a:off x="4417695" y="1570672"/>
              <a:ext cx="2028761" cy="6632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400" b="1" i="0">
                  <a:latin typeface="Cambria Math" panose="02040503050406030204" pitchFamily="18" charset="0"/>
                </a:rPr>
                <a:t>𝒉=  𝟏/(𝜷_𝟎+𝜷_𝟏  . 𝟏/𝒅)^𝟐 +𝟏,𝟑</a:t>
              </a:r>
              <a:endParaRPr lang="pt-BR" sz="1400" b="1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2979-1CB1-43E4-B392-D922F64CAB05}">
  <dimension ref="B2:AE25"/>
  <sheetViews>
    <sheetView topLeftCell="R1" zoomScale="150" zoomScaleNormal="150" workbookViewId="0">
      <selection activeCell="AD6" sqref="AD6"/>
    </sheetView>
  </sheetViews>
  <sheetFormatPr defaultRowHeight="15" x14ac:dyDescent="0.25"/>
  <cols>
    <col min="2" max="2" width="9.7109375" bestFit="1" customWidth="1"/>
    <col min="13" max="13" width="17" customWidth="1"/>
    <col min="29" max="29" width="16.7109375" customWidth="1"/>
  </cols>
  <sheetData>
    <row r="2" spans="2:31" x14ac:dyDescent="0.25">
      <c r="B2" s="7" t="s">
        <v>12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V2" s="7" t="s">
        <v>18</v>
      </c>
    </row>
    <row r="4" spans="2:31" x14ac:dyDescent="0.25">
      <c r="I4" s="34" t="s">
        <v>13</v>
      </c>
      <c r="J4" s="34"/>
      <c r="K4" s="34"/>
    </row>
    <row r="5" spans="2:31" x14ac:dyDescent="0.25">
      <c r="B5" s="6" t="s">
        <v>3</v>
      </c>
      <c r="C5" s="5">
        <v>25.8</v>
      </c>
      <c r="E5" s="2" t="s">
        <v>7</v>
      </c>
      <c r="F5" s="2" t="s">
        <v>6</v>
      </c>
      <c r="G5" s="8" t="s">
        <v>5</v>
      </c>
      <c r="H5" s="1"/>
      <c r="I5" s="8" t="s">
        <v>0</v>
      </c>
      <c r="J5" s="8" t="s">
        <v>14</v>
      </c>
      <c r="K5" s="8" t="s">
        <v>15</v>
      </c>
      <c r="V5" s="6" t="s">
        <v>3</v>
      </c>
      <c r="W5" s="5">
        <v>32.5</v>
      </c>
      <c r="Y5" s="2" t="s">
        <v>19</v>
      </c>
      <c r="Z5" s="2" t="s">
        <v>6</v>
      </c>
      <c r="AA5" s="8" t="s">
        <v>5</v>
      </c>
    </row>
    <row r="6" spans="2:31" x14ac:dyDescent="0.25">
      <c r="B6" s="6" t="s">
        <v>4</v>
      </c>
      <c r="C6" s="5">
        <v>18.5</v>
      </c>
      <c r="E6" s="3">
        <v>0.1</v>
      </c>
      <c r="F6" s="3">
        <v>27.1</v>
      </c>
      <c r="G6" s="9">
        <f t="shared" ref="G6:G24" si="0">F6^2*pi/40000</f>
        <v>5.7680426518072009E-2</v>
      </c>
      <c r="I6" s="9">
        <f>AVERAGE(G6:G7)*(E7-E6)</f>
        <v>3.3725861074266165E-2</v>
      </c>
      <c r="J6" s="9">
        <f>G7*(E8-E6)</f>
        <v>6.5686932475378254E-2</v>
      </c>
      <c r="K6" s="9">
        <f>(G6+4*G7+G8)/6*(E8-E6)</f>
        <v>6.5783222290210774E-2</v>
      </c>
      <c r="M6" s="11" t="s">
        <v>8</v>
      </c>
      <c r="N6" s="9">
        <f>G6*E6</f>
        <v>5.7680426518072012E-3</v>
      </c>
      <c r="O6" s="9" t="s">
        <v>10</v>
      </c>
      <c r="V6" s="6" t="s">
        <v>4</v>
      </c>
      <c r="W6" s="5">
        <v>22</v>
      </c>
      <c r="Y6" s="3">
        <v>0.05</v>
      </c>
      <c r="Z6" s="3">
        <v>42.6</v>
      </c>
      <c r="AA6" s="9"/>
      <c r="AC6" s="11" t="s">
        <v>20</v>
      </c>
      <c r="AD6" s="16">
        <f>COUNT(Y6:Y15)</f>
        <v>10</v>
      </c>
      <c r="AE6" s="16"/>
    </row>
    <row r="7" spans="2:31" x14ac:dyDescent="0.25">
      <c r="E7" s="3">
        <v>0.7</v>
      </c>
      <c r="F7" s="3">
        <v>26.4</v>
      </c>
      <c r="G7" s="9">
        <f t="shared" si="0"/>
        <v>5.4739110396148545E-2</v>
      </c>
      <c r="I7" s="9">
        <f>AVERAGE(G7:G8)*(E8-E7)</f>
        <v>3.2105506123360897E-2</v>
      </c>
      <c r="J7" s="9"/>
      <c r="K7" s="9"/>
      <c r="M7" s="12" t="s">
        <v>9</v>
      </c>
      <c r="N7" s="10">
        <f>G24*(C6-E24)/3</f>
        <v>3.2169908772759466E-4</v>
      </c>
      <c r="O7" s="10" t="s">
        <v>10</v>
      </c>
      <c r="Y7" s="3">
        <v>0.15</v>
      </c>
      <c r="Z7" s="3">
        <v>32.1</v>
      </c>
      <c r="AA7" s="9"/>
      <c r="AC7" s="13" t="s">
        <v>21</v>
      </c>
      <c r="AD7" s="17"/>
      <c r="AE7" s="17" t="s">
        <v>10</v>
      </c>
    </row>
    <row r="8" spans="2:31" x14ac:dyDescent="0.25">
      <c r="E8" s="3">
        <v>1.3</v>
      </c>
      <c r="F8" s="3">
        <v>25.8</v>
      </c>
      <c r="G8" s="9">
        <f t="shared" si="0"/>
        <v>5.2279243348387752E-2</v>
      </c>
      <c r="I8" s="9">
        <f t="shared" ref="I8:I23" si="1">AVERAGE(G8:G9)*(E9-E8)</f>
        <v>4.9137650694797946E-2</v>
      </c>
      <c r="J8" s="9">
        <f t="shared" ref="J8:J14" si="2">G9*(E10-E8)</f>
        <v>9.1992116082416309E-2</v>
      </c>
      <c r="K8" s="9">
        <f t="shared" ref="K8:K22" si="3">(G8+4*G9+G10)/6*(E10-E8)</f>
        <v>9.2483513533315326E-2</v>
      </c>
      <c r="M8" s="11" t="s">
        <v>11</v>
      </c>
      <c r="N8" s="9">
        <f>G8*C6</f>
        <v>0.96716600194517344</v>
      </c>
      <c r="O8" s="9" t="s">
        <v>10</v>
      </c>
      <c r="Y8" s="3">
        <v>0.25</v>
      </c>
      <c r="Z8" s="3">
        <v>25.9</v>
      </c>
      <c r="AA8" s="9"/>
    </row>
    <row r="9" spans="2:31" x14ac:dyDescent="0.25">
      <c r="B9" s="33">
        <f>PI()</f>
        <v>3.1415926535897931</v>
      </c>
      <c r="E9" s="3">
        <v>2.2999999999999998</v>
      </c>
      <c r="F9" s="3">
        <v>24.2</v>
      </c>
      <c r="G9" s="9">
        <f t="shared" si="0"/>
        <v>4.5996058041208161E-2</v>
      </c>
      <c r="I9" s="9">
        <f t="shared" si="1"/>
        <v>4.3591561563966874E-2</v>
      </c>
      <c r="J9" s="9"/>
      <c r="K9" s="9"/>
      <c r="Y9" s="3">
        <v>0.35</v>
      </c>
      <c r="Z9" s="3">
        <v>18.8</v>
      </c>
      <c r="AA9" s="9"/>
      <c r="AC9" s="11" t="s">
        <v>23</v>
      </c>
      <c r="AD9" s="16"/>
      <c r="AE9" s="16" t="s">
        <v>10</v>
      </c>
    </row>
    <row r="10" spans="2:31" x14ac:dyDescent="0.25">
      <c r="E10" s="3">
        <v>3.3</v>
      </c>
      <c r="F10" s="3">
        <v>22.9</v>
      </c>
      <c r="G10" s="9">
        <f t="shared" si="0"/>
        <v>4.1187065086725587E-2</v>
      </c>
      <c r="I10" s="9">
        <f t="shared" si="1"/>
        <v>3.9600168097581046E-2</v>
      </c>
      <c r="J10" s="9">
        <f t="shared" si="2"/>
        <v>7.6026542216872994E-2</v>
      </c>
      <c r="K10" s="9">
        <f t="shared" si="3"/>
        <v>7.6290959598550145E-2</v>
      </c>
      <c r="N10" s="15" t="s">
        <v>0</v>
      </c>
      <c r="O10" s="15" t="s">
        <v>14</v>
      </c>
      <c r="P10" s="15" t="s">
        <v>15</v>
      </c>
      <c r="Y10" s="3">
        <v>0.45</v>
      </c>
      <c r="Z10" s="3">
        <v>13.6</v>
      </c>
      <c r="AA10" s="9"/>
      <c r="AC10" s="13" t="s">
        <v>22</v>
      </c>
      <c r="AD10" s="17"/>
      <c r="AE10" s="17"/>
    </row>
    <row r="11" spans="2:31" x14ac:dyDescent="0.25">
      <c r="E11" s="3">
        <v>4.3</v>
      </c>
      <c r="F11" s="3">
        <v>22</v>
      </c>
      <c r="G11" s="9">
        <f t="shared" si="0"/>
        <v>3.8013271108436497E-2</v>
      </c>
      <c r="I11" s="9">
        <f t="shared" si="1"/>
        <v>3.6823000191807669E-2</v>
      </c>
      <c r="J11" s="9"/>
      <c r="K11" s="9"/>
      <c r="M11" s="13" t="s">
        <v>16</v>
      </c>
      <c r="N11" s="14">
        <f>$N$6+I25+$N$7</f>
        <v>0.44003879891787273</v>
      </c>
      <c r="O11" s="14">
        <f t="shared" ref="O11:P11" si="4">$N$6+J25+$N$7</f>
        <v>0.44002002790176747</v>
      </c>
      <c r="P11" s="14">
        <f t="shared" si="4"/>
        <v>0.44003254191250429</v>
      </c>
      <c r="Y11" s="3">
        <v>0.55000000000000004</v>
      </c>
      <c r="Z11" s="3">
        <v>9.6999999999999993</v>
      </c>
      <c r="AA11" s="9"/>
    </row>
    <row r="12" spans="2:31" x14ac:dyDescent="0.25">
      <c r="E12" s="3">
        <v>5.3</v>
      </c>
      <c r="F12" s="3">
        <v>21.3</v>
      </c>
      <c r="G12" s="9">
        <f t="shared" si="0"/>
        <v>3.563272927517884E-2</v>
      </c>
      <c r="I12" s="9">
        <f t="shared" si="1"/>
        <v>3.3681800237299581E-2</v>
      </c>
      <c r="J12" s="9">
        <f t="shared" si="2"/>
        <v>6.3461742398840629E-2</v>
      </c>
      <c r="K12" s="9">
        <f t="shared" si="3"/>
        <v>6.3736108157254126E-2</v>
      </c>
      <c r="M12" s="13" t="s">
        <v>17</v>
      </c>
      <c r="N12" s="14">
        <f>N11/$N$8</f>
        <v>0.45497753026146753</v>
      </c>
      <c r="O12" s="14">
        <f t="shared" ref="O12:P12" si="5">O11/$N$8</f>
        <v>0.45495812199435776</v>
      </c>
      <c r="P12" s="14">
        <f t="shared" si="5"/>
        <v>0.45497106083909761</v>
      </c>
      <c r="Y12" s="3">
        <v>0.65</v>
      </c>
      <c r="Z12" s="3">
        <v>6.2</v>
      </c>
      <c r="AA12" s="9"/>
    </row>
    <row r="13" spans="2:31" x14ac:dyDescent="0.25">
      <c r="E13" s="3">
        <v>6.3</v>
      </c>
      <c r="F13" s="3">
        <v>20.100000000000001</v>
      </c>
      <c r="G13" s="9">
        <f t="shared" si="0"/>
        <v>3.1730871199420314E-2</v>
      </c>
      <c r="I13" s="9">
        <f t="shared" si="1"/>
        <v>3.0191490799161315E-2</v>
      </c>
      <c r="J13" s="9"/>
      <c r="K13" s="9"/>
      <c r="Y13" s="3">
        <v>0.75</v>
      </c>
      <c r="Z13" s="3">
        <v>5.3</v>
      </c>
      <c r="AA13" s="9"/>
    </row>
    <row r="14" spans="2:31" x14ac:dyDescent="0.25">
      <c r="E14" s="3">
        <v>7.3</v>
      </c>
      <c r="F14" s="3">
        <v>19.100000000000001</v>
      </c>
      <c r="G14" s="9">
        <f t="shared" si="0"/>
        <v>2.8652110398902319E-2</v>
      </c>
      <c r="I14" s="9">
        <f t="shared" si="1"/>
        <v>2.8205611543010892E-2</v>
      </c>
      <c r="J14" s="9">
        <f t="shared" si="2"/>
        <v>5.551822537423886E-2</v>
      </c>
      <c r="K14" s="9">
        <f t="shared" si="3"/>
        <v>5.4307926804443379E-2</v>
      </c>
      <c r="Y14" s="3">
        <v>0.85</v>
      </c>
      <c r="Z14" s="3">
        <v>4.2</v>
      </c>
      <c r="AA14" s="9"/>
    </row>
    <row r="15" spans="2:31" x14ac:dyDescent="0.25">
      <c r="E15" s="3">
        <v>8.3000000000000007</v>
      </c>
      <c r="F15" s="3">
        <v>18.8</v>
      </c>
      <c r="G15" s="9">
        <f t="shared" si="0"/>
        <v>2.7759112687119416E-2</v>
      </c>
      <c r="I15" s="9">
        <f t="shared" si="1"/>
        <v>2.5497165976534761E-2</v>
      </c>
      <c r="J15" s="9"/>
      <c r="K15" s="9"/>
      <c r="Y15" s="4">
        <v>0.95</v>
      </c>
      <c r="Z15" s="4">
        <v>3.6</v>
      </c>
      <c r="AA15" s="10"/>
    </row>
    <row r="16" spans="2:31" x14ac:dyDescent="0.25">
      <c r="E16" s="3">
        <v>9.3000000000000007</v>
      </c>
      <c r="F16" s="3">
        <v>17.2</v>
      </c>
      <c r="G16" s="9">
        <f t="shared" si="0"/>
        <v>2.3235219265950107E-2</v>
      </c>
      <c r="I16" s="9">
        <f t="shared" si="1"/>
        <v>2.1545435117400501E-2</v>
      </c>
      <c r="J16" s="9">
        <f t="shared" ref="J16:J22" si="6">G17*(E18-E16)</f>
        <v>3.9711301937701782E-2</v>
      </c>
      <c r="K16" s="9">
        <f t="shared" si="3"/>
        <v>3.9572810061556031E-2</v>
      </c>
      <c r="AA16" s="14"/>
    </row>
    <row r="17" spans="5:11" x14ac:dyDescent="0.25">
      <c r="E17" s="3">
        <v>10.3</v>
      </c>
      <c r="F17" s="3">
        <v>15.9</v>
      </c>
      <c r="G17" s="9">
        <f t="shared" si="0"/>
        <v>1.9855650968850891E-2</v>
      </c>
      <c r="I17" s="9">
        <f t="shared" si="1"/>
        <v>1.7958129006082655E-2</v>
      </c>
      <c r="J17" s="9"/>
      <c r="K17" s="9"/>
    </row>
    <row r="18" spans="5:11" x14ac:dyDescent="0.25">
      <c r="E18" s="3">
        <v>11.3</v>
      </c>
      <c r="F18" s="3">
        <v>14.3</v>
      </c>
      <c r="G18" s="9">
        <f t="shared" si="0"/>
        <v>1.6060607043314419E-2</v>
      </c>
      <c r="I18" s="9">
        <f t="shared" si="1"/>
        <v>1.436414701037593E-2</v>
      </c>
      <c r="J18" s="9">
        <f t="shared" si="6"/>
        <v>2.5335373954874885E-2</v>
      </c>
      <c r="K18" s="9">
        <f t="shared" si="3"/>
        <v>2.529741304364401E-2</v>
      </c>
    </row>
    <row r="19" spans="5:11" x14ac:dyDescent="0.25">
      <c r="E19" s="3">
        <v>12.3</v>
      </c>
      <c r="F19" s="3">
        <v>12.7</v>
      </c>
      <c r="G19" s="9">
        <f t="shared" si="0"/>
        <v>1.2667686977437443E-2</v>
      </c>
      <c r="I19" s="9">
        <f t="shared" si="1"/>
        <v>1.091428557765264E-2</v>
      </c>
      <c r="J19" s="9"/>
      <c r="K19" s="9"/>
    </row>
    <row r="20" spans="5:11" x14ac:dyDescent="0.25">
      <c r="E20" s="3">
        <v>13.3</v>
      </c>
      <c r="F20" s="3">
        <v>10.8</v>
      </c>
      <c r="G20" s="9">
        <f t="shared" si="0"/>
        <v>9.1608841778678379E-3</v>
      </c>
      <c r="I20" s="9">
        <f t="shared" si="1"/>
        <v>7.4848444971776819E-3</v>
      </c>
      <c r="J20" s="9">
        <f t="shared" si="6"/>
        <v>1.1617609632975054E-2</v>
      </c>
      <c r="K20" s="9">
        <f t="shared" si="3"/>
        <v>1.1973918599769698E-2</v>
      </c>
    </row>
    <row r="21" spans="5:11" x14ac:dyDescent="0.25">
      <c r="E21" s="3">
        <v>14.3</v>
      </c>
      <c r="F21" s="3">
        <v>8.6</v>
      </c>
      <c r="G21" s="9">
        <f t="shared" si="0"/>
        <v>5.8088048164875268E-3</v>
      </c>
      <c r="I21" s="9">
        <f t="shared" si="1"/>
        <v>4.6672285859893359E-3</v>
      </c>
      <c r="J21" s="9"/>
      <c r="K21" s="9"/>
    </row>
    <row r="22" spans="5:11" x14ac:dyDescent="0.25">
      <c r="E22" s="3">
        <v>15.3</v>
      </c>
      <c r="F22" s="3">
        <v>6.7</v>
      </c>
      <c r="G22" s="9">
        <f t="shared" si="0"/>
        <v>3.5256523554911454E-3</v>
      </c>
      <c r="I22" s="9">
        <f t="shared" si="1"/>
        <v>2.9079366999790524E-3</v>
      </c>
      <c r="J22" s="9">
        <f t="shared" si="6"/>
        <v>4.5804420889339189E-3</v>
      </c>
      <c r="K22" s="9">
        <f t="shared" si="3"/>
        <v>4.4969280842259906E-3</v>
      </c>
    </row>
    <row r="23" spans="5:11" x14ac:dyDescent="0.25">
      <c r="E23" s="3">
        <v>16.3</v>
      </c>
      <c r="F23" s="3">
        <v>5.4</v>
      </c>
      <c r="G23" s="9">
        <f t="shared" si="0"/>
        <v>2.2902210444669595E-3</v>
      </c>
      <c r="I23" s="9">
        <f t="shared" si="1"/>
        <v>1.5472343818929732E-3</v>
      </c>
      <c r="J23" s="9"/>
      <c r="K23" s="9"/>
    </row>
    <row r="24" spans="5:11" x14ac:dyDescent="0.25">
      <c r="E24" s="4">
        <v>17.3</v>
      </c>
      <c r="F24" s="4">
        <v>3.2</v>
      </c>
      <c r="G24" s="9">
        <f t="shared" si="0"/>
        <v>8.0424771931898709E-4</v>
      </c>
      <c r="I24" s="9"/>
      <c r="J24" s="10"/>
      <c r="K24" s="10"/>
    </row>
    <row r="25" spans="5:11" x14ac:dyDescent="0.25">
      <c r="G25" s="14"/>
      <c r="I25" s="14">
        <f>SUM(I6:I24)</f>
        <v>0.43394905717833793</v>
      </c>
      <c r="J25" s="14">
        <f>SUM(J6:J24)</f>
        <v>0.43393028616223267</v>
      </c>
      <c r="K25" s="14">
        <f>SUM(K6:K24)</f>
        <v>0.43394280017296949</v>
      </c>
    </row>
  </sheetData>
  <mergeCells count="1">
    <mergeCell ref="I4:K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8751-22FB-4BFB-BF20-2F8E8146F825}">
  <dimension ref="B2:G23"/>
  <sheetViews>
    <sheetView tabSelected="1" workbookViewId="0">
      <selection activeCell="F16" sqref="F16"/>
    </sheetView>
  </sheetViews>
  <sheetFormatPr defaultRowHeight="15" x14ac:dyDescent="0.25"/>
  <sheetData>
    <row r="2" spans="2:7" x14ac:dyDescent="0.25">
      <c r="B2" t="s">
        <v>57</v>
      </c>
    </row>
    <row r="4" spans="2:7" x14ac:dyDescent="0.25">
      <c r="B4" s="27" t="s">
        <v>7</v>
      </c>
      <c r="C4" s="27" t="s">
        <v>6</v>
      </c>
      <c r="E4" s="35" t="s">
        <v>58</v>
      </c>
      <c r="F4" s="5">
        <v>19.2</v>
      </c>
      <c r="G4" s="36" t="s">
        <v>59</v>
      </c>
    </row>
    <row r="5" spans="2:7" x14ac:dyDescent="0.25">
      <c r="B5" s="3">
        <v>0.1</v>
      </c>
      <c r="C5" s="3">
        <v>28.7</v>
      </c>
    </row>
    <row r="6" spans="2:7" x14ac:dyDescent="0.25">
      <c r="B6" s="3">
        <v>0.3</v>
      </c>
      <c r="C6" s="3">
        <v>24.4</v>
      </c>
    </row>
    <row r="7" spans="2:7" x14ac:dyDescent="0.25">
      <c r="B7" s="3">
        <v>1.3</v>
      </c>
      <c r="C7" s="3">
        <v>23.7</v>
      </c>
    </row>
    <row r="8" spans="2:7" x14ac:dyDescent="0.25">
      <c r="B8" s="3">
        <v>2.2999999999999998</v>
      </c>
      <c r="C8" s="3">
        <v>23</v>
      </c>
    </row>
    <row r="9" spans="2:7" x14ac:dyDescent="0.25">
      <c r="B9" s="3">
        <v>3.3</v>
      </c>
      <c r="C9" s="3">
        <v>21.8</v>
      </c>
    </row>
    <row r="10" spans="2:7" x14ac:dyDescent="0.25">
      <c r="B10" s="3">
        <v>4.3</v>
      </c>
      <c r="C10" s="3">
        <v>20.8</v>
      </c>
    </row>
    <row r="11" spans="2:7" x14ac:dyDescent="0.25">
      <c r="B11" s="3">
        <v>5.3</v>
      </c>
      <c r="C11" s="3">
        <v>20.8</v>
      </c>
    </row>
    <row r="12" spans="2:7" x14ac:dyDescent="0.25">
      <c r="B12" s="3">
        <v>6.3</v>
      </c>
      <c r="C12" s="3">
        <v>19.5</v>
      </c>
    </row>
    <row r="13" spans="2:7" x14ac:dyDescent="0.25">
      <c r="B13" s="3">
        <v>7.3</v>
      </c>
      <c r="C13" s="3">
        <v>18.7</v>
      </c>
    </row>
    <row r="14" spans="2:7" x14ac:dyDescent="0.25">
      <c r="B14" s="3">
        <v>8.3000000000000007</v>
      </c>
      <c r="C14" s="3">
        <v>18.2</v>
      </c>
    </row>
    <row r="15" spans="2:7" x14ac:dyDescent="0.25">
      <c r="B15" s="3">
        <v>9.3000000000000007</v>
      </c>
      <c r="C15" s="3">
        <v>16.7</v>
      </c>
    </row>
    <row r="16" spans="2:7" x14ac:dyDescent="0.25">
      <c r="B16" s="3">
        <v>10.3</v>
      </c>
      <c r="C16" s="3">
        <v>16.3</v>
      </c>
    </row>
    <row r="17" spans="2:3" x14ac:dyDescent="0.25">
      <c r="B17" s="3">
        <v>11.3</v>
      </c>
      <c r="C17" s="3">
        <v>15.1</v>
      </c>
    </row>
    <row r="18" spans="2:3" x14ac:dyDescent="0.25">
      <c r="B18" s="3">
        <v>12.3</v>
      </c>
      <c r="C18" s="3">
        <v>13.8</v>
      </c>
    </row>
    <row r="19" spans="2:3" x14ac:dyDescent="0.25">
      <c r="B19" s="3">
        <v>13.3</v>
      </c>
      <c r="C19" s="3">
        <v>11.7</v>
      </c>
    </row>
    <row r="20" spans="2:3" x14ac:dyDescent="0.25">
      <c r="B20" s="3">
        <v>14.3</v>
      </c>
      <c r="C20" s="3">
        <v>10.7</v>
      </c>
    </row>
    <row r="21" spans="2:3" x14ac:dyDescent="0.25">
      <c r="B21" s="3">
        <v>15.3</v>
      </c>
      <c r="C21" s="3">
        <v>8.6999999999999993</v>
      </c>
    </row>
    <row r="22" spans="2:3" x14ac:dyDescent="0.25">
      <c r="B22" s="3">
        <v>15.8</v>
      </c>
      <c r="C22" s="3">
        <v>8</v>
      </c>
    </row>
    <row r="23" spans="2:3" x14ac:dyDescent="0.25">
      <c r="B23" s="1"/>
      <c r="C23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6545-4037-4516-96A6-284C09272056}">
  <dimension ref="B2:T37"/>
  <sheetViews>
    <sheetView zoomScale="140" zoomScaleNormal="140" workbookViewId="0">
      <selection activeCell="L5" sqref="L5"/>
    </sheetView>
  </sheetViews>
  <sheetFormatPr defaultRowHeight="15" x14ac:dyDescent="0.25"/>
  <cols>
    <col min="20" max="20" width="12" customWidth="1"/>
  </cols>
  <sheetData>
    <row r="2" spans="2:20" ht="15.75" thickBot="1" x14ac:dyDescent="0.3">
      <c r="B2" s="18" t="s">
        <v>24</v>
      </c>
      <c r="C2" s="18" t="s">
        <v>1</v>
      </c>
      <c r="D2" s="18" t="s">
        <v>2</v>
      </c>
      <c r="E2" s="18" t="s">
        <v>26</v>
      </c>
      <c r="F2" s="18" t="s">
        <v>27</v>
      </c>
      <c r="H2" t="s">
        <v>31</v>
      </c>
      <c r="S2" s="26" t="s">
        <v>29</v>
      </c>
      <c r="T2" s="26" t="s">
        <v>30</v>
      </c>
    </row>
    <row r="3" spans="2:20" x14ac:dyDescent="0.25">
      <c r="B3" s="19">
        <v>1</v>
      </c>
      <c r="C3" s="20">
        <v>14.6</v>
      </c>
      <c r="D3" s="20">
        <v>17.7</v>
      </c>
      <c r="E3" s="9">
        <f>LN(D3-1.3)</f>
        <v>2.7972813348301528</v>
      </c>
      <c r="F3" s="9">
        <f>C3</f>
        <v>14.6</v>
      </c>
      <c r="S3" s="1">
        <v>5</v>
      </c>
      <c r="T3" s="32">
        <f>EXP($Q$4+$Q$5*S3)+1.3</f>
        <v>10.16063863662988</v>
      </c>
    </row>
    <row r="4" spans="2:20" x14ac:dyDescent="0.25">
      <c r="B4" s="21">
        <v>2</v>
      </c>
      <c r="C4" s="22">
        <v>12.7</v>
      </c>
      <c r="D4" s="22">
        <v>18.2</v>
      </c>
      <c r="E4" s="9">
        <f t="shared" ref="E4:E37" si="0">LN(D4-1.3)</f>
        <v>2.8273136219290276</v>
      </c>
      <c r="F4" s="9">
        <f t="shared" ref="F4:F37" si="1">C4</f>
        <v>12.7</v>
      </c>
      <c r="P4" t="s">
        <v>55</v>
      </c>
      <c r="Q4">
        <f>I23</f>
        <v>1.8770629899374764</v>
      </c>
      <c r="S4" s="1">
        <v>6</v>
      </c>
      <c r="T4" s="32">
        <f t="shared" ref="T4:T18" si="2">EXP($Q$4+$Q$5*S4)+1.3</f>
        <v>10.717126630950974</v>
      </c>
    </row>
    <row r="5" spans="2:20" x14ac:dyDescent="0.25">
      <c r="B5" s="21">
        <v>3</v>
      </c>
      <c r="C5" s="22">
        <v>7.3</v>
      </c>
      <c r="D5" s="22">
        <v>11.7</v>
      </c>
      <c r="E5" s="9">
        <f t="shared" si="0"/>
        <v>2.341805806147327</v>
      </c>
      <c r="F5" s="9">
        <f t="shared" si="1"/>
        <v>7.3</v>
      </c>
      <c r="P5" t="s">
        <v>56</v>
      </c>
      <c r="Q5">
        <f>I24</f>
        <v>6.0911170593108903E-2</v>
      </c>
      <c r="S5" s="1">
        <v>7</v>
      </c>
      <c r="T5" s="32">
        <f t="shared" si="2"/>
        <v>11.308564576457677</v>
      </c>
    </row>
    <row r="6" spans="2:20" x14ac:dyDescent="0.25">
      <c r="B6" s="21">
        <v>4</v>
      </c>
      <c r="C6" s="22">
        <v>18.3</v>
      </c>
      <c r="D6" s="22">
        <v>19.5</v>
      </c>
      <c r="E6" s="9">
        <f t="shared" si="0"/>
        <v>2.9014215940827497</v>
      </c>
      <c r="F6" s="9">
        <f t="shared" si="1"/>
        <v>18.3</v>
      </c>
      <c r="S6" s="1">
        <v>8</v>
      </c>
      <c r="T6" s="32">
        <f t="shared" si="2"/>
        <v>11.937147487418651</v>
      </c>
    </row>
    <row r="7" spans="2:20" x14ac:dyDescent="0.25">
      <c r="B7" s="21">
        <v>5</v>
      </c>
      <c r="C7" s="22">
        <v>12.6</v>
      </c>
      <c r="D7" s="22">
        <v>16.5</v>
      </c>
      <c r="E7" s="9">
        <f t="shared" si="0"/>
        <v>2.7212954278522306</v>
      </c>
      <c r="F7" s="9">
        <f t="shared" si="1"/>
        <v>12.6</v>
      </c>
      <c r="H7" t="s">
        <v>28</v>
      </c>
      <c r="S7" s="1">
        <v>9</v>
      </c>
      <c r="T7" s="32">
        <f t="shared" si="2"/>
        <v>12.605208234879933</v>
      </c>
    </row>
    <row r="8" spans="2:20" ht="15.75" thickBot="1" x14ac:dyDescent="0.3">
      <c r="B8" s="21">
        <v>6</v>
      </c>
      <c r="C8" s="22">
        <v>7.5</v>
      </c>
      <c r="D8" s="22">
        <v>10.199999999999999</v>
      </c>
      <c r="E8" s="9">
        <f t="shared" si="0"/>
        <v>2.1860512767380942</v>
      </c>
      <c r="F8" s="9">
        <f t="shared" si="1"/>
        <v>7.5</v>
      </c>
      <c r="S8" s="1">
        <v>10</v>
      </c>
      <c r="T8" s="32">
        <f t="shared" si="2"/>
        <v>13.315226204691138</v>
      </c>
    </row>
    <row r="9" spans="2:20" x14ac:dyDescent="0.25">
      <c r="B9" s="21">
        <v>7</v>
      </c>
      <c r="C9" s="22">
        <v>10.7</v>
      </c>
      <c r="D9" s="22">
        <v>14.8</v>
      </c>
      <c r="E9" s="9">
        <f t="shared" si="0"/>
        <v>2.6026896854443837</v>
      </c>
      <c r="F9" s="9">
        <f t="shared" si="1"/>
        <v>10.7</v>
      </c>
      <c r="H9" s="31" t="s">
        <v>32</v>
      </c>
      <c r="I9" s="31"/>
      <c r="S9" s="1">
        <v>11</v>
      </c>
      <c r="T9" s="32">
        <f t="shared" si="2"/>
        <v>14.069836499294682</v>
      </c>
    </row>
    <row r="10" spans="2:20" x14ac:dyDescent="0.25">
      <c r="B10" s="21">
        <v>8</v>
      </c>
      <c r="C10" s="22">
        <v>5.6</v>
      </c>
      <c r="D10" s="22">
        <v>8</v>
      </c>
      <c r="E10" s="9">
        <f t="shared" si="0"/>
        <v>1.9021075263969205</v>
      </c>
      <c r="F10" s="9">
        <f t="shared" si="1"/>
        <v>5.6</v>
      </c>
      <c r="H10" t="s">
        <v>33</v>
      </c>
      <c r="I10">
        <v>0.91119680782563495</v>
      </c>
      <c r="S10" s="1">
        <v>12</v>
      </c>
      <c r="T10" s="32">
        <f t="shared" si="2"/>
        <v>14.871839717428818</v>
      </c>
    </row>
    <row r="11" spans="2:20" x14ac:dyDescent="0.25">
      <c r="B11" s="21">
        <v>9</v>
      </c>
      <c r="C11" s="22">
        <v>9.5</v>
      </c>
      <c r="D11" s="22">
        <v>12.5</v>
      </c>
      <c r="E11" s="9">
        <f t="shared" si="0"/>
        <v>2.4159137783010487</v>
      </c>
      <c r="F11" s="9">
        <f t="shared" si="1"/>
        <v>9.5</v>
      </c>
      <c r="H11" t="s">
        <v>34</v>
      </c>
      <c r="I11">
        <v>0.83027962259162702</v>
      </c>
      <c r="S11" s="1">
        <v>13</v>
      </c>
      <c r="T11" s="32">
        <f t="shared" si="2"/>
        <v>15.724212348040005</v>
      </c>
    </row>
    <row r="12" spans="2:20" x14ac:dyDescent="0.25">
      <c r="B12" s="21">
        <v>10</v>
      </c>
      <c r="C12" s="22">
        <v>15.8</v>
      </c>
      <c r="D12" s="22">
        <v>17.5</v>
      </c>
      <c r="E12" s="9">
        <f t="shared" si="0"/>
        <v>2.7850112422383382</v>
      </c>
      <c r="F12" s="9">
        <f t="shared" si="1"/>
        <v>15.8</v>
      </c>
      <c r="H12" t="s">
        <v>35</v>
      </c>
      <c r="I12">
        <v>0.82513658085197938</v>
      </c>
      <c r="S12" s="1">
        <v>14</v>
      </c>
      <c r="T12" s="32">
        <f t="shared" si="2"/>
        <v>16.630117816979809</v>
      </c>
    </row>
    <row r="13" spans="2:20" x14ac:dyDescent="0.25">
      <c r="B13" s="21">
        <v>11</v>
      </c>
      <c r="C13" s="22">
        <v>7.6</v>
      </c>
      <c r="D13" s="22">
        <v>12.3</v>
      </c>
      <c r="E13" s="9">
        <f t="shared" si="0"/>
        <v>2.3978952727983707</v>
      </c>
      <c r="F13" s="9">
        <f t="shared" si="1"/>
        <v>7.6</v>
      </c>
      <c r="H13" t="s">
        <v>36</v>
      </c>
      <c r="I13">
        <v>0.11664966860138234</v>
      </c>
      <c r="S13" s="1">
        <v>15</v>
      </c>
      <c r="T13" s="32">
        <f t="shared" si="2"/>
        <v>17.592918227484073</v>
      </c>
    </row>
    <row r="14" spans="2:20" ht="15.75" thickBot="1" x14ac:dyDescent="0.3">
      <c r="B14" s="21">
        <v>12</v>
      </c>
      <c r="C14" s="22">
        <v>9.6999999999999993</v>
      </c>
      <c r="D14" s="22">
        <v>13.6</v>
      </c>
      <c r="E14" s="9">
        <f t="shared" si="0"/>
        <v>2.5095992623783716</v>
      </c>
      <c r="F14" s="9">
        <f t="shared" si="1"/>
        <v>9.6999999999999993</v>
      </c>
      <c r="H14" s="29" t="s">
        <v>37</v>
      </c>
      <c r="I14" s="29">
        <v>35</v>
      </c>
      <c r="S14" s="1">
        <v>16</v>
      </c>
      <c r="T14" s="32">
        <f t="shared" si="2"/>
        <v>18.616186838007025</v>
      </c>
    </row>
    <row r="15" spans="2:20" x14ac:dyDescent="0.25">
      <c r="B15" s="21">
        <v>13</v>
      </c>
      <c r="C15" s="22">
        <v>17.2</v>
      </c>
      <c r="D15" s="22">
        <v>17.899999999999999</v>
      </c>
      <c r="E15" s="9">
        <f t="shared" si="0"/>
        <v>2.8094026953624973</v>
      </c>
      <c r="F15" s="9">
        <f t="shared" si="1"/>
        <v>17.2</v>
      </c>
      <c r="S15" s="1">
        <v>17</v>
      </c>
      <c r="T15" s="32">
        <f t="shared" si="2"/>
        <v>19.703721323719549</v>
      </c>
    </row>
    <row r="16" spans="2:20" ht="15.75" thickBot="1" x14ac:dyDescent="0.3">
      <c r="B16" s="21">
        <v>14</v>
      </c>
      <c r="C16" s="22">
        <v>16.600000000000001</v>
      </c>
      <c r="D16" s="22">
        <v>17.899999999999999</v>
      </c>
      <c r="E16" s="9">
        <f t="shared" si="0"/>
        <v>2.8094026953624973</v>
      </c>
      <c r="F16" s="9">
        <f t="shared" si="1"/>
        <v>16.600000000000001</v>
      </c>
      <c r="H16" t="s">
        <v>38</v>
      </c>
      <c r="S16" s="1">
        <v>18</v>
      </c>
      <c r="T16" s="32">
        <f t="shared" si="2"/>
        <v>20.859557870889294</v>
      </c>
    </row>
    <row r="17" spans="2:20" x14ac:dyDescent="0.25">
      <c r="B17" s="21">
        <v>15</v>
      </c>
      <c r="C17" s="22">
        <v>7.6</v>
      </c>
      <c r="D17" s="22">
        <v>11.7</v>
      </c>
      <c r="E17" s="9">
        <f t="shared" si="0"/>
        <v>2.341805806147327</v>
      </c>
      <c r="F17" s="9">
        <f t="shared" si="1"/>
        <v>7.6</v>
      </c>
      <c r="H17" s="30"/>
      <c r="I17" s="30" t="s">
        <v>43</v>
      </c>
      <c r="J17" s="30" t="s">
        <v>44</v>
      </c>
      <c r="K17" s="30" t="s">
        <v>45</v>
      </c>
      <c r="L17" s="30" t="s">
        <v>46</v>
      </c>
      <c r="M17" s="30" t="s">
        <v>47</v>
      </c>
      <c r="S17" s="1">
        <v>19</v>
      </c>
      <c r="T17" s="32">
        <f t="shared" si="2"/>
        <v>22.087986156451162</v>
      </c>
    </row>
    <row r="18" spans="2:20" x14ac:dyDescent="0.25">
      <c r="B18" s="21">
        <v>16</v>
      </c>
      <c r="C18" s="22">
        <v>12.9</v>
      </c>
      <c r="D18" s="22">
        <v>15.8</v>
      </c>
      <c r="E18" s="9">
        <f t="shared" si="0"/>
        <v>2.6741486494265287</v>
      </c>
      <c r="F18" s="9">
        <f t="shared" si="1"/>
        <v>12.9</v>
      </c>
      <c r="H18" t="s">
        <v>39</v>
      </c>
      <c r="I18">
        <v>1</v>
      </c>
      <c r="J18">
        <v>2.1967030291629377</v>
      </c>
      <c r="K18">
        <v>2.1967030291629377</v>
      </c>
      <c r="L18">
        <v>161.43746534098847</v>
      </c>
      <c r="M18">
        <v>2.9369019042179457E-14</v>
      </c>
      <c r="S18" s="1">
        <v>20</v>
      </c>
      <c r="T18" s="32">
        <f t="shared" si="2"/>
        <v>23.393565268362472</v>
      </c>
    </row>
    <row r="19" spans="2:20" x14ac:dyDescent="0.25">
      <c r="B19" s="21">
        <v>17</v>
      </c>
      <c r="C19" s="22">
        <v>11</v>
      </c>
      <c r="D19" s="22">
        <v>16</v>
      </c>
      <c r="E19" s="9">
        <f t="shared" si="0"/>
        <v>2.6878474937846906</v>
      </c>
      <c r="F19" s="9">
        <f t="shared" si="1"/>
        <v>11</v>
      </c>
      <c r="H19" t="s">
        <v>40</v>
      </c>
      <c r="I19">
        <v>33</v>
      </c>
      <c r="J19">
        <v>0.4490357910988067</v>
      </c>
      <c r="K19">
        <v>1.3607145184812324E-2</v>
      </c>
    </row>
    <row r="20" spans="2:20" ht="15.75" thickBot="1" x14ac:dyDescent="0.3">
      <c r="B20" s="21">
        <v>18</v>
      </c>
      <c r="C20" s="22">
        <v>12.1</v>
      </c>
      <c r="D20" s="22">
        <v>17</v>
      </c>
      <c r="E20" s="9">
        <f t="shared" si="0"/>
        <v>2.7536607123542622</v>
      </c>
      <c r="F20" s="9">
        <f t="shared" si="1"/>
        <v>12.1</v>
      </c>
      <c r="H20" s="29" t="s">
        <v>41</v>
      </c>
      <c r="I20" s="29">
        <v>34</v>
      </c>
      <c r="J20" s="29">
        <v>2.6457388202617445</v>
      </c>
      <c r="K20" s="29"/>
      <c r="L20" s="29"/>
      <c r="M20" s="29"/>
    </row>
    <row r="21" spans="2:20" ht="15.75" thickBot="1" x14ac:dyDescent="0.3">
      <c r="B21" s="21">
        <v>19</v>
      </c>
      <c r="C21" s="22">
        <v>5.9</v>
      </c>
      <c r="D21" s="22">
        <v>9.1999999999999993</v>
      </c>
      <c r="E21" s="9">
        <f t="shared" si="0"/>
        <v>2.0668627594729756</v>
      </c>
      <c r="F21" s="9">
        <f t="shared" si="1"/>
        <v>5.9</v>
      </c>
    </row>
    <row r="22" spans="2:20" x14ac:dyDescent="0.25">
      <c r="B22" s="21">
        <v>20</v>
      </c>
      <c r="C22" s="22">
        <v>8.9</v>
      </c>
      <c r="D22" s="22">
        <v>11.7</v>
      </c>
      <c r="E22" s="9">
        <f t="shared" si="0"/>
        <v>2.341805806147327</v>
      </c>
      <c r="F22" s="9">
        <f t="shared" si="1"/>
        <v>8.9</v>
      </c>
      <c r="H22" s="30"/>
      <c r="I22" s="30" t="s">
        <v>48</v>
      </c>
      <c r="J22" s="30" t="s">
        <v>36</v>
      </c>
      <c r="K22" s="30" t="s">
        <v>49</v>
      </c>
      <c r="L22" s="30" t="s">
        <v>50</v>
      </c>
      <c r="M22" s="30" t="s">
        <v>51</v>
      </c>
      <c r="N22" s="30" t="s">
        <v>52</v>
      </c>
      <c r="O22" s="30" t="s">
        <v>53</v>
      </c>
      <c r="P22" s="30" t="s">
        <v>54</v>
      </c>
    </row>
    <row r="23" spans="2:20" x14ac:dyDescent="0.25">
      <c r="B23" s="21">
        <v>21</v>
      </c>
      <c r="C23" s="22">
        <v>15.4</v>
      </c>
      <c r="D23" s="22">
        <v>18.3</v>
      </c>
      <c r="E23" s="9">
        <f t="shared" si="0"/>
        <v>2.8332133440562162</v>
      </c>
      <c r="F23" s="9">
        <f t="shared" si="1"/>
        <v>15.4</v>
      </c>
      <c r="H23" t="s">
        <v>42</v>
      </c>
      <c r="I23">
        <v>1.8770629899374764</v>
      </c>
      <c r="J23">
        <v>6.2084122767426579E-2</v>
      </c>
      <c r="K23">
        <v>30.234187200633322</v>
      </c>
      <c r="L23">
        <v>1.2346684605230134E-25</v>
      </c>
      <c r="M23">
        <v>1.7507518924384242</v>
      </c>
      <c r="N23">
        <v>2.0033740874365287</v>
      </c>
      <c r="O23">
        <v>1.7507518924384242</v>
      </c>
      <c r="P23">
        <v>2.0033740874365287</v>
      </c>
    </row>
    <row r="24" spans="2:20" ht="15.75" thickBot="1" x14ac:dyDescent="0.3">
      <c r="B24" s="21">
        <v>22</v>
      </c>
      <c r="C24" s="22">
        <v>9.9</v>
      </c>
      <c r="D24" s="22">
        <v>14.3</v>
      </c>
      <c r="E24" s="9">
        <f t="shared" si="0"/>
        <v>2.5649493574615367</v>
      </c>
      <c r="F24" s="9">
        <f t="shared" si="1"/>
        <v>9.9</v>
      </c>
      <c r="H24" s="29" t="s">
        <v>27</v>
      </c>
      <c r="I24" s="29">
        <v>6.0911170593108903E-2</v>
      </c>
      <c r="J24" s="29">
        <v>4.7939641360978348E-3</v>
      </c>
      <c r="K24" s="29">
        <v>12.705804395668476</v>
      </c>
      <c r="L24" s="29">
        <v>2.9369019042179672E-14</v>
      </c>
      <c r="M24" s="29">
        <v>5.1157777222794354E-2</v>
      </c>
      <c r="N24" s="29">
        <v>7.0664563963423452E-2</v>
      </c>
      <c r="O24" s="29">
        <v>5.1157777222794354E-2</v>
      </c>
      <c r="P24" s="29">
        <v>7.0664563963423452E-2</v>
      </c>
    </row>
    <row r="25" spans="2:20" x14ac:dyDescent="0.25">
      <c r="B25" s="21">
        <v>23</v>
      </c>
      <c r="C25" s="22">
        <v>7</v>
      </c>
      <c r="D25" s="22">
        <v>12</v>
      </c>
      <c r="E25" s="9">
        <f t="shared" si="0"/>
        <v>2.3702437414678603</v>
      </c>
      <c r="F25" s="9">
        <f t="shared" si="1"/>
        <v>7</v>
      </c>
    </row>
    <row r="26" spans="2:20" x14ac:dyDescent="0.25">
      <c r="B26" s="21">
        <v>24</v>
      </c>
      <c r="C26" s="22">
        <v>16.100000000000001</v>
      </c>
      <c r="D26" s="22">
        <v>19.2</v>
      </c>
      <c r="E26" s="9">
        <f t="shared" si="0"/>
        <v>2.884800712846709</v>
      </c>
      <c r="F26" s="9">
        <f t="shared" si="1"/>
        <v>16.100000000000001</v>
      </c>
    </row>
    <row r="27" spans="2:20" x14ac:dyDescent="0.25">
      <c r="B27" s="21">
        <v>25</v>
      </c>
      <c r="C27" s="22">
        <v>19.100000000000001</v>
      </c>
      <c r="D27" s="22">
        <v>21.3</v>
      </c>
      <c r="E27" s="9">
        <f t="shared" si="0"/>
        <v>2.9957322735539909</v>
      </c>
      <c r="F27" s="9">
        <f t="shared" si="1"/>
        <v>19.100000000000001</v>
      </c>
    </row>
    <row r="28" spans="2:20" x14ac:dyDescent="0.25">
      <c r="B28" s="21">
        <v>26</v>
      </c>
      <c r="C28" s="22">
        <v>12.4</v>
      </c>
      <c r="D28" s="22">
        <v>17.100000000000001</v>
      </c>
      <c r="E28" s="9">
        <f t="shared" si="0"/>
        <v>2.760009940032921</v>
      </c>
      <c r="F28" s="9">
        <f t="shared" si="1"/>
        <v>12.4</v>
      </c>
    </row>
    <row r="29" spans="2:20" x14ac:dyDescent="0.25">
      <c r="B29" s="21">
        <v>27</v>
      </c>
      <c r="C29" s="22">
        <v>18</v>
      </c>
      <c r="D29" s="22">
        <v>18.3</v>
      </c>
      <c r="E29" s="9">
        <f t="shared" si="0"/>
        <v>2.8332133440562162</v>
      </c>
      <c r="F29" s="9">
        <f t="shared" si="1"/>
        <v>18</v>
      </c>
    </row>
    <row r="30" spans="2:20" x14ac:dyDescent="0.25">
      <c r="B30" s="21">
        <v>28</v>
      </c>
      <c r="C30" s="22">
        <v>19.399999999999999</v>
      </c>
      <c r="D30" s="22">
        <v>19.8</v>
      </c>
      <c r="E30" s="9">
        <f t="shared" si="0"/>
        <v>2.917770732084279</v>
      </c>
      <c r="F30" s="9">
        <f t="shared" si="1"/>
        <v>19.399999999999999</v>
      </c>
    </row>
    <row r="31" spans="2:20" x14ac:dyDescent="0.25">
      <c r="B31" s="21">
        <v>29</v>
      </c>
      <c r="C31" s="23">
        <v>12.4</v>
      </c>
      <c r="D31" s="23">
        <v>17.399999999999999</v>
      </c>
      <c r="E31" s="9">
        <f t="shared" si="0"/>
        <v>2.7788192719904172</v>
      </c>
      <c r="F31" s="9">
        <f t="shared" si="1"/>
        <v>12.4</v>
      </c>
    </row>
    <row r="32" spans="2:20" x14ac:dyDescent="0.25">
      <c r="B32" s="21">
        <v>30</v>
      </c>
      <c r="C32" s="23">
        <v>15.8</v>
      </c>
      <c r="D32" s="23">
        <v>18.600000000000001</v>
      </c>
      <c r="E32" s="9">
        <f t="shared" si="0"/>
        <v>2.8507065015037334</v>
      </c>
      <c r="F32" s="9">
        <f t="shared" si="1"/>
        <v>15.8</v>
      </c>
    </row>
    <row r="33" spans="2:8" x14ac:dyDescent="0.25">
      <c r="B33" s="21">
        <v>31</v>
      </c>
      <c r="C33" s="23">
        <v>15.9</v>
      </c>
      <c r="D33" s="23">
        <v>18.7</v>
      </c>
      <c r="E33" s="9">
        <f t="shared" si="0"/>
        <v>2.8564702062204832</v>
      </c>
      <c r="F33" s="9">
        <f t="shared" si="1"/>
        <v>15.9</v>
      </c>
    </row>
    <row r="34" spans="2:8" x14ac:dyDescent="0.25">
      <c r="B34" s="21">
        <v>32</v>
      </c>
      <c r="C34" s="23">
        <v>8.9</v>
      </c>
      <c r="D34" s="23">
        <v>14</v>
      </c>
      <c r="E34" s="9">
        <f t="shared" si="0"/>
        <v>2.5416019934645457</v>
      </c>
      <c r="F34" s="9">
        <f t="shared" si="1"/>
        <v>8.9</v>
      </c>
    </row>
    <row r="35" spans="2:8" x14ac:dyDescent="0.25">
      <c r="B35" s="21">
        <v>33</v>
      </c>
      <c r="C35" s="23">
        <v>17</v>
      </c>
      <c r="D35" s="23">
        <v>19.100000000000001</v>
      </c>
      <c r="E35" s="9">
        <f t="shared" si="0"/>
        <v>2.8791984572980396</v>
      </c>
      <c r="F35" s="9">
        <f t="shared" si="1"/>
        <v>17</v>
      </c>
      <c r="H35" s="28"/>
    </row>
    <row r="36" spans="2:8" x14ac:dyDescent="0.25">
      <c r="B36" s="21">
        <v>34</v>
      </c>
      <c r="C36" s="23">
        <v>5.9</v>
      </c>
      <c r="D36" s="23">
        <v>9.4</v>
      </c>
      <c r="E36" s="9">
        <f t="shared" si="0"/>
        <v>2.0918640616783932</v>
      </c>
      <c r="F36" s="9">
        <f t="shared" si="1"/>
        <v>5.9</v>
      </c>
    </row>
    <row r="37" spans="2:8" ht="15.75" thickBot="1" x14ac:dyDescent="0.3">
      <c r="B37" s="24">
        <v>35</v>
      </c>
      <c r="C37" s="25">
        <v>12.5</v>
      </c>
      <c r="D37" s="25">
        <v>18.5</v>
      </c>
      <c r="E37" s="9">
        <f t="shared" si="0"/>
        <v>2.8449093838194073</v>
      </c>
      <c r="F37" s="9">
        <f t="shared" si="1"/>
        <v>12.5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21FE-6703-4480-BA0D-B13EE04E8B36}">
  <dimension ref="B2:H37"/>
  <sheetViews>
    <sheetView zoomScale="130" zoomScaleNormal="130" workbookViewId="0">
      <selection activeCell="F3" sqref="F3:F17"/>
    </sheetView>
  </sheetViews>
  <sheetFormatPr defaultRowHeight="15" x14ac:dyDescent="0.25"/>
  <sheetData>
    <row r="2" spans="2:8" ht="15.75" thickBot="1" x14ac:dyDescent="0.3">
      <c r="B2" s="18" t="s">
        <v>24</v>
      </c>
      <c r="C2" s="18" t="s">
        <v>1</v>
      </c>
      <c r="D2" s="18" t="s">
        <v>2</v>
      </c>
      <c r="E2" s="18" t="s">
        <v>26</v>
      </c>
      <c r="F2" s="18" t="s">
        <v>27</v>
      </c>
      <c r="H2" t="s">
        <v>25</v>
      </c>
    </row>
    <row r="3" spans="2:8" x14ac:dyDescent="0.25">
      <c r="B3" s="19">
        <v>1</v>
      </c>
      <c r="C3" s="20">
        <v>14.6</v>
      </c>
      <c r="D3" s="20">
        <v>17.7</v>
      </c>
      <c r="E3" s="9"/>
      <c r="F3" s="9"/>
    </row>
    <row r="4" spans="2:8" x14ac:dyDescent="0.25">
      <c r="B4" s="21">
        <v>2</v>
      </c>
      <c r="C4" s="22">
        <v>12.7</v>
      </c>
      <c r="D4" s="22">
        <v>18.2</v>
      </c>
      <c r="E4" s="9"/>
      <c r="F4" s="9"/>
    </row>
    <row r="5" spans="2:8" x14ac:dyDescent="0.25">
      <c r="B5" s="21">
        <v>3</v>
      </c>
      <c r="C5" s="22">
        <v>7.3</v>
      </c>
      <c r="D5" s="22">
        <v>11.7</v>
      </c>
      <c r="E5" s="9"/>
      <c r="F5" s="9"/>
    </row>
    <row r="6" spans="2:8" x14ac:dyDescent="0.25">
      <c r="B6" s="21">
        <v>4</v>
      </c>
      <c r="C6" s="22">
        <v>18.3</v>
      </c>
      <c r="D6" s="22">
        <v>19.5</v>
      </c>
      <c r="E6" s="9"/>
      <c r="F6" s="9"/>
    </row>
    <row r="7" spans="2:8" x14ac:dyDescent="0.25">
      <c r="B7" s="21">
        <v>5</v>
      </c>
      <c r="C7" s="22">
        <v>12.6</v>
      </c>
      <c r="D7" s="22">
        <v>16.5</v>
      </c>
      <c r="E7" s="9"/>
      <c r="F7" s="9"/>
    </row>
    <row r="8" spans="2:8" x14ac:dyDescent="0.25">
      <c r="B8" s="21">
        <v>6</v>
      </c>
      <c r="C8" s="22">
        <v>7.5</v>
      </c>
      <c r="D8" s="22">
        <v>10.199999999999999</v>
      </c>
      <c r="E8" s="9"/>
      <c r="F8" s="9"/>
    </row>
    <row r="9" spans="2:8" x14ac:dyDescent="0.25">
      <c r="B9" s="21">
        <v>7</v>
      </c>
      <c r="C9" s="22">
        <v>10.7</v>
      </c>
      <c r="D9" s="22">
        <v>14.8</v>
      </c>
      <c r="E9" s="9"/>
      <c r="F9" s="9"/>
    </row>
    <row r="10" spans="2:8" x14ac:dyDescent="0.25">
      <c r="B10" s="21">
        <v>8</v>
      </c>
      <c r="C10" s="22">
        <v>5.6</v>
      </c>
      <c r="D10" s="22">
        <v>8</v>
      </c>
      <c r="E10" s="9"/>
      <c r="F10" s="9"/>
    </row>
    <row r="11" spans="2:8" x14ac:dyDescent="0.25">
      <c r="B11" s="21">
        <v>9</v>
      </c>
      <c r="C11" s="22">
        <v>9.5</v>
      </c>
      <c r="D11" s="22">
        <v>12.5</v>
      </c>
      <c r="E11" s="9"/>
      <c r="F11" s="9"/>
    </row>
    <row r="12" spans="2:8" x14ac:dyDescent="0.25">
      <c r="B12" s="21">
        <v>10</v>
      </c>
      <c r="C12" s="22">
        <v>15.8</v>
      </c>
      <c r="D12" s="22">
        <v>17.5</v>
      </c>
      <c r="E12" s="9"/>
      <c r="F12" s="9"/>
    </row>
    <row r="13" spans="2:8" x14ac:dyDescent="0.25">
      <c r="B13" s="21">
        <v>11</v>
      </c>
      <c r="C13" s="22">
        <v>7.6</v>
      </c>
      <c r="D13" s="22">
        <v>12.3</v>
      </c>
      <c r="E13" s="9"/>
      <c r="F13" s="9"/>
    </row>
    <row r="14" spans="2:8" x14ac:dyDescent="0.25">
      <c r="B14" s="21">
        <v>12</v>
      </c>
      <c r="C14" s="22">
        <v>9.6999999999999993</v>
      </c>
      <c r="D14" s="22">
        <v>13.6</v>
      </c>
      <c r="E14" s="9"/>
      <c r="F14" s="9"/>
    </row>
    <row r="15" spans="2:8" x14ac:dyDescent="0.25">
      <c r="B15" s="21">
        <v>13</v>
      </c>
      <c r="C15" s="22">
        <v>17.2</v>
      </c>
      <c r="D15" s="22">
        <v>17.899999999999999</v>
      </c>
      <c r="E15" s="9"/>
      <c r="F15" s="9"/>
    </row>
    <row r="16" spans="2:8" x14ac:dyDescent="0.25">
      <c r="B16" s="21">
        <v>14</v>
      </c>
      <c r="C16" s="22">
        <v>16.600000000000001</v>
      </c>
      <c r="D16" s="22">
        <v>17.899999999999999</v>
      </c>
      <c r="E16" s="9"/>
      <c r="F16" s="9"/>
    </row>
    <row r="17" spans="2:6" x14ac:dyDescent="0.25">
      <c r="B17" s="21">
        <v>15</v>
      </c>
      <c r="C17" s="22">
        <v>7.6</v>
      </c>
      <c r="D17" s="22">
        <v>11.7</v>
      </c>
      <c r="E17" s="9"/>
      <c r="F17" s="9"/>
    </row>
    <row r="18" spans="2:6" x14ac:dyDescent="0.25">
      <c r="B18" s="21">
        <v>16</v>
      </c>
      <c r="C18" s="22">
        <v>12.9</v>
      </c>
      <c r="D18" s="22">
        <v>15.8</v>
      </c>
      <c r="E18" s="9"/>
      <c r="F18" s="9"/>
    </row>
    <row r="19" spans="2:6" x14ac:dyDescent="0.25">
      <c r="B19" s="21">
        <v>17</v>
      </c>
      <c r="C19" s="22">
        <v>11</v>
      </c>
      <c r="D19" s="22">
        <v>16</v>
      </c>
      <c r="E19" s="9"/>
      <c r="F19" s="9"/>
    </row>
    <row r="20" spans="2:6" x14ac:dyDescent="0.25">
      <c r="B20" s="21">
        <v>18</v>
      </c>
      <c r="C20" s="22">
        <v>12.1</v>
      </c>
      <c r="D20" s="22">
        <v>17</v>
      </c>
      <c r="E20" s="9"/>
      <c r="F20" s="9"/>
    </row>
    <row r="21" spans="2:6" x14ac:dyDescent="0.25">
      <c r="B21" s="21">
        <v>19</v>
      </c>
      <c r="C21" s="22">
        <v>5.9</v>
      </c>
      <c r="D21" s="22">
        <v>9.1999999999999993</v>
      </c>
      <c r="E21" s="9"/>
      <c r="F21" s="9"/>
    </row>
    <row r="22" spans="2:6" x14ac:dyDescent="0.25">
      <c r="B22" s="21">
        <v>20</v>
      </c>
      <c r="C22" s="22">
        <v>8.9</v>
      </c>
      <c r="D22" s="22">
        <v>11.7</v>
      </c>
      <c r="E22" s="9"/>
      <c r="F22" s="9"/>
    </row>
    <row r="23" spans="2:6" x14ac:dyDescent="0.25">
      <c r="B23" s="21">
        <v>21</v>
      </c>
      <c r="C23" s="22">
        <v>15.4</v>
      </c>
      <c r="D23" s="22">
        <v>18.3</v>
      </c>
      <c r="E23" s="9"/>
      <c r="F23" s="9"/>
    </row>
    <row r="24" spans="2:6" x14ac:dyDescent="0.25">
      <c r="B24" s="21">
        <v>22</v>
      </c>
      <c r="C24" s="22">
        <v>9.9</v>
      </c>
      <c r="D24" s="22">
        <v>14.3</v>
      </c>
      <c r="E24" s="9"/>
      <c r="F24" s="9"/>
    </row>
    <row r="25" spans="2:6" x14ac:dyDescent="0.25">
      <c r="B25" s="21">
        <v>23</v>
      </c>
      <c r="C25" s="22">
        <v>7</v>
      </c>
      <c r="D25" s="22">
        <v>12</v>
      </c>
      <c r="E25" s="9"/>
      <c r="F25" s="9"/>
    </row>
    <row r="26" spans="2:6" x14ac:dyDescent="0.25">
      <c r="B26" s="21">
        <v>24</v>
      </c>
      <c r="C26" s="22">
        <v>16.100000000000001</v>
      </c>
      <c r="D26" s="22">
        <v>19.2</v>
      </c>
      <c r="E26" s="9"/>
      <c r="F26" s="9"/>
    </row>
    <row r="27" spans="2:6" x14ac:dyDescent="0.25">
      <c r="B27" s="21">
        <v>25</v>
      </c>
      <c r="C27" s="22">
        <v>19.100000000000001</v>
      </c>
      <c r="D27" s="22">
        <v>21.3</v>
      </c>
      <c r="E27" s="9"/>
      <c r="F27" s="9"/>
    </row>
    <row r="28" spans="2:6" x14ac:dyDescent="0.25">
      <c r="B28" s="21">
        <v>26</v>
      </c>
      <c r="C28" s="22">
        <v>12.4</v>
      </c>
      <c r="D28" s="22">
        <v>17.100000000000001</v>
      </c>
      <c r="E28" s="9"/>
      <c r="F28" s="9"/>
    </row>
    <row r="29" spans="2:6" x14ac:dyDescent="0.25">
      <c r="B29" s="21">
        <v>27</v>
      </c>
      <c r="C29" s="22">
        <v>18</v>
      </c>
      <c r="D29" s="22">
        <v>18.3</v>
      </c>
      <c r="E29" s="9"/>
      <c r="F29" s="9"/>
    </row>
    <row r="30" spans="2:6" x14ac:dyDescent="0.25">
      <c r="B30" s="21">
        <v>28</v>
      </c>
      <c r="C30" s="22">
        <v>19.399999999999999</v>
      </c>
      <c r="D30" s="22">
        <v>19.8</v>
      </c>
      <c r="E30" s="9"/>
      <c r="F30" s="9"/>
    </row>
    <row r="31" spans="2:6" x14ac:dyDescent="0.25">
      <c r="B31" s="21">
        <v>29</v>
      </c>
      <c r="C31" s="23">
        <v>12.4</v>
      </c>
      <c r="D31" s="23">
        <v>17.399999999999999</v>
      </c>
      <c r="E31" s="9"/>
      <c r="F31" s="9"/>
    </row>
    <row r="32" spans="2:6" x14ac:dyDescent="0.25">
      <c r="B32" s="21">
        <v>30</v>
      </c>
      <c r="C32" s="23">
        <v>15.8</v>
      </c>
      <c r="D32" s="23">
        <v>18.600000000000001</v>
      </c>
      <c r="E32" s="9"/>
      <c r="F32" s="9"/>
    </row>
    <row r="33" spans="2:6" x14ac:dyDescent="0.25">
      <c r="B33" s="21">
        <v>31</v>
      </c>
      <c r="C33" s="23">
        <v>15.9</v>
      </c>
      <c r="D33" s="23">
        <v>18.7</v>
      </c>
      <c r="E33" s="9"/>
      <c r="F33" s="9"/>
    </row>
    <row r="34" spans="2:6" x14ac:dyDescent="0.25">
      <c r="B34" s="21">
        <v>32</v>
      </c>
      <c r="C34" s="23">
        <v>8.9</v>
      </c>
      <c r="D34" s="23">
        <v>14</v>
      </c>
      <c r="E34" s="9"/>
      <c r="F34" s="9"/>
    </row>
    <row r="35" spans="2:6" x14ac:dyDescent="0.25">
      <c r="B35" s="21">
        <v>33</v>
      </c>
      <c r="C35" s="23">
        <v>17</v>
      </c>
      <c r="D35" s="23">
        <v>19.100000000000001</v>
      </c>
      <c r="E35" s="9"/>
      <c r="F35" s="9"/>
    </row>
    <row r="36" spans="2:6" x14ac:dyDescent="0.25">
      <c r="B36" s="21">
        <v>34</v>
      </c>
      <c r="C36" s="23">
        <v>5.9</v>
      </c>
      <c r="D36" s="23">
        <v>9.4</v>
      </c>
      <c r="E36" s="9"/>
      <c r="F36" s="9"/>
    </row>
    <row r="37" spans="2:6" ht="15.75" thickBot="1" x14ac:dyDescent="0.3">
      <c r="B37" s="24">
        <v>35</v>
      </c>
      <c r="C37" s="25">
        <v>12.5</v>
      </c>
      <c r="D37" s="25">
        <v>18.5</v>
      </c>
      <c r="E37" s="9"/>
      <c r="F37" s="9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5</vt:i4>
      </vt:variant>
    </vt:vector>
  </HeadingPairs>
  <TitlesOfParts>
    <vt:vector size="9" baseType="lpstr">
      <vt:lpstr>Cubagem</vt:lpstr>
      <vt:lpstr>Exercicio Cubagem</vt:lpstr>
      <vt:lpstr>Relação Hipsométrica</vt:lpstr>
      <vt:lpstr>Exercicio Relação Hipsométrica</vt:lpstr>
      <vt:lpstr>apar</vt:lpstr>
      <vt:lpstr>meu_pi</vt:lpstr>
      <vt:lpstr>meupi</vt:lpstr>
      <vt:lpstr>pi</vt:lpstr>
      <vt:lpstr>pi_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Orso</dc:creator>
  <cp:lastModifiedBy>Gabriel Orso</cp:lastModifiedBy>
  <dcterms:created xsi:type="dcterms:W3CDTF">2026-04-26T12:35:08Z</dcterms:created>
  <dcterms:modified xsi:type="dcterms:W3CDTF">2026-04-30T18:49:31Z</dcterms:modified>
</cp:coreProperties>
</file>