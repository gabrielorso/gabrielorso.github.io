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Dendrometria/dentro_quarto/Aula 6/"/>
    </mc:Choice>
  </mc:AlternateContent>
  <xr:revisionPtr revIDLastSave="418" documentId="8_{4484BCEC-49CD-4707-827E-3A4DD4A4D7F2}" xr6:coauthVersionLast="47" xr6:coauthVersionMax="47" xr10:uidLastSave="{D1CFC219-60C3-49E3-8F08-4A8EF6A94F97}"/>
  <bookViews>
    <workbookView xWindow="-120" yWindow="-120" windowWidth="29040" windowHeight="15720" activeTab="2" xr2:uid="{9A34E52F-EEC3-4FEE-BF63-1C1EFBB538C3}"/>
  </bookViews>
  <sheets>
    <sheet name="Base de Dados" sheetId="1" r:id="rId1"/>
    <sheet name="Modelo de Spurr" sheetId="2" r:id="rId2"/>
    <sheet name="Modelo de Schumacher-Hall" sheetId="3" r:id="rId3"/>
    <sheet name="Comparando os Modelos" sheetId="4" r:id="rId4"/>
  </sheets>
  <definedNames>
    <definedName name="_xlchart.v1.0" hidden="1">'Modelo de Spurr'!$AC$3:$AC$102</definedName>
    <definedName name="_xlchart.v1.1" hidden="1">'Modelo de Schumacher-Hall'!$AD$3:$AD$102</definedName>
    <definedName name="beta0" localSheetId="2">'Modelo de Schumacher-Hall'!$Z$2</definedName>
    <definedName name="beta0">'Modelo de Spurr'!$Y$2</definedName>
    <definedName name="beta1" localSheetId="2">'Modelo de Schumacher-Hall'!$Z$3</definedName>
    <definedName name="beta1">'Modelo de Spurr'!$Y$3</definedName>
    <definedName name="beta2">'Modelo de Schumacher-Hall'!$Z$4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4" l="1"/>
  <c r="F4" i="4"/>
  <c r="E5" i="4"/>
  <c r="F5" i="4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AC14" i="2" s="1"/>
  <c r="AD14" i="2" s="1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AA26" i="2" s="1"/>
  <c r="AC26" i="2" s="1"/>
  <c r="AD26" i="2" s="1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AA38" i="2" s="1"/>
  <c r="AC38" i="2" s="1"/>
  <c r="AD38" i="2" s="1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AC50" i="2" s="1"/>
  <c r="AD50" i="2" s="1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AA62" i="2" s="1"/>
  <c r="AC62" i="2" s="1"/>
  <c r="AD62" i="2" s="1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AA74" i="2" s="1"/>
  <c r="AC74" i="2" s="1"/>
  <c r="AD74" i="2" s="1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AC86" i="2" s="1"/>
  <c r="AD86" i="2" s="1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AA98" i="2" s="1"/>
  <c r="AC98" i="2" s="1"/>
  <c r="AD98" i="2" s="1"/>
  <c r="L98" i="2"/>
  <c r="K99" i="2"/>
  <c r="L99" i="2"/>
  <c r="K100" i="2"/>
  <c r="L100" i="2"/>
  <c r="K101" i="2"/>
  <c r="L101" i="2"/>
  <c r="K102" i="2"/>
  <c r="L102" i="2"/>
  <c r="Y2" i="2"/>
  <c r="AA4" i="2" s="1"/>
  <c r="AC4" i="2" s="1"/>
  <c r="AD4" i="2" s="1"/>
  <c r="Y3" i="2"/>
  <c r="AA11" i="2"/>
  <c r="AC11" i="2" s="1"/>
  <c r="AD11" i="2" s="1"/>
  <c r="AA14" i="2"/>
  <c r="AA15" i="2"/>
  <c r="AC15" i="2" s="1"/>
  <c r="AD15" i="2" s="1"/>
  <c r="AA21" i="2"/>
  <c r="AC21" i="2" s="1"/>
  <c r="AD21" i="2" s="1"/>
  <c r="AA23" i="2"/>
  <c r="AC23" i="2" s="1"/>
  <c r="AD23" i="2" s="1"/>
  <c r="AA27" i="2"/>
  <c r="AC27" i="2" s="1"/>
  <c r="AD27" i="2" s="1"/>
  <c r="AA33" i="2"/>
  <c r="AC33" i="2" s="1"/>
  <c r="AD33" i="2" s="1"/>
  <c r="AA35" i="2"/>
  <c r="AC35" i="2" s="1"/>
  <c r="AD35" i="2" s="1"/>
  <c r="AA39" i="2"/>
  <c r="AC39" i="2" s="1"/>
  <c r="AD39" i="2" s="1"/>
  <c r="AA45" i="2"/>
  <c r="AC45" i="2" s="1"/>
  <c r="AD45" i="2" s="1"/>
  <c r="AA47" i="2"/>
  <c r="AC47" i="2" s="1"/>
  <c r="AD47" i="2" s="1"/>
  <c r="AA50" i="2"/>
  <c r="AA51" i="2"/>
  <c r="AC51" i="2" s="1"/>
  <c r="AD51" i="2" s="1"/>
  <c r="AA57" i="2"/>
  <c r="AC57" i="2" s="1"/>
  <c r="AD57" i="2" s="1"/>
  <c r="AA59" i="2"/>
  <c r="AC59" i="2" s="1"/>
  <c r="AD59" i="2" s="1"/>
  <c r="AA63" i="2"/>
  <c r="AC63" i="2" s="1"/>
  <c r="AD63" i="2" s="1"/>
  <c r="AA69" i="2"/>
  <c r="AC69" i="2" s="1"/>
  <c r="AD69" i="2" s="1"/>
  <c r="AA71" i="2"/>
  <c r="AC71" i="2" s="1"/>
  <c r="AD71" i="2" s="1"/>
  <c r="AA75" i="2"/>
  <c r="AC75" i="2" s="1"/>
  <c r="AD75" i="2" s="1"/>
  <c r="AA81" i="2"/>
  <c r="AC81" i="2" s="1"/>
  <c r="AD81" i="2" s="1"/>
  <c r="AA83" i="2"/>
  <c r="AC83" i="2" s="1"/>
  <c r="AD83" i="2" s="1"/>
  <c r="AA86" i="2"/>
  <c r="AA87" i="2"/>
  <c r="AA93" i="2"/>
  <c r="AC93" i="2" s="1"/>
  <c r="AD93" i="2" s="1"/>
  <c r="AA95" i="2"/>
  <c r="AC95" i="2" s="1"/>
  <c r="AD95" i="2" s="1"/>
  <c r="AA99" i="2"/>
  <c r="AC99" i="2" s="1"/>
  <c r="AD99" i="2" s="1"/>
  <c r="AC87" i="2"/>
  <c r="AD87" i="2" s="1"/>
  <c r="AH3" i="2"/>
  <c r="AI3" i="2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3" i="3"/>
  <c r="BT4" i="3"/>
  <c r="BU4" i="3"/>
  <c r="BV4" i="3"/>
  <c r="BT5" i="3"/>
  <c r="BU5" i="3"/>
  <c r="BV5" i="3"/>
  <c r="BT6" i="3"/>
  <c r="BU6" i="3"/>
  <c r="BV6" i="3"/>
  <c r="BT7" i="3"/>
  <c r="BU7" i="3"/>
  <c r="BV7" i="3"/>
  <c r="BT8" i="3"/>
  <c r="BU8" i="3"/>
  <c r="BV8" i="3"/>
  <c r="BT9" i="3"/>
  <c r="BU9" i="3"/>
  <c r="BV9" i="3"/>
  <c r="BT10" i="3"/>
  <c r="BU10" i="3"/>
  <c r="BV10" i="3"/>
  <c r="BT11" i="3"/>
  <c r="BU11" i="3"/>
  <c r="BV11" i="3"/>
  <c r="BT12" i="3"/>
  <c r="BU12" i="3"/>
  <c r="BV12" i="3"/>
  <c r="BT13" i="3"/>
  <c r="BU13" i="3"/>
  <c r="BV13" i="3"/>
  <c r="BT14" i="3"/>
  <c r="BU14" i="3"/>
  <c r="BV14" i="3"/>
  <c r="BT15" i="3"/>
  <c r="BU15" i="3"/>
  <c r="BV15" i="3"/>
  <c r="BT16" i="3"/>
  <c r="BU16" i="3"/>
  <c r="BV16" i="3"/>
  <c r="BT17" i="3"/>
  <c r="BU17" i="3"/>
  <c r="BV17" i="3"/>
  <c r="BT18" i="3"/>
  <c r="BU18" i="3"/>
  <c r="BV18" i="3"/>
  <c r="BT19" i="3"/>
  <c r="BU19" i="3"/>
  <c r="BV19" i="3"/>
  <c r="BT20" i="3"/>
  <c r="BU20" i="3"/>
  <c r="BV20" i="3"/>
  <c r="BT21" i="3"/>
  <c r="BU21" i="3"/>
  <c r="BV21" i="3"/>
  <c r="BT22" i="3"/>
  <c r="BU22" i="3"/>
  <c r="BV22" i="3"/>
  <c r="BT23" i="3"/>
  <c r="BU23" i="3"/>
  <c r="BV23" i="3"/>
  <c r="BT24" i="3"/>
  <c r="BU24" i="3"/>
  <c r="BV24" i="3"/>
  <c r="BT25" i="3"/>
  <c r="BU25" i="3"/>
  <c r="BV25" i="3"/>
  <c r="BT26" i="3"/>
  <c r="BU26" i="3"/>
  <c r="BV26" i="3"/>
  <c r="BT27" i="3"/>
  <c r="BU27" i="3"/>
  <c r="BV27" i="3"/>
  <c r="BT28" i="3"/>
  <c r="BU28" i="3"/>
  <c r="BV28" i="3"/>
  <c r="BT29" i="3"/>
  <c r="BU29" i="3"/>
  <c r="BV29" i="3"/>
  <c r="BT30" i="3"/>
  <c r="BU30" i="3"/>
  <c r="BV30" i="3"/>
  <c r="BT31" i="3"/>
  <c r="BU31" i="3"/>
  <c r="BV31" i="3"/>
  <c r="BT32" i="3"/>
  <c r="BU32" i="3"/>
  <c r="BV32" i="3"/>
  <c r="BT33" i="3"/>
  <c r="BU33" i="3"/>
  <c r="BV33" i="3"/>
  <c r="BU3" i="3"/>
  <c r="BV3" i="3"/>
  <c r="BT3" i="3"/>
  <c r="BH5" i="3"/>
  <c r="BB3" i="3"/>
  <c r="Z4" i="3"/>
  <c r="AA13" i="2" l="1"/>
  <c r="AC13" i="2" s="1"/>
  <c r="AA9" i="2"/>
  <c r="AC9" i="2" s="1"/>
  <c r="AD9" i="2" s="1"/>
  <c r="AA3" i="2"/>
  <c r="AC3" i="2" s="1"/>
  <c r="AD3" i="2" s="1"/>
  <c r="AA96" i="2"/>
  <c r="AC96" i="2" s="1"/>
  <c r="AD96" i="2" s="1"/>
  <c r="AA84" i="2"/>
  <c r="AC84" i="2" s="1"/>
  <c r="AD84" i="2" s="1"/>
  <c r="AA72" i="2"/>
  <c r="AC72" i="2" s="1"/>
  <c r="AD72" i="2" s="1"/>
  <c r="AA60" i="2"/>
  <c r="AC60" i="2" s="1"/>
  <c r="AD60" i="2" s="1"/>
  <c r="AA48" i="2"/>
  <c r="AC48" i="2" s="1"/>
  <c r="AD48" i="2" s="1"/>
  <c r="AA36" i="2"/>
  <c r="AC36" i="2" s="1"/>
  <c r="AD36" i="2" s="1"/>
  <c r="AA24" i="2"/>
  <c r="AC24" i="2" s="1"/>
  <c r="AD24" i="2" s="1"/>
  <c r="AA12" i="2"/>
  <c r="AC12" i="2" s="1"/>
  <c r="AD12" i="2" s="1"/>
  <c r="AA94" i="2"/>
  <c r="AC94" i="2" s="1"/>
  <c r="AD94" i="2" s="1"/>
  <c r="AA82" i="2"/>
  <c r="AC82" i="2" s="1"/>
  <c r="AD82" i="2" s="1"/>
  <c r="AA70" i="2"/>
  <c r="AC70" i="2" s="1"/>
  <c r="AD70" i="2" s="1"/>
  <c r="AA58" i="2"/>
  <c r="AC58" i="2" s="1"/>
  <c r="AD58" i="2" s="1"/>
  <c r="AA46" i="2"/>
  <c r="AC46" i="2" s="1"/>
  <c r="AD46" i="2" s="1"/>
  <c r="AA34" i="2"/>
  <c r="AC34" i="2" s="1"/>
  <c r="AD34" i="2" s="1"/>
  <c r="AA22" i="2"/>
  <c r="AC22" i="2" s="1"/>
  <c r="AD22" i="2" s="1"/>
  <c r="AA10" i="2"/>
  <c r="AC10" i="2" s="1"/>
  <c r="AD10" i="2" s="1"/>
  <c r="AA44" i="2"/>
  <c r="AC44" i="2" s="1"/>
  <c r="AD44" i="2" s="1"/>
  <c r="AA91" i="2"/>
  <c r="AC91" i="2" s="1"/>
  <c r="AD91" i="2" s="1"/>
  <c r="AA79" i="2"/>
  <c r="AC79" i="2" s="1"/>
  <c r="AD79" i="2" s="1"/>
  <c r="AA67" i="2"/>
  <c r="AC67" i="2" s="1"/>
  <c r="AD67" i="2" s="1"/>
  <c r="AA55" i="2"/>
  <c r="AC55" i="2" s="1"/>
  <c r="AD55" i="2" s="1"/>
  <c r="AA43" i="2"/>
  <c r="AC43" i="2" s="1"/>
  <c r="AD43" i="2" s="1"/>
  <c r="AA31" i="2"/>
  <c r="AC31" i="2" s="1"/>
  <c r="AD31" i="2" s="1"/>
  <c r="AA19" i="2"/>
  <c r="AC19" i="2" s="1"/>
  <c r="AD19" i="2" s="1"/>
  <c r="AA7" i="2"/>
  <c r="AC7" i="2" s="1"/>
  <c r="AD7" i="2" s="1"/>
  <c r="AA80" i="2"/>
  <c r="AC80" i="2" s="1"/>
  <c r="AD80" i="2" s="1"/>
  <c r="AA56" i="2"/>
  <c r="AC56" i="2" s="1"/>
  <c r="AD56" i="2" s="1"/>
  <c r="AA20" i="2"/>
  <c r="AC20" i="2" s="1"/>
  <c r="AD20" i="2" s="1"/>
  <c r="AA102" i="2"/>
  <c r="AC102" i="2" s="1"/>
  <c r="AD102" i="2" s="1"/>
  <c r="AA90" i="2"/>
  <c r="AC90" i="2" s="1"/>
  <c r="AD90" i="2" s="1"/>
  <c r="AA78" i="2"/>
  <c r="AC78" i="2" s="1"/>
  <c r="AD78" i="2" s="1"/>
  <c r="AA66" i="2"/>
  <c r="AC66" i="2" s="1"/>
  <c r="AD66" i="2" s="1"/>
  <c r="AA54" i="2"/>
  <c r="AC54" i="2" s="1"/>
  <c r="AD54" i="2" s="1"/>
  <c r="AA42" i="2"/>
  <c r="AC42" i="2" s="1"/>
  <c r="AD42" i="2" s="1"/>
  <c r="AA30" i="2"/>
  <c r="AC30" i="2" s="1"/>
  <c r="AD30" i="2" s="1"/>
  <c r="AA18" i="2"/>
  <c r="AC18" i="2" s="1"/>
  <c r="AD18" i="2" s="1"/>
  <c r="AA6" i="2"/>
  <c r="AC6" i="2" s="1"/>
  <c r="AD6" i="2" s="1"/>
  <c r="AA92" i="2"/>
  <c r="AC92" i="2" s="1"/>
  <c r="AD92" i="2" s="1"/>
  <c r="AA68" i="2"/>
  <c r="AC68" i="2" s="1"/>
  <c r="AD68" i="2" s="1"/>
  <c r="AA32" i="2"/>
  <c r="AC32" i="2" s="1"/>
  <c r="AD32" i="2" s="1"/>
  <c r="AA101" i="2"/>
  <c r="AC101" i="2" s="1"/>
  <c r="AD101" i="2" s="1"/>
  <c r="AA89" i="2"/>
  <c r="AC89" i="2" s="1"/>
  <c r="AD89" i="2" s="1"/>
  <c r="AA77" i="2"/>
  <c r="AC77" i="2" s="1"/>
  <c r="AD77" i="2" s="1"/>
  <c r="AA65" i="2"/>
  <c r="AC65" i="2" s="1"/>
  <c r="AD65" i="2" s="1"/>
  <c r="AA53" i="2"/>
  <c r="AC53" i="2" s="1"/>
  <c r="AD53" i="2" s="1"/>
  <c r="AA41" i="2"/>
  <c r="AC41" i="2" s="1"/>
  <c r="AD41" i="2" s="1"/>
  <c r="AA29" i="2"/>
  <c r="AC29" i="2" s="1"/>
  <c r="AD29" i="2" s="1"/>
  <c r="AA17" i="2"/>
  <c r="AC17" i="2" s="1"/>
  <c r="AD17" i="2" s="1"/>
  <c r="AA5" i="2"/>
  <c r="AC5" i="2" s="1"/>
  <c r="AD5" i="2" s="1"/>
  <c r="AA8" i="2"/>
  <c r="AC8" i="2" s="1"/>
  <c r="AD8" i="2" s="1"/>
  <c r="AA100" i="2"/>
  <c r="AC100" i="2" s="1"/>
  <c r="AD100" i="2" s="1"/>
  <c r="AA88" i="2"/>
  <c r="AC88" i="2" s="1"/>
  <c r="AD88" i="2" s="1"/>
  <c r="AA76" i="2"/>
  <c r="AC76" i="2" s="1"/>
  <c r="AD76" i="2" s="1"/>
  <c r="AA64" i="2"/>
  <c r="AC64" i="2" s="1"/>
  <c r="AD64" i="2" s="1"/>
  <c r="AA52" i="2"/>
  <c r="AC52" i="2" s="1"/>
  <c r="AD52" i="2" s="1"/>
  <c r="AA40" i="2"/>
  <c r="AC40" i="2" s="1"/>
  <c r="AD40" i="2" s="1"/>
  <c r="AA28" i="2"/>
  <c r="AC28" i="2" s="1"/>
  <c r="AD28" i="2" s="1"/>
  <c r="AA16" i="2"/>
  <c r="AC16" i="2" s="1"/>
  <c r="AD16" i="2" s="1"/>
  <c r="AA97" i="2"/>
  <c r="AC97" i="2" s="1"/>
  <c r="AD97" i="2" s="1"/>
  <c r="AA85" i="2"/>
  <c r="AC85" i="2" s="1"/>
  <c r="AD85" i="2" s="1"/>
  <c r="AA73" i="2"/>
  <c r="AC73" i="2" s="1"/>
  <c r="AD73" i="2" s="1"/>
  <c r="AA61" i="2"/>
  <c r="AC61" i="2" s="1"/>
  <c r="AD61" i="2" s="1"/>
  <c r="AA49" i="2"/>
  <c r="AC49" i="2" s="1"/>
  <c r="AD49" i="2" s="1"/>
  <c r="AA37" i="2"/>
  <c r="AC37" i="2" s="1"/>
  <c r="AD37" i="2" s="1"/>
  <c r="AA25" i="2"/>
  <c r="AC25" i="2" s="1"/>
  <c r="AD25" i="2" s="1"/>
  <c r="AD13" i="2"/>
  <c r="K4" i="3"/>
  <c r="L4" i="3"/>
  <c r="M4" i="3"/>
  <c r="K5" i="3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M3" i="3"/>
  <c r="L3" i="3"/>
  <c r="K3" i="3"/>
  <c r="BS3" i="3"/>
  <c r="BR3" i="3"/>
  <c r="BQ3" i="3"/>
  <c r="AJ3" i="3"/>
  <c r="AI3" i="3"/>
  <c r="Z3" i="3"/>
  <c r="Z2" i="3"/>
  <c r="BB3" i="2"/>
  <c r="BE30" i="2" s="1"/>
  <c r="BA3" i="2"/>
  <c r="BD3" i="2" s="1"/>
  <c r="AZ3" i="2"/>
  <c r="BC3" i="2" s="1"/>
  <c r="AE3" i="2" l="1"/>
  <c r="AF3" i="2" s="1"/>
  <c r="BE26" i="2"/>
  <c r="BE5" i="2"/>
  <c r="BD5" i="2"/>
  <c r="BC33" i="2"/>
  <c r="BC29" i="2"/>
  <c r="BC25" i="2"/>
  <c r="BC21" i="2"/>
  <c r="BC17" i="2"/>
  <c r="BC13" i="2"/>
  <c r="BC9" i="2"/>
  <c r="BC5" i="2"/>
  <c r="BE32" i="2"/>
  <c r="BE28" i="2"/>
  <c r="BE24" i="2"/>
  <c r="BE20" i="2"/>
  <c r="BE16" i="2"/>
  <c r="BE12" i="2"/>
  <c r="BE8" i="2"/>
  <c r="BE4" i="2"/>
  <c r="BD32" i="2"/>
  <c r="BD28" i="2"/>
  <c r="BD24" i="2"/>
  <c r="BD20" i="2"/>
  <c r="BD16" i="2"/>
  <c r="BD12" i="2"/>
  <c r="BD8" i="2"/>
  <c r="BD4" i="2"/>
  <c r="BC30" i="2"/>
  <c r="BD25" i="2"/>
  <c r="BD17" i="2"/>
  <c r="BC32" i="2"/>
  <c r="BC20" i="2"/>
  <c r="BC16" i="2"/>
  <c r="BC12" i="2"/>
  <c r="BC8" i="2"/>
  <c r="BC4" i="2"/>
  <c r="BD29" i="2"/>
  <c r="BD13" i="2"/>
  <c r="BC24" i="2"/>
  <c r="BE31" i="2"/>
  <c r="BE27" i="2"/>
  <c r="BE23" i="2"/>
  <c r="BE19" i="2"/>
  <c r="BE15" i="2"/>
  <c r="BE11" i="2"/>
  <c r="BE7" i="2"/>
  <c r="BD33" i="2"/>
  <c r="BD21" i="2"/>
  <c r="BD9" i="2"/>
  <c r="BC28" i="2"/>
  <c r="BD31" i="2"/>
  <c r="BD27" i="2"/>
  <c r="BD23" i="2"/>
  <c r="BD19" i="2"/>
  <c r="BD15" i="2"/>
  <c r="BD11" i="2"/>
  <c r="BD7" i="2"/>
  <c r="BC31" i="2"/>
  <c r="BC27" i="2"/>
  <c r="BC23" i="2"/>
  <c r="BC19" i="2"/>
  <c r="BC15" i="2"/>
  <c r="BC11" i="2"/>
  <c r="BC7" i="2"/>
  <c r="BE6" i="2"/>
  <c r="BE22" i="2"/>
  <c r="BE18" i="2"/>
  <c r="BE14" i="2"/>
  <c r="BE10" i="2"/>
  <c r="BE3" i="2"/>
  <c r="BD30" i="2"/>
  <c r="BD26" i="2"/>
  <c r="BD22" i="2"/>
  <c r="BD18" i="2"/>
  <c r="BD14" i="2"/>
  <c r="BD10" i="2"/>
  <c r="BD6" i="2"/>
  <c r="BC6" i="2"/>
  <c r="BC26" i="2"/>
  <c r="BC22" i="2"/>
  <c r="BC18" i="2"/>
  <c r="BC14" i="2"/>
  <c r="BC10" i="2"/>
  <c r="BE33" i="2"/>
  <c r="BE29" i="2"/>
  <c r="BE25" i="2"/>
  <c r="BE21" i="2"/>
  <c r="BE17" i="2"/>
  <c r="BE13" i="2"/>
  <c r="BE9" i="2"/>
  <c r="BF21" i="3"/>
  <c r="BG21" i="3" s="1"/>
  <c r="BF10" i="3"/>
  <c r="BG10" i="3" s="1"/>
  <c r="BF22" i="3"/>
  <c r="BG22" i="3" s="1"/>
  <c r="BF34" i="3"/>
  <c r="BG34" i="3" s="1"/>
  <c r="BF46" i="3"/>
  <c r="BG46" i="3" s="1"/>
  <c r="BF58" i="3"/>
  <c r="BG58" i="3" s="1"/>
  <c r="BF82" i="3"/>
  <c r="BG82" i="3" s="1"/>
  <c r="BF11" i="3"/>
  <c r="BG11" i="3" s="1"/>
  <c r="BF23" i="3"/>
  <c r="BG23" i="3" s="1"/>
  <c r="BF35" i="3"/>
  <c r="BG35" i="3" s="1"/>
  <c r="BF47" i="3"/>
  <c r="BG47" i="3" s="1"/>
  <c r="BF59" i="3"/>
  <c r="BG59" i="3" s="1"/>
  <c r="BF71" i="3"/>
  <c r="BG71" i="3" s="1"/>
  <c r="BF83" i="3"/>
  <c r="BG83" i="3" s="1"/>
  <c r="BF95" i="3"/>
  <c r="BG95" i="3" s="1"/>
  <c r="BF38" i="3"/>
  <c r="BG38" i="3" s="1"/>
  <c r="BF62" i="3"/>
  <c r="BG62" i="3" s="1"/>
  <c r="BF98" i="3"/>
  <c r="BG98" i="3" s="1"/>
  <c r="BF40" i="3"/>
  <c r="BG40" i="3" s="1"/>
  <c r="BF67" i="3"/>
  <c r="BG67" i="3" s="1"/>
  <c r="BF12" i="3"/>
  <c r="BG12" i="3" s="1"/>
  <c r="BF24" i="3"/>
  <c r="BG24" i="3" s="1"/>
  <c r="BF36" i="3"/>
  <c r="BG36" i="3" s="1"/>
  <c r="BF48" i="3"/>
  <c r="BG48" i="3" s="1"/>
  <c r="BF60" i="3"/>
  <c r="BG60" i="3" s="1"/>
  <c r="BF72" i="3"/>
  <c r="BG72" i="3" s="1"/>
  <c r="BF84" i="3"/>
  <c r="BG84" i="3" s="1"/>
  <c r="BF96" i="3"/>
  <c r="BG96" i="3" s="1"/>
  <c r="BF14" i="3"/>
  <c r="BG14" i="3" s="1"/>
  <c r="BF74" i="3"/>
  <c r="BG74" i="3" s="1"/>
  <c r="BF28" i="3"/>
  <c r="BG28" i="3" s="1"/>
  <c r="BF100" i="3"/>
  <c r="BG100" i="3" s="1"/>
  <c r="BF19" i="3"/>
  <c r="BG19" i="3" s="1"/>
  <c r="BF33" i="3"/>
  <c r="BG33" i="3" s="1"/>
  <c r="BF69" i="3"/>
  <c r="BG69" i="3" s="1"/>
  <c r="BF70" i="3"/>
  <c r="BG70" i="3" s="1"/>
  <c r="BF13" i="3"/>
  <c r="BG13" i="3" s="1"/>
  <c r="BF25" i="3"/>
  <c r="BG25" i="3" s="1"/>
  <c r="BF37" i="3"/>
  <c r="BG37" i="3" s="1"/>
  <c r="BF49" i="3"/>
  <c r="BG49" i="3" s="1"/>
  <c r="BF61" i="3"/>
  <c r="BG61" i="3" s="1"/>
  <c r="BF73" i="3"/>
  <c r="BG73" i="3" s="1"/>
  <c r="BF85" i="3"/>
  <c r="BG85" i="3" s="1"/>
  <c r="BF97" i="3"/>
  <c r="BG97" i="3" s="1"/>
  <c r="BF26" i="3"/>
  <c r="BG26" i="3" s="1"/>
  <c r="BF50" i="3"/>
  <c r="BG50" i="3" s="1"/>
  <c r="BF86" i="3"/>
  <c r="BG86" i="3" s="1"/>
  <c r="BF64" i="3"/>
  <c r="BG64" i="3" s="1"/>
  <c r="BF91" i="3"/>
  <c r="BG91" i="3" s="1"/>
  <c r="BF57" i="3"/>
  <c r="BG57" i="3" s="1"/>
  <c r="BF31" i="3"/>
  <c r="BG31" i="3" s="1"/>
  <c r="BF15" i="3"/>
  <c r="BG15" i="3" s="1"/>
  <c r="BF27" i="3"/>
  <c r="BG27" i="3" s="1"/>
  <c r="BF39" i="3"/>
  <c r="BG39" i="3" s="1"/>
  <c r="BF51" i="3"/>
  <c r="BG51" i="3" s="1"/>
  <c r="BF63" i="3"/>
  <c r="BG63" i="3" s="1"/>
  <c r="BF75" i="3"/>
  <c r="BG75" i="3" s="1"/>
  <c r="BF87" i="3"/>
  <c r="BG87" i="3" s="1"/>
  <c r="BF99" i="3"/>
  <c r="BG99" i="3" s="1"/>
  <c r="BF16" i="3"/>
  <c r="BG16" i="3" s="1"/>
  <c r="BF52" i="3"/>
  <c r="BG52" i="3" s="1"/>
  <c r="BF88" i="3"/>
  <c r="BG88" i="3" s="1"/>
  <c r="BF9" i="3"/>
  <c r="BG9" i="3" s="1"/>
  <c r="BF81" i="3"/>
  <c r="BG81" i="3" s="1"/>
  <c r="BF94" i="3"/>
  <c r="BG94" i="3" s="1"/>
  <c r="BF76" i="3"/>
  <c r="BG76" i="3" s="1"/>
  <c r="BF4" i="3"/>
  <c r="BG4" i="3" s="1"/>
  <c r="BF5" i="3"/>
  <c r="BG5" i="3" s="1"/>
  <c r="BF17" i="3"/>
  <c r="BG17" i="3" s="1"/>
  <c r="BF29" i="3"/>
  <c r="BG29" i="3" s="1"/>
  <c r="BF41" i="3"/>
  <c r="BG41" i="3" s="1"/>
  <c r="BF53" i="3"/>
  <c r="BG53" i="3" s="1"/>
  <c r="BF65" i="3"/>
  <c r="BG65" i="3" s="1"/>
  <c r="BF77" i="3"/>
  <c r="BG77" i="3" s="1"/>
  <c r="BF89" i="3"/>
  <c r="BG89" i="3" s="1"/>
  <c r="BF101" i="3"/>
  <c r="BG101" i="3" s="1"/>
  <c r="BF6" i="3"/>
  <c r="BG6" i="3" s="1"/>
  <c r="BF30" i="3"/>
  <c r="BG30" i="3" s="1"/>
  <c r="BF54" i="3"/>
  <c r="BG54" i="3" s="1"/>
  <c r="BF78" i="3"/>
  <c r="BG78" i="3" s="1"/>
  <c r="BF102" i="3"/>
  <c r="BG102" i="3" s="1"/>
  <c r="BF43" i="3"/>
  <c r="BG43" i="3" s="1"/>
  <c r="BF18" i="3"/>
  <c r="BG18" i="3" s="1"/>
  <c r="BF42" i="3"/>
  <c r="BG42" i="3" s="1"/>
  <c r="BF66" i="3"/>
  <c r="BG66" i="3" s="1"/>
  <c r="BF90" i="3"/>
  <c r="BG90" i="3" s="1"/>
  <c r="BF7" i="3"/>
  <c r="BG7" i="3" s="1"/>
  <c r="BF55" i="3"/>
  <c r="BG55" i="3" s="1"/>
  <c r="BF79" i="3"/>
  <c r="BG79" i="3" s="1"/>
  <c r="BF93" i="3"/>
  <c r="BG93" i="3" s="1"/>
  <c r="BF8" i="3"/>
  <c r="BG8" i="3" s="1"/>
  <c r="BF20" i="3"/>
  <c r="BG20" i="3" s="1"/>
  <c r="BF32" i="3"/>
  <c r="BG32" i="3" s="1"/>
  <c r="BF44" i="3"/>
  <c r="BG44" i="3" s="1"/>
  <c r="BF56" i="3"/>
  <c r="BG56" i="3" s="1"/>
  <c r="BF68" i="3"/>
  <c r="BG68" i="3" s="1"/>
  <c r="BF80" i="3"/>
  <c r="BG80" i="3" s="1"/>
  <c r="BF92" i="3"/>
  <c r="BG92" i="3" s="1"/>
  <c r="BF3" i="3"/>
  <c r="BF45" i="3"/>
  <c r="BG45" i="3" s="1"/>
  <c r="AD13" i="3"/>
  <c r="AE13" i="3" s="1"/>
  <c r="AD25" i="3"/>
  <c r="AE25" i="3" s="1"/>
  <c r="AD37" i="3"/>
  <c r="AE37" i="3" s="1"/>
  <c r="AD49" i="3"/>
  <c r="AE49" i="3" s="1"/>
  <c r="AD61" i="3"/>
  <c r="AE61" i="3" s="1"/>
  <c r="AD73" i="3"/>
  <c r="AE73" i="3" s="1"/>
  <c r="AD85" i="3"/>
  <c r="AE85" i="3" s="1"/>
  <c r="AD97" i="3"/>
  <c r="AE97" i="3" s="1"/>
  <c r="AD16" i="3"/>
  <c r="AE16" i="3" s="1"/>
  <c r="AD40" i="3"/>
  <c r="AE40" i="3" s="1"/>
  <c r="AD76" i="3"/>
  <c r="AE76" i="3" s="1"/>
  <c r="AD88" i="3"/>
  <c r="AE88" i="3" s="1"/>
  <c r="AD30" i="3"/>
  <c r="AE30" i="3" s="1"/>
  <c r="AD78" i="3"/>
  <c r="AE78" i="3" s="1"/>
  <c r="AD31" i="3"/>
  <c r="AE31" i="3" s="1"/>
  <c r="AD91" i="3"/>
  <c r="AE91" i="3" s="1"/>
  <c r="AD33" i="3"/>
  <c r="AE33" i="3" s="1"/>
  <c r="AD69" i="3"/>
  <c r="AE69" i="3" s="1"/>
  <c r="AD14" i="3"/>
  <c r="AE14" i="3" s="1"/>
  <c r="AD26" i="3"/>
  <c r="AE26" i="3" s="1"/>
  <c r="AD38" i="3"/>
  <c r="AE38" i="3" s="1"/>
  <c r="AD50" i="3"/>
  <c r="AE50" i="3" s="1"/>
  <c r="AD86" i="3"/>
  <c r="AE86" i="3" s="1"/>
  <c r="AD98" i="3"/>
  <c r="AE98" i="3" s="1"/>
  <c r="AD4" i="3"/>
  <c r="AE4" i="3" s="1"/>
  <c r="AD52" i="3"/>
  <c r="AE52" i="3" s="1"/>
  <c r="AD6" i="3"/>
  <c r="AE6" i="3" s="1"/>
  <c r="AD54" i="3"/>
  <c r="AE54" i="3" s="1"/>
  <c r="AD102" i="3"/>
  <c r="AE102" i="3" s="1"/>
  <c r="AD7" i="3"/>
  <c r="AE7" i="3" s="1"/>
  <c r="AD43" i="3"/>
  <c r="AE43" i="3" s="1"/>
  <c r="AD67" i="3"/>
  <c r="AE67" i="3" s="1"/>
  <c r="AD93" i="3"/>
  <c r="AE93" i="3" s="1"/>
  <c r="AD22" i="3"/>
  <c r="AE22" i="3" s="1"/>
  <c r="AD82" i="3"/>
  <c r="AE82" i="3" s="1"/>
  <c r="AD48" i="3"/>
  <c r="AE48" i="3" s="1"/>
  <c r="AD15" i="3"/>
  <c r="AE15" i="3" s="1"/>
  <c r="AD27" i="3"/>
  <c r="AE27" i="3" s="1"/>
  <c r="AD39" i="3"/>
  <c r="AE39" i="3" s="1"/>
  <c r="AD51" i="3"/>
  <c r="AE51" i="3" s="1"/>
  <c r="AD63" i="3"/>
  <c r="AE63" i="3" s="1"/>
  <c r="AD75" i="3"/>
  <c r="AE75" i="3" s="1"/>
  <c r="AD87" i="3"/>
  <c r="AE87" i="3" s="1"/>
  <c r="AD99" i="3"/>
  <c r="AE99" i="3" s="1"/>
  <c r="AD28" i="3"/>
  <c r="AE28" i="3" s="1"/>
  <c r="AD64" i="3"/>
  <c r="AE64" i="3" s="1"/>
  <c r="AD100" i="3"/>
  <c r="AE100" i="3" s="1"/>
  <c r="AD42" i="3"/>
  <c r="AE42" i="3" s="1"/>
  <c r="AD90" i="3"/>
  <c r="AE90" i="3" s="1"/>
  <c r="AD79" i="3"/>
  <c r="AE79" i="3" s="1"/>
  <c r="AD45" i="3"/>
  <c r="AE45" i="3" s="1"/>
  <c r="AD58" i="3"/>
  <c r="AE58" i="3" s="1"/>
  <c r="AD60" i="3"/>
  <c r="AE60" i="3" s="1"/>
  <c r="AD5" i="3"/>
  <c r="AE5" i="3" s="1"/>
  <c r="AD17" i="3"/>
  <c r="AE17" i="3" s="1"/>
  <c r="AD29" i="3"/>
  <c r="AE29" i="3" s="1"/>
  <c r="AD41" i="3"/>
  <c r="AE41" i="3" s="1"/>
  <c r="AD53" i="3"/>
  <c r="AE53" i="3" s="1"/>
  <c r="AD65" i="3"/>
  <c r="AE65" i="3" s="1"/>
  <c r="AD77" i="3"/>
  <c r="AE77" i="3" s="1"/>
  <c r="AD89" i="3"/>
  <c r="AE89" i="3" s="1"/>
  <c r="AD101" i="3"/>
  <c r="AE101" i="3" s="1"/>
  <c r="AD18" i="3"/>
  <c r="AE18" i="3" s="1"/>
  <c r="AD66" i="3"/>
  <c r="AE66" i="3" s="1"/>
  <c r="AD19" i="3"/>
  <c r="AE19" i="3" s="1"/>
  <c r="AD55" i="3"/>
  <c r="AE55" i="3" s="1"/>
  <c r="AD3" i="3"/>
  <c r="AD9" i="3"/>
  <c r="AE9" i="3" s="1"/>
  <c r="AD57" i="3"/>
  <c r="AE57" i="3" s="1"/>
  <c r="AD10" i="3"/>
  <c r="AE10" i="3" s="1"/>
  <c r="AD46" i="3"/>
  <c r="AE46" i="3" s="1"/>
  <c r="AD94" i="3"/>
  <c r="AE94" i="3" s="1"/>
  <c r="AD36" i="3"/>
  <c r="AE36" i="3" s="1"/>
  <c r="AD84" i="3"/>
  <c r="AE84" i="3" s="1"/>
  <c r="AD8" i="3"/>
  <c r="AE8" i="3" s="1"/>
  <c r="AD20" i="3"/>
  <c r="AE20" i="3" s="1"/>
  <c r="AD32" i="3"/>
  <c r="AE32" i="3" s="1"/>
  <c r="AD44" i="3"/>
  <c r="AE44" i="3" s="1"/>
  <c r="AD56" i="3"/>
  <c r="AE56" i="3" s="1"/>
  <c r="AD68" i="3"/>
  <c r="AE68" i="3" s="1"/>
  <c r="AD80" i="3"/>
  <c r="AE80" i="3" s="1"/>
  <c r="AD92" i="3"/>
  <c r="AE92" i="3" s="1"/>
  <c r="AD21" i="3"/>
  <c r="AE21" i="3" s="1"/>
  <c r="AD81" i="3"/>
  <c r="AE81" i="3" s="1"/>
  <c r="AD34" i="3"/>
  <c r="AE34" i="3" s="1"/>
  <c r="AD70" i="3"/>
  <c r="AE70" i="3" s="1"/>
  <c r="AD12" i="3"/>
  <c r="AE12" i="3" s="1"/>
  <c r="AD96" i="3"/>
  <c r="AE96" i="3" s="1"/>
  <c r="AD11" i="3"/>
  <c r="AE11" i="3" s="1"/>
  <c r="AD23" i="3"/>
  <c r="AE23" i="3" s="1"/>
  <c r="AD35" i="3"/>
  <c r="AE35" i="3" s="1"/>
  <c r="AD47" i="3"/>
  <c r="AE47" i="3" s="1"/>
  <c r="AD59" i="3"/>
  <c r="AE59" i="3" s="1"/>
  <c r="AD71" i="3"/>
  <c r="AE71" i="3" s="1"/>
  <c r="AD83" i="3"/>
  <c r="AE83" i="3" s="1"/>
  <c r="AD95" i="3"/>
  <c r="AE95" i="3" s="1"/>
  <c r="AD24" i="3"/>
  <c r="AE24" i="3" s="1"/>
  <c r="AD72" i="3"/>
  <c r="AE72" i="3" s="1"/>
  <c r="AD74" i="3"/>
  <c r="AE74" i="3" s="1"/>
  <c r="AD62" i="3"/>
  <c r="AE62" i="3" s="1"/>
  <c r="BG3" i="3" l="1"/>
  <c r="BH3" i="3"/>
  <c r="AF3" i="3"/>
  <c r="AG3" i="3" s="1"/>
  <c r="AE3" i="3"/>
  <c r="BI3" i="3" l="1"/>
  <c r="BL3" i="3"/>
  <c r="BK3" i="3"/>
</calcChain>
</file>

<file path=xl/sharedStrings.xml><?xml version="1.0" encoding="utf-8"?>
<sst xmlns="http://schemas.openxmlformats.org/spreadsheetml/2006/main" count="124" uniqueCount="61">
  <si>
    <t>n</t>
  </si>
  <si>
    <t>v (m³)</t>
  </si>
  <si>
    <t>d (cm)</t>
  </si>
  <si>
    <t>h (m)</t>
  </si>
  <si>
    <t>Y (v)</t>
  </si>
  <si>
    <t>X (d2h)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</si>
  <si>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</si>
  <si>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</si>
  <si>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</si>
  <si>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</si>
  <si>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</si>
  <si>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</si>
  <si>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</si>
  <si>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</si>
  <si>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</si>
  <si>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</si>
  <si>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</si>
  <si>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</si>
  <si>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</si>
  <si>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</si>
  <si>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</si>
  <si>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</si>
  <si>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</si>
  <si>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</si>
  <si>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</si>
  <si>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</si>
  <si>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</si>
  <si>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</si>
  <si>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</si>
  <si>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</si>
  <si>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b0 =</t>
  </si>
  <si>
    <t>b1 =</t>
  </si>
  <si>
    <t>v predito</t>
  </si>
  <si>
    <t>SQE</t>
  </si>
  <si>
    <t>Syx</t>
  </si>
  <si>
    <t>n =</t>
  </si>
  <si>
    <t>p =</t>
  </si>
  <si>
    <t>R²</t>
  </si>
  <si>
    <t>R²aj</t>
  </si>
  <si>
    <t>Resíduo %</t>
  </si>
  <si>
    <t>DAP</t>
  </si>
  <si>
    <t>V pred</t>
  </si>
  <si>
    <t>h média</t>
  </si>
  <si>
    <t>h mínima</t>
  </si>
  <si>
    <t>h máxima</t>
  </si>
  <si>
    <t>V hmédia</t>
  </si>
  <si>
    <t>V hmin</t>
  </si>
  <si>
    <t>V hmax</t>
  </si>
  <si>
    <t>X1 (ln(d))</t>
  </si>
  <si>
    <t>X2 (ln(h))</t>
  </si>
  <si>
    <t>Y (ln(v))</t>
  </si>
  <si>
    <t>b2</t>
  </si>
  <si>
    <t>FC (Fator de Correção</t>
  </si>
  <si>
    <t>FC =</t>
  </si>
  <si>
    <t>Não podemos comparar com o modelo de Spurr, pois aquele foi ajustado na escala original de Volume, enquanto esse modelo de Schumacher-Hall foi ajustado usando ln(v). Precisamos recalcular as estatísticas na escala original de volume.</t>
  </si>
  <si>
    <t>Y pred (ln(v))</t>
  </si>
  <si>
    <t>SQT</t>
  </si>
  <si>
    <t>Modelo</t>
  </si>
  <si>
    <t>Spurr</t>
  </si>
  <si>
    <t>Schumacher-Hall</t>
  </si>
  <si>
    <t>Qual você recomendaria?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</si>
</sst>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11" borderId="0" applyNumberFormat="0" applyBorder="0" applyAlignment="0" applyProtection="0"/>
    <xf numFmtId="0" fontId="6" fillId="12" borderId="4" applyNumberFormat="0" applyAlignment="0" applyProtection="0"/>
  </cellStyleXfs>
  <cellXfs count="45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3" fillId="7" borderId="3" xfId="0" applyFont="1" applyFill="1" applyBorder="1" applyAlignment="1">
      <alignment horizontal="centerContinuous"/>
    </xf>
    <xf numFmtId="0" fontId="0" fillId="7" borderId="2" xfId="0" applyFill="1" applyBorder="1"/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left"/>
    </xf>
    <xf numFmtId="0" fontId="1" fillId="8" borderId="0" xfId="0" applyFont="1" applyFill="1"/>
    <xf numFmtId="0" fontId="0" fillId="10" borderId="0" xfId="0" applyFill="1"/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right"/>
    </xf>
    <xf numFmtId="0" fontId="0" fillId="6" borderId="0" xfId="0" applyFill="1"/>
    <xf numFmtId="0" fontId="1" fillId="9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0" fillId="10" borderId="5" xfId="0" applyFill="1" applyBorder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10" borderId="0" xfId="0" applyNumberFormat="1" applyFill="1"/>
    <xf numFmtId="0" fontId="0" fillId="0" borderId="0" xfId="0" applyAlignment="1">
      <alignment horizontal="left" vertical="center"/>
    </xf>
    <xf numFmtId="10" fontId="0" fillId="10" borderId="5" xfId="1" applyNumberFormat="1" applyFont="1" applyFill="1" applyBorder="1"/>
    <xf numFmtId="0" fontId="0" fillId="14" borderId="0" xfId="0" applyFill="1" applyAlignment="1">
      <alignment horizontal="center" vertical="center"/>
    </xf>
    <xf numFmtId="0" fontId="0" fillId="15" borderId="0" xfId="0" applyFill="1"/>
    <xf numFmtId="0" fontId="0" fillId="0" borderId="1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6" fillId="12" borderId="4" xfId="3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11" borderId="0" xfId="2" applyAlignment="1">
      <alignment horizontal="center" vertical="center" wrapText="1"/>
    </xf>
  </cellXfs>
  <cellStyles count="4">
    <cellStyle name="Cálculo" xfId="3" builtinId="22"/>
    <cellStyle name="Normal" xfId="0" builtinId="0"/>
    <cellStyle name="Porcentagem" xfId="1" builtinId="5"/>
    <cellStyle name="Ruim" xfId="2" builtinId="27"/>
  </cellStyles>
  <dxfs count="0"/>
  <tableStyles count="0" defaultTableStyle="TableStyleMedium2" defaultPivotStyle="PivotStyleLight16"/>
  <colors>
    <mruColors>
      <color rgb="FFFFC9C9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em Função do DAP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Spurr'!$C$3:$C$102</c:f>
              <c:numCache>
                <c:formatCode>0.0</c:formatCode>
                <c:ptCount val="100"/>
                <c:pt idx="0">
                  <c:v>27.6</c:v>
                </c:pt>
                <c:pt idx="1">
                  <c:v>37</c:v>
                </c:pt>
                <c:pt idx="2">
                  <c:v>27.5</c:v>
                </c:pt>
                <c:pt idx="3">
                  <c:v>29.5</c:v>
                </c:pt>
                <c:pt idx="4">
                  <c:v>28</c:v>
                </c:pt>
                <c:pt idx="5">
                  <c:v>26</c:v>
                </c:pt>
                <c:pt idx="6">
                  <c:v>26.9</c:v>
                </c:pt>
                <c:pt idx="7">
                  <c:v>27.8</c:v>
                </c:pt>
                <c:pt idx="8">
                  <c:v>29.8</c:v>
                </c:pt>
                <c:pt idx="9">
                  <c:v>33.9</c:v>
                </c:pt>
                <c:pt idx="10">
                  <c:v>29.6</c:v>
                </c:pt>
                <c:pt idx="11">
                  <c:v>28.1</c:v>
                </c:pt>
                <c:pt idx="12">
                  <c:v>29.5</c:v>
                </c:pt>
                <c:pt idx="13">
                  <c:v>26</c:v>
                </c:pt>
                <c:pt idx="14">
                  <c:v>27.8</c:v>
                </c:pt>
                <c:pt idx="15">
                  <c:v>31.5</c:v>
                </c:pt>
                <c:pt idx="16">
                  <c:v>35</c:v>
                </c:pt>
                <c:pt idx="17">
                  <c:v>28.3</c:v>
                </c:pt>
                <c:pt idx="18">
                  <c:v>33.9</c:v>
                </c:pt>
                <c:pt idx="19">
                  <c:v>40.700000000000003</c:v>
                </c:pt>
                <c:pt idx="20">
                  <c:v>31.6</c:v>
                </c:pt>
                <c:pt idx="21">
                  <c:v>31.5</c:v>
                </c:pt>
                <c:pt idx="22">
                  <c:v>29.5</c:v>
                </c:pt>
                <c:pt idx="23">
                  <c:v>37.5</c:v>
                </c:pt>
                <c:pt idx="24">
                  <c:v>28.5</c:v>
                </c:pt>
                <c:pt idx="25">
                  <c:v>33.5</c:v>
                </c:pt>
                <c:pt idx="26">
                  <c:v>24.5</c:v>
                </c:pt>
                <c:pt idx="27">
                  <c:v>30</c:v>
                </c:pt>
                <c:pt idx="28">
                  <c:v>28.1</c:v>
                </c:pt>
                <c:pt idx="29">
                  <c:v>28</c:v>
                </c:pt>
                <c:pt idx="30">
                  <c:v>29.5</c:v>
                </c:pt>
                <c:pt idx="31">
                  <c:v>30.3</c:v>
                </c:pt>
                <c:pt idx="32">
                  <c:v>23.5</c:v>
                </c:pt>
                <c:pt idx="33">
                  <c:v>29.8</c:v>
                </c:pt>
                <c:pt idx="34">
                  <c:v>30.5</c:v>
                </c:pt>
                <c:pt idx="35">
                  <c:v>43.7</c:v>
                </c:pt>
                <c:pt idx="36">
                  <c:v>28.5</c:v>
                </c:pt>
                <c:pt idx="37">
                  <c:v>26.5</c:v>
                </c:pt>
                <c:pt idx="38">
                  <c:v>26.5</c:v>
                </c:pt>
                <c:pt idx="39">
                  <c:v>35.5</c:v>
                </c:pt>
                <c:pt idx="40">
                  <c:v>31.6</c:v>
                </c:pt>
                <c:pt idx="41">
                  <c:v>28.1</c:v>
                </c:pt>
                <c:pt idx="42">
                  <c:v>33.200000000000003</c:v>
                </c:pt>
                <c:pt idx="43">
                  <c:v>35</c:v>
                </c:pt>
                <c:pt idx="44">
                  <c:v>43.6</c:v>
                </c:pt>
                <c:pt idx="45">
                  <c:v>29</c:v>
                </c:pt>
                <c:pt idx="46">
                  <c:v>28.5</c:v>
                </c:pt>
                <c:pt idx="47">
                  <c:v>34</c:v>
                </c:pt>
                <c:pt idx="48">
                  <c:v>34</c:v>
                </c:pt>
                <c:pt idx="49">
                  <c:v>35</c:v>
                </c:pt>
                <c:pt idx="50">
                  <c:v>35.5</c:v>
                </c:pt>
                <c:pt idx="51">
                  <c:v>32</c:v>
                </c:pt>
                <c:pt idx="52">
                  <c:v>34</c:v>
                </c:pt>
                <c:pt idx="53">
                  <c:v>31</c:v>
                </c:pt>
                <c:pt idx="54">
                  <c:v>33</c:v>
                </c:pt>
                <c:pt idx="55">
                  <c:v>34.200000000000003</c:v>
                </c:pt>
                <c:pt idx="56">
                  <c:v>38</c:v>
                </c:pt>
                <c:pt idx="57">
                  <c:v>34.5</c:v>
                </c:pt>
                <c:pt idx="58">
                  <c:v>34.5</c:v>
                </c:pt>
                <c:pt idx="59">
                  <c:v>42.5</c:v>
                </c:pt>
                <c:pt idx="60">
                  <c:v>37.700000000000003</c:v>
                </c:pt>
                <c:pt idx="61">
                  <c:v>37</c:v>
                </c:pt>
                <c:pt idx="62">
                  <c:v>25.5</c:v>
                </c:pt>
                <c:pt idx="63">
                  <c:v>32.5</c:v>
                </c:pt>
                <c:pt idx="64">
                  <c:v>29</c:v>
                </c:pt>
                <c:pt idx="65">
                  <c:v>38</c:v>
                </c:pt>
                <c:pt idx="66">
                  <c:v>28.5</c:v>
                </c:pt>
                <c:pt idx="67">
                  <c:v>31</c:v>
                </c:pt>
                <c:pt idx="68">
                  <c:v>36.5</c:v>
                </c:pt>
                <c:pt idx="69">
                  <c:v>40</c:v>
                </c:pt>
                <c:pt idx="70">
                  <c:v>29.5</c:v>
                </c:pt>
                <c:pt idx="71">
                  <c:v>31</c:v>
                </c:pt>
                <c:pt idx="72">
                  <c:v>26.5</c:v>
                </c:pt>
                <c:pt idx="73">
                  <c:v>32</c:v>
                </c:pt>
                <c:pt idx="74">
                  <c:v>32.5</c:v>
                </c:pt>
                <c:pt idx="75">
                  <c:v>32</c:v>
                </c:pt>
                <c:pt idx="76">
                  <c:v>34.200000000000003</c:v>
                </c:pt>
                <c:pt idx="77">
                  <c:v>35.5</c:v>
                </c:pt>
                <c:pt idx="78">
                  <c:v>40.9</c:v>
                </c:pt>
                <c:pt idx="79">
                  <c:v>32</c:v>
                </c:pt>
                <c:pt idx="80">
                  <c:v>40</c:v>
                </c:pt>
                <c:pt idx="81">
                  <c:v>30.6</c:v>
                </c:pt>
                <c:pt idx="82">
                  <c:v>36.6</c:v>
                </c:pt>
                <c:pt idx="83">
                  <c:v>32.1</c:v>
                </c:pt>
                <c:pt idx="84">
                  <c:v>35.6</c:v>
                </c:pt>
                <c:pt idx="85">
                  <c:v>34.700000000000003</c:v>
                </c:pt>
                <c:pt idx="86">
                  <c:v>27</c:v>
                </c:pt>
                <c:pt idx="87">
                  <c:v>33.299999999999997</c:v>
                </c:pt>
                <c:pt idx="88">
                  <c:v>28.3</c:v>
                </c:pt>
                <c:pt idx="89">
                  <c:v>25.2</c:v>
                </c:pt>
                <c:pt idx="90">
                  <c:v>41</c:v>
                </c:pt>
                <c:pt idx="91">
                  <c:v>28.5</c:v>
                </c:pt>
                <c:pt idx="92">
                  <c:v>35.6</c:v>
                </c:pt>
                <c:pt idx="93">
                  <c:v>38.5</c:v>
                </c:pt>
                <c:pt idx="94">
                  <c:v>26.5</c:v>
                </c:pt>
                <c:pt idx="95">
                  <c:v>29.5</c:v>
                </c:pt>
                <c:pt idx="96">
                  <c:v>28.5</c:v>
                </c:pt>
                <c:pt idx="97">
                  <c:v>39.1</c:v>
                </c:pt>
                <c:pt idx="98">
                  <c:v>37.5</c:v>
                </c:pt>
                <c:pt idx="99">
                  <c:v>35.5</c:v>
                </c:pt>
              </c:numCache>
            </c:numRef>
          </c:xVal>
          <c:yVal>
            <c:numRef>
              <c:f>'Modelo de Spurr'!$E$3:$E$102</c:f>
              <c:numCache>
                <c:formatCode>0.000</c:formatCode>
                <c:ptCount val="100"/>
                <c:pt idx="0">
                  <c:v>0.77367719536616997</c:v>
                </c:pt>
                <c:pt idx="1">
                  <c:v>1.3530145267034794</c:v>
                </c:pt>
                <c:pt idx="2">
                  <c:v>0.71280114080086654</c:v>
                </c:pt>
                <c:pt idx="3">
                  <c:v>0.94271793156539674</c:v>
                </c:pt>
                <c:pt idx="4">
                  <c:v>0.85045138427471978</c:v>
                </c:pt>
                <c:pt idx="5">
                  <c:v>0.75413086037400401</c:v>
                </c:pt>
                <c:pt idx="6">
                  <c:v>0.65420452114525274</c:v>
                </c:pt>
                <c:pt idx="7">
                  <c:v>0.76547013798784025</c:v>
                </c:pt>
                <c:pt idx="8">
                  <c:v>1.0931516035260334</c:v>
                </c:pt>
                <c:pt idx="9">
                  <c:v>1.2633416521276679</c:v>
                </c:pt>
                <c:pt idx="10">
                  <c:v>0.94084990130366419</c:v>
                </c:pt>
                <c:pt idx="11">
                  <c:v>0.85869649419406635</c:v>
                </c:pt>
                <c:pt idx="12">
                  <c:v>0.98497718295488434</c:v>
                </c:pt>
                <c:pt idx="13">
                  <c:v>0.64103386518397554</c:v>
                </c:pt>
                <c:pt idx="14">
                  <c:v>0.67049802492395338</c:v>
                </c:pt>
                <c:pt idx="15">
                  <c:v>0.91115770120694395</c:v>
                </c:pt>
                <c:pt idx="16">
                  <c:v>1.3887377338470819</c:v>
                </c:pt>
                <c:pt idx="17">
                  <c:v>0.78982407839773394</c:v>
                </c:pt>
                <c:pt idx="18">
                  <c:v>1.3871130199363699</c:v>
                </c:pt>
                <c:pt idx="19">
                  <c:v>1.640638840222719</c:v>
                </c:pt>
                <c:pt idx="20">
                  <c:v>1.0808129983790598</c:v>
                </c:pt>
                <c:pt idx="21">
                  <c:v>1.1637899609128264</c:v>
                </c:pt>
                <c:pt idx="22">
                  <c:v>0.98376810175224216</c:v>
                </c:pt>
                <c:pt idx="23">
                  <c:v>1.8908197937208222</c:v>
                </c:pt>
                <c:pt idx="24">
                  <c:v>0.98304262946871201</c:v>
                </c:pt>
                <c:pt idx="25">
                  <c:v>1.1464958206040494</c:v>
                </c:pt>
                <c:pt idx="26">
                  <c:v>0.70725582397822961</c:v>
                </c:pt>
                <c:pt idx="27">
                  <c:v>1.0323661315489085</c:v>
                </c:pt>
                <c:pt idx="28">
                  <c:v>0.97500046643478733</c:v>
                </c:pt>
                <c:pt idx="29">
                  <c:v>0.96529979118918596</c:v>
                </c:pt>
                <c:pt idx="30">
                  <c:v>0.94285491809506261</c:v>
                </c:pt>
                <c:pt idx="31">
                  <c:v>1.0061775141192881</c:v>
                </c:pt>
                <c:pt idx="32">
                  <c:v>0.60666972411228581</c:v>
                </c:pt>
                <c:pt idx="33">
                  <c:v>1.1416761331445753</c:v>
                </c:pt>
                <c:pt idx="34">
                  <c:v>0.96403685785247362</c:v>
                </c:pt>
                <c:pt idx="35">
                  <c:v>2.1557410475896908</c:v>
                </c:pt>
                <c:pt idx="36">
                  <c:v>0.9640518196874861</c:v>
                </c:pt>
                <c:pt idx="37">
                  <c:v>0.89648751071223065</c:v>
                </c:pt>
                <c:pt idx="38">
                  <c:v>0.82175204526625856</c:v>
                </c:pt>
                <c:pt idx="39">
                  <c:v>1.4750505572701549</c:v>
                </c:pt>
                <c:pt idx="40">
                  <c:v>1.0481869303529989</c:v>
                </c:pt>
                <c:pt idx="41">
                  <c:v>0.8895556650619012</c:v>
                </c:pt>
                <c:pt idx="42">
                  <c:v>1.0907976212406678</c:v>
                </c:pt>
                <c:pt idx="43">
                  <c:v>1.3644401064855045</c:v>
                </c:pt>
                <c:pt idx="44">
                  <c:v>2.026133464568598</c:v>
                </c:pt>
                <c:pt idx="45">
                  <c:v>1.0973942720448291</c:v>
                </c:pt>
                <c:pt idx="46">
                  <c:v>0.98562788533325907</c:v>
                </c:pt>
                <c:pt idx="47">
                  <c:v>1.4640373507938222</c:v>
                </c:pt>
                <c:pt idx="48">
                  <c:v>1.3809493853196291</c:v>
                </c:pt>
                <c:pt idx="49">
                  <c:v>1.4199563683643344</c:v>
                </c:pt>
                <c:pt idx="50">
                  <c:v>1.475522751735959</c:v>
                </c:pt>
                <c:pt idx="51">
                  <c:v>1.27309123149891</c:v>
                </c:pt>
                <c:pt idx="52">
                  <c:v>1.2469865469530179</c:v>
                </c:pt>
                <c:pt idx="53">
                  <c:v>1.1655129674036879</c:v>
                </c:pt>
                <c:pt idx="54">
                  <c:v>1.2531862182554896</c:v>
                </c:pt>
                <c:pt idx="55">
                  <c:v>1.5826823462502129</c:v>
                </c:pt>
                <c:pt idx="56">
                  <c:v>1.5544472691861053</c:v>
                </c:pt>
                <c:pt idx="57">
                  <c:v>1.442758204923722</c:v>
                </c:pt>
                <c:pt idx="58">
                  <c:v>1.4826497557399227</c:v>
                </c:pt>
                <c:pt idx="59">
                  <c:v>2.174974506133498</c:v>
                </c:pt>
                <c:pt idx="60">
                  <c:v>1.4972626514386165</c:v>
                </c:pt>
                <c:pt idx="61">
                  <c:v>1.3977258696989101</c:v>
                </c:pt>
                <c:pt idx="62">
                  <c:v>0.76258686279019194</c:v>
                </c:pt>
                <c:pt idx="63">
                  <c:v>1.1967874044604496</c:v>
                </c:pt>
                <c:pt idx="64">
                  <c:v>1.0722975413219025</c:v>
                </c:pt>
                <c:pt idx="65">
                  <c:v>1.5664594759463404</c:v>
                </c:pt>
                <c:pt idx="66">
                  <c:v>1.0255894805756665</c:v>
                </c:pt>
                <c:pt idx="67">
                  <c:v>1.1239610456001559</c:v>
                </c:pt>
                <c:pt idx="68">
                  <c:v>1.3659420233933688</c:v>
                </c:pt>
                <c:pt idx="69">
                  <c:v>2.0198896669793127</c:v>
                </c:pt>
                <c:pt idx="70">
                  <c:v>1.0073514880240264</c:v>
                </c:pt>
                <c:pt idx="71">
                  <c:v>1.2693717428766924</c:v>
                </c:pt>
                <c:pt idx="72">
                  <c:v>0.68899285576499358</c:v>
                </c:pt>
                <c:pt idx="73">
                  <c:v>1.238381829394591</c:v>
                </c:pt>
                <c:pt idx="74">
                  <c:v>1.1467110720606977</c:v>
                </c:pt>
                <c:pt idx="75">
                  <c:v>1.0965525084732386</c:v>
                </c:pt>
                <c:pt idx="76">
                  <c:v>1.1735595679372355</c:v>
                </c:pt>
                <c:pt idx="77">
                  <c:v>1.315048143865398</c:v>
                </c:pt>
                <c:pt idx="78">
                  <c:v>1.7861103665870106</c:v>
                </c:pt>
                <c:pt idx="79">
                  <c:v>1.2899035169444732</c:v>
                </c:pt>
                <c:pt idx="80">
                  <c:v>2.0423028492575432</c:v>
                </c:pt>
                <c:pt idx="81">
                  <c:v>1.064482371447169</c:v>
                </c:pt>
                <c:pt idx="82">
                  <c:v>1.544147452951556</c:v>
                </c:pt>
                <c:pt idx="83">
                  <c:v>1.1490528414046224</c:v>
                </c:pt>
                <c:pt idx="84">
                  <c:v>1.3884697167238225</c:v>
                </c:pt>
                <c:pt idx="85">
                  <c:v>1.4651136604369419</c:v>
                </c:pt>
                <c:pt idx="86">
                  <c:v>0.86001927487082974</c:v>
                </c:pt>
                <c:pt idx="87">
                  <c:v>1.2668917303660405</c:v>
                </c:pt>
                <c:pt idx="88">
                  <c:v>0.88165711208215403</c:v>
                </c:pt>
                <c:pt idx="89">
                  <c:v>0.71248800255312017</c:v>
                </c:pt>
                <c:pt idx="90">
                  <c:v>1.8266877925293377</c:v>
                </c:pt>
                <c:pt idx="91">
                  <c:v>0.91549919899463328</c:v>
                </c:pt>
                <c:pt idx="92">
                  <c:v>1.4183650862354442</c:v>
                </c:pt>
                <c:pt idx="93">
                  <c:v>1.7651692037265589</c:v>
                </c:pt>
                <c:pt idx="94">
                  <c:v>0.80150179717014747</c:v>
                </c:pt>
                <c:pt idx="95">
                  <c:v>0.98261533359791564</c:v>
                </c:pt>
                <c:pt idx="96">
                  <c:v>0.94511399810235086</c:v>
                </c:pt>
                <c:pt idx="97">
                  <c:v>1.8309820093475906</c:v>
                </c:pt>
                <c:pt idx="98">
                  <c:v>1.6166850732670459</c:v>
                </c:pt>
                <c:pt idx="99">
                  <c:v>1.3835696306723551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7-4588-9148-D69B0E053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DAP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em Função da</a:t>
            </a:r>
            <a:r>
              <a:rPr lang="pt-BR" baseline="0"/>
              <a:t> Altura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Spurr'!$D$3:$D$102</c:f>
              <c:numCache>
                <c:formatCode>0.0</c:formatCode>
                <c:ptCount val="100"/>
                <c:pt idx="0">
                  <c:v>27</c:v>
                </c:pt>
                <c:pt idx="1">
                  <c:v>27.95</c:v>
                </c:pt>
                <c:pt idx="2">
                  <c:v>26.349999999999998</c:v>
                </c:pt>
                <c:pt idx="3">
                  <c:v>27.15</c:v>
                </c:pt>
                <c:pt idx="4">
                  <c:v>26.2</c:v>
                </c:pt>
                <c:pt idx="5">
                  <c:v>27.099999999999998</c:v>
                </c:pt>
                <c:pt idx="6">
                  <c:v>25.400000000000002</c:v>
                </c:pt>
                <c:pt idx="7">
                  <c:v>25.5</c:v>
                </c:pt>
                <c:pt idx="8">
                  <c:v>27</c:v>
                </c:pt>
                <c:pt idx="9">
                  <c:v>26.7</c:v>
                </c:pt>
                <c:pt idx="10">
                  <c:v>26.65</c:v>
                </c:pt>
                <c:pt idx="11">
                  <c:v>25.75</c:v>
                </c:pt>
                <c:pt idx="12">
                  <c:v>27.7</c:v>
                </c:pt>
                <c:pt idx="13">
                  <c:v>23.6</c:v>
                </c:pt>
                <c:pt idx="14">
                  <c:v>24.75</c:v>
                </c:pt>
                <c:pt idx="15">
                  <c:v>24.35</c:v>
                </c:pt>
                <c:pt idx="16">
                  <c:v>26.95</c:v>
                </c:pt>
                <c:pt idx="17">
                  <c:v>25.1</c:v>
                </c:pt>
                <c:pt idx="18">
                  <c:v>27.95</c:v>
                </c:pt>
                <c:pt idx="19">
                  <c:v>27.7</c:v>
                </c:pt>
                <c:pt idx="20">
                  <c:v>27.3</c:v>
                </c:pt>
                <c:pt idx="21">
                  <c:v>27.349999999999998</c:v>
                </c:pt>
                <c:pt idx="22">
                  <c:v>24.700000000000003</c:v>
                </c:pt>
                <c:pt idx="23">
                  <c:v>26.5</c:v>
                </c:pt>
                <c:pt idx="24">
                  <c:v>27.099999999999998</c:v>
                </c:pt>
                <c:pt idx="25">
                  <c:v>27.5</c:v>
                </c:pt>
                <c:pt idx="26">
                  <c:v>25.75</c:v>
                </c:pt>
                <c:pt idx="27">
                  <c:v>27.7</c:v>
                </c:pt>
                <c:pt idx="28">
                  <c:v>26.9</c:v>
                </c:pt>
                <c:pt idx="29">
                  <c:v>25.700000000000003</c:v>
                </c:pt>
                <c:pt idx="30">
                  <c:v>25.55</c:v>
                </c:pt>
                <c:pt idx="31">
                  <c:v>25.700000000000003</c:v>
                </c:pt>
                <c:pt idx="32">
                  <c:v>25.3</c:v>
                </c:pt>
                <c:pt idx="33">
                  <c:v>26.9</c:v>
                </c:pt>
                <c:pt idx="34">
                  <c:v>26.4</c:v>
                </c:pt>
                <c:pt idx="35">
                  <c:v>27.599999999999998</c:v>
                </c:pt>
                <c:pt idx="36">
                  <c:v>27.3</c:v>
                </c:pt>
                <c:pt idx="37">
                  <c:v>27.15</c:v>
                </c:pt>
                <c:pt idx="38">
                  <c:v>27.599999999999998</c:v>
                </c:pt>
                <c:pt idx="39">
                  <c:v>27.9</c:v>
                </c:pt>
                <c:pt idx="40">
                  <c:v>23.9</c:v>
                </c:pt>
                <c:pt idx="41">
                  <c:v>25.650000000000002</c:v>
                </c:pt>
                <c:pt idx="42">
                  <c:v>26.599999999999998</c:v>
                </c:pt>
                <c:pt idx="43">
                  <c:v>24.6</c:v>
                </c:pt>
                <c:pt idx="44">
                  <c:v>26.849999999999998</c:v>
                </c:pt>
                <c:pt idx="45">
                  <c:v>24.400000000000002</c:v>
                </c:pt>
                <c:pt idx="46">
                  <c:v>26.7</c:v>
                </c:pt>
                <c:pt idx="47">
                  <c:v>24.85</c:v>
                </c:pt>
                <c:pt idx="48">
                  <c:v>28.4</c:v>
                </c:pt>
                <c:pt idx="49">
                  <c:v>28.349999999999998</c:v>
                </c:pt>
                <c:pt idx="50">
                  <c:v>27.8</c:v>
                </c:pt>
                <c:pt idx="51">
                  <c:v>25.35</c:v>
                </c:pt>
                <c:pt idx="52">
                  <c:v>26.95</c:v>
                </c:pt>
                <c:pt idx="53">
                  <c:v>25.05</c:v>
                </c:pt>
                <c:pt idx="54">
                  <c:v>26.95</c:v>
                </c:pt>
                <c:pt idx="55">
                  <c:v>25.200000000000003</c:v>
                </c:pt>
                <c:pt idx="56">
                  <c:v>26.95</c:v>
                </c:pt>
                <c:pt idx="57">
                  <c:v>25.5</c:v>
                </c:pt>
                <c:pt idx="58">
                  <c:v>26.3</c:v>
                </c:pt>
                <c:pt idx="59">
                  <c:v>24.8</c:v>
                </c:pt>
                <c:pt idx="60">
                  <c:v>26.9</c:v>
                </c:pt>
                <c:pt idx="61">
                  <c:v>26.4</c:v>
                </c:pt>
                <c:pt idx="62">
                  <c:v>25.5</c:v>
                </c:pt>
                <c:pt idx="63">
                  <c:v>27</c:v>
                </c:pt>
                <c:pt idx="64">
                  <c:v>27.55</c:v>
                </c:pt>
                <c:pt idx="65">
                  <c:v>26.349999999999998</c:v>
                </c:pt>
                <c:pt idx="66">
                  <c:v>25.6</c:v>
                </c:pt>
                <c:pt idx="67">
                  <c:v>26.849999999999998</c:v>
                </c:pt>
                <c:pt idx="68">
                  <c:v>26.4</c:v>
                </c:pt>
                <c:pt idx="69">
                  <c:v>24.700000000000003</c:v>
                </c:pt>
                <c:pt idx="70">
                  <c:v>24.200000000000003</c:v>
                </c:pt>
                <c:pt idx="71">
                  <c:v>27.9</c:v>
                </c:pt>
                <c:pt idx="72">
                  <c:v>22.8</c:v>
                </c:pt>
                <c:pt idx="73">
                  <c:v>26</c:v>
                </c:pt>
                <c:pt idx="74">
                  <c:v>24.1</c:v>
                </c:pt>
                <c:pt idx="75">
                  <c:v>25.700000000000003</c:v>
                </c:pt>
                <c:pt idx="76">
                  <c:v>25.55</c:v>
                </c:pt>
                <c:pt idx="77">
                  <c:v>25.5</c:v>
                </c:pt>
                <c:pt idx="78">
                  <c:v>25.200000000000003</c:v>
                </c:pt>
                <c:pt idx="79">
                  <c:v>27.5</c:v>
                </c:pt>
                <c:pt idx="80">
                  <c:v>26.05</c:v>
                </c:pt>
                <c:pt idx="81">
                  <c:v>25.200000000000003</c:v>
                </c:pt>
                <c:pt idx="82">
                  <c:v>26.1</c:v>
                </c:pt>
                <c:pt idx="83">
                  <c:v>27.5</c:v>
                </c:pt>
                <c:pt idx="84">
                  <c:v>27.15</c:v>
                </c:pt>
                <c:pt idx="85">
                  <c:v>26.7</c:v>
                </c:pt>
                <c:pt idx="86">
                  <c:v>25.5</c:v>
                </c:pt>
                <c:pt idx="87">
                  <c:v>27.8</c:v>
                </c:pt>
                <c:pt idx="88">
                  <c:v>25.5</c:v>
                </c:pt>
                <c:pt idx="89">
                  <c:v>25.35</c:v>
                </c:pt>
                <c:pt idx="90">
                  <c:v>26.5</c:v>
                </c:pt>
                <c:pt idx="91">
                  <c:v>27.55</c:v>
                </c:pt>
                <c:pt idx="92">
                  <c:v>26</c:v>
                </c:pt>
                <c:pt idx="93">
                  <c:v>27.099999999999998</c:v>
                </c:pt>
                <c:pt idx="94">
                  <c:v>23.5</c:v>
                </c:pt>
                <c:pt idx="95">
                  <c:v>25.75</c:v>
                </c:pt>
                <c:pt idx="96">
                  <c:v>25.700000000000003</c:v>
                </c:pt>
                <c:pt idx="97">
                  <c:v>27.9</c:v>
                </c:pt>
                <c:pt idx="98">
                  <c:v>24.200000000000003</c:v>
                </c:pt>
                <c:pt idx="99">
                  <c:v>27.65</c:v>
                </c:pt>
              </c:numCache>
            </c:numRef>
          </c:xVal>
          <c:yVal>
            <c:numRef>
              <c:f>'Modelo de Spurr'!$E$3:$E$102</c:f>
              <c:numCache>
                <c:formatCode>0.000</c:formatCode>
                <c:ptCount val="100"/>
                <c:pt idx="0">
                  <c:v>0.77367719536616997</c:v>
                </c:pt>
                <c:pt idx="1">
                  <c:v>1.3530145267034794</c:v>
                </c:pt>
                <c:pt idx="2">
                  <c:v>0.71280114080086654</c:v>
                </c:pt>
                <c:pt idx="3">
                  <c:v>0.94271793156539674</c:v>
                </c:pt>
                <c:pt idx="4">
                  <c:v>0.85045138427471978</c:v>
                </c:pt>
                <c:pt idx="5">
                  <c:v>0.75413086037400401</c:v>
                </c:pt>
                <c:pt idx="6">
                  <c:v>0.65420452114525274</c:v>
                </c:pt>
                <c:pt idx="7">
                  <c:v>0.76547013798784025</c:v>
                </c:pt>
                <c:pt idx="8">
                  <c:v>1.0931516035260334</c:v>
                </c:pt>
                <c:pt idx="9">
                  <c:v>1.2633416521276679</c:v>
                </c:pt>
                <c:pt idx="10">
                  <c:v>0.94084990130366419</c:v>
                </c:pt>
                <c:pt idx="11">
                  <c:v>0.85869649419406635</c:v>
                </c:pt>
                <c:pt idx="12">
                  <c:v>0.98497718295488434</c:v>
                </c:pt>
                <c:pt idx="13">
                  <c:v>0.64103386518397554</c:v>
                </c:pt>
                <c:pt idx="14">
                  <c:v>0.67049802492395338</c:v>
                </c:pt>
                <c:pt idx="15">
                  <c:v>0.91115770120694395</c:v>
                </c:pt>
                <c:pt idx="16">
                  <c:v>1.3887377338470819</c:v>
                </c:pt>
                <c:pt idx="17">
                  <c:v>0.78982407839773394</c:v>
                </c:pt>
                <c:pt idx="18">
                  <c:v>1.3871130199363699</c:v>
                </c:pt>
                <c:pt idx="19">
                  <c:v>1.640638840222719</c:v>
                </c:pt>
                <c:pt idx="20">
                  <c:v>1.0808129983790598</c:v>
                </c:pt>
                <c:pt idx="21">
                  <c:v>1.1637899609128264</c:v>
                </c:pt>
                <c:pt idx="22">
                  <c:v>0.98376810175224216</c:v>
                </c:pt>
                <c:pt idx="23">
                  <c:v>1.8908197937208222</c:v>
                </c:pt>
                <c:pt idx="24">
                  <c:v>0.98304262946871201</c:v>
                </c:pt>
                <c:pt idx="25">
                  <c:v>1.1464958206040494</c:v>
                </c:pt>
                <c:pt idx="26">
                  <c:v>0.70725582397822961</c:v>
                </c:pt>
                <c:pt idx="27">
                  <c:v>1.0323661315489085</c:v>
                </c:pt>
                <c:pt idx="28">
                  <c:v>0.97500046643478733</c:v>
                </c:pt>
                <c:pt idx="29">
                  <c:v>0.96529979118918596</c:v>
                </c:pt>
                <c:pt idx="30">
                  <c:v>0.94285491809506261</c:v>
                </c:pt>
                <c:pt idx="31">
                  <c:v>1.0061775141192881</c:v>
                </c:pt>
                <c:pt idx="32">
                  <c:v>0.60666972411228581</c:v>
                </c:pt>
                <c:pt idx="33">
                  <c:v>1.1416761331445753</c:v>
                </c:pt>
                <c:pt idx="34">
                  <c:v>0.96403685785247362</c:v>
                </c:pt>
                <c:pt idx="35">
                  <c:v>2.1557410475896908</c:v>
                </c:pt>
                <c:pt idx="36">
                  <c:v>0.9640518196874861</c:v>
                </c:pt>
                <c:pt idx="37">
                  <c:v>0.89648751071223065</c:v>
                </c:pt>
                <c:pt idx="38">
                  <c:v>0.82175204526625856</c:v>
                </c:pt>
                <c:pt idx="39">
                  <c:v>1.4750505572701549</c:v>
                </c:pt>
                <c:pt idx="40">
                  <c:v>1.0481869303529989</c:v>
                </c:pt>
                <c:pt idx="41">
                  <c:v>0.8895556650619012</c:v>
                </c:pt>
                <c:pt idx="42">
                  <c:v>1.0907976212406678</c:v>
                </c:pt>
                <c:pt idx="43">
                  <c:v>1.3644401064855045</c:v>
                </c:pt>
                <c:pt idx="44">
                  <c:v>2.026133464568598</c:v>
                </c:pt>
                <c:pt idx="45">
                  <c:v>1.0973942720448291</c:v>
                </c:pt>
                <c:pt idx="46">
                  <c:v>0.98562788533325907</c:v>
                </c:pt>
                <c:pt idx="47">
                  <c:v>1.4640373507938222</c:v>
                </c:pt>
                <c:pt idx="48">
                  <c:v>1.3809493853196291</c:v>
                </c:pt>
                <c:pt idx="49">
                  <c:v>1.4199563683643344</c:v>
                </c:pt>
                <c:pt idx="50">
                  <c:v>1.475522751735959</c:v>
                </c:pt>
                <c:pt idx="51">
                  <c:v>1.27309123149891</c:v>
                </c:pt>
                <c:pt idx="52">
                  <c:v>1.2469865469530179</c:v>
                </c:pt>
                <c:pt idx="53">
                  <c:v>1.1655129674036879</c:v>
                </c:pt>
                <c:pt idx="54">
                  <c:v>1.2531862182554896</c:v>
                </c:pt>
                <c:pt idx="55">
                  <c:v>1.5826823462502129</c:v>
                </c:pt>
                <c:pt idx="56">
                  <c:v>1.5544472691861053</c:v>
                </c:pt>
                <c:pt idx="57">
                  <c:v>1.442758204923722</c:v>
                </c:pt>
                <c:pt idx="58">
                  <c:v>1.4826497557399227</c:v>
                </c:pt>
                <c:pt idx="59">
                  <c:v>2.174974506133498</c:v>
                </c:pt>
                <c:pt idx="60">
                  <c:v>1.4972626514386165</c:v>
                </c:pt>
                <c:pt idx="61">
                  <c:v>1.3977258696989101</c:v>
                </c:pt>
                <c:pt idx="62">
                  <c:v>0.76258686279019194</c:v>
                </c:pt>
                <c:pt idx="63">
                  <c:v>1.1967874044604496</c:v>
                </c:pt>
                <c:pt idx="64">
                  <c:v>1.0722975413219025</c:v>
                </c:pt>
                <c:pt idx="65">
                  <c:v>1.5664594759463404</c:v>
                </c:pt>
                <c:pt idx="66">
                  <c:v>1.0255894805756665</c:v>
                </c:pt>
                <c:pt idx="67">
                  <c:v>1.1239610456001559</c:v>
                </c:pt>
                <c:pt idx="68">
                  <c:v>1.3659420233933688</c:v>
                </c:pt>
                <c:pt idx="69">
                  <c:v>2.0198896669793127</c:v>
                </c:pt>
                <c:pt idx="70">
                  <c:v>1.0073514880240264</c:v>
                </c:pt>
                <c:pt idx="71">
                  <c:v>1.2693717428766924</c:v>
                </c:pt>
                <c:pt idx="72">
                  <c:v>0.68899285576499358</c:v>
                </c:pt>
                <c:pt idx="73">
                  <c:v>1.238381829394591</c:v>
                </c:pt>
                <c:pt idx="74">
                  <c:v>1.1467110720606977</c:v>
                </c:pt>
                <c:pt idx="75">
                  <c:v>1.0965525084732386</c:v>
                </c:pt>
                <c:pt idx="76">
                  <c:v>1.1735595679372355</c:v>
                </c:pt>
                <c:pt idx="77">
                  <c:v>1.315048143865398</c:v>
                </c:pt>
                <c:pt idx="78">
                  <c:v>1.7861103665870106</c:v>
                </c:pt>
                <c:pt idx="79">
                  <c:v>1.2899035169444732</c:v>
                </c:pt>
                <c:pt idx="80">
                  <c:v>2.0423028492575432</c:v>
                </c:pt>
                <c:pt idx="81">
                  <c:v>1.064482371447169</c:v>
                </c:pt>
                <c:pt idx="82">
                  <c:v>1.544147452951556</c:v>
                </c:pt>
                <c:pt idx="83">
                  <c:v>1.1490528414046224</c:v>
                </c:pt>
                <c:pt idx="84">
                  <c:v>1.3884697167238225</c:v>
                </c:pt>
                <c:pt idx="85">
                  <c:v>1.4651136604369419</c:v>
                </c:pt>
                <c:pt idx="86">
                  <c:v>0.86001927487082974</c:v>
                </c:pt>
                <c:pt idx="87">
                  <c:v>1.2668917303660405</c:v>
                </c:pt>
                <c:pt idx="88">
                  <c:v>0.88165711208215403</c:v>
                </c:pt>
                <c:pt idx="89">
                  <c:v>0.71248800255312017</c:v>
                </c:pt>
                <c:pt idx="90">
                  <c:v>1.8266877925293377</c:v>
                </c:pt>
                <c:pt idx="91">
                  <c:v>0.91549919899463328</c:v>
                </c:pt>
                <c:pt idx="92">
                  <c:v>1.4183650862354442</c:v>
                </c:pt>
                <c:pt idx="93">
                  <c:v>1.7651692037265589</c:v>
                </c:pt>
                <c:pt idx="94">
                  <c:v>0.80150179717014747</c:v>
                </c:pt>
                <c:pt idx="95">
                  <c:v>0.98261533359791564</c:v>
                </c:pt>
                <c:pt idx="96">
                  <c:v>0.94511399810235086</c:v>
                </c:pt>
                <c:pt idx="97">
                  <c:v>1.8309820093475906</c:v>
                </c:pt>
                <c:pt idx="98">
                  <c:v>1.6166850732670459</c:v>
                </c:pt>
                <c:pt idx="99">
                  <c:v>1.3835696306723551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6-404F-9579-E1447968E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  <c:min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Altura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em Função de</a:t>
            </a:r>
            <a:r>
              <a:rPr lang="pt-BR" baseline="0"/>
              <a:t> d²h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Spurr'!$K$3:$K$102</c:f>
              <c:numCache>
                <c:formatCode>General</c:formatCode>
                <c:ptCount val="100"/>
                <c:pt idx="0">
                  <c:v>20567.520000000004</c:v>
                </c:pt>
                <c:pt idx="1">
                  <c:v>38263.549999999996</c:v>
                </c:pt>
                <c:pt idx="2">
                  <c:v>19927.1875</c:v>
                </c:pt>
                <c:pt idx="3">
                  <c:v>23627.287499999999</c:v>
                </c:pt>
                <c:pt idx="4">
                  <c:v>20540.8</c:v>
                </c:pt>
                <c:pt idx="5">
                  <c:v>18319.599999999999</c:v>
                </c:pt>
                <c:pt idx="6">
                  <c:v>18379.694</c:v>
                </c:pt>
                <c:pt idx="7">
                  <c:v>19707.420000000002</c:v>
                </c:pt>
                <c:pt idx="8">
                  <c:v>23977.08</c:v>
                </c:pt>
                <c:pt idx="9">
                  <c:v>30683.906999999996</c:v>
                </c:pt>
                <c:pt idx="10">
                  <c:v>23349.664000000001</c:v>
                </c:pt>
                <c:pt idx="11">
                  <c:v>20332.457500000004</c:v>
                </c:pt>
                <c:pt idx="12">
                  <c:v>24105.924999999999</c:v>
                </c:pt>
                <c:pt idx="13">
                  <c:v>15953.6</c:v>
                </c:pt>
                <c:pt idx="14">
                  <c:v>19127.79</c:v>
                </c:pt>
                <c:pt idx="15">
                  <c:v>24161.287500000002</c:v>
                </c:pt>
                <c:pt idx="16">
                  <c:v>33013.75</c:v>
                </c:pt>
                <c:pt idx="17">
                  <c:v>20102.339</c:v>
                </c:pt>
                <c:pt idx="18">
                  <c:v>32120.419499999993</c:v>
                </c:pt>
                <c:pt idx="19">
                  <c:v>45884.773000000008</c:v>
                </c:pt>
                <c:pt idx="20">
                  <c:v>27260.688000000002</c:v>
                </c:pt>
                <c:pt idx="21">
                  <c:v>27138.037499999999</c:v>
                </c:pt>
                <c:pt idx="22">
                  <c:v>21495.175000000003</c:v>
                </c:pt>
                <c:pt idx="23">
                  <c:v>37265.625</c:v>
                </c:pt>
                <c:pt idx="24">
                  <c:v>22011.974999999999</c:v>
                </c:pt>
                <c:pt idx="25">
                  <c:v>30861.875</c:v>
                </c:pt>
                <c:pt idx="26">
                  <c:v>15456.4375</c:v>
                </c:pt>
                <c:pt idx="27">
                  <c:v>24930</c:v>
                </c:pt>
                <c:pt idx="28">
                  <c:v>21240.509000000002</c:v>
                </c:pt>
                <c:pt idx="29">
                  <c:v>20148.800000000003</c:v>
                </c:pt>
                <c:pt idx="30">
                  <c:v>22234.887500000001</c:v>
                </c:pt>
                <c:pt idx="31">
                  <c:v>23594.913000000004</c:v>
                </c:pt>
                <c:pt idx="32">
                  <c:v>13971.925000000001</c:v>
                </c:pt>
                <c:pt idx="33">
                  <c:v>23888.276000000002</c:v>
                </c:pt>
                <c:pt idx="34">
                  <c:v>24558.6</c:v>
                </c:pt>
                <c:pt idx="35">
                  <c:v>52707.444000000003</c:v>
                </c:pt>
                <c:pt idx="36">
                  <c:v>22174.424999999999</c:v>
                </c:pt>
                <c:pt idx="37">
                  <c:v>19066.087499999998</c:v>
                </c:pt>
                <c:pt idx="38">
                  <c:v>19382.099999999999</c:v>
                </c:pt>
                <c:pt idx="39">
                  <c:v>35160.974999999999</c:v>
                </c:pt>
                <c:pt idx="40">
                  <c:v>23865.583999999999</c:v>
                </c:pt>
                <c:pt idx="41">
                  <c:v>20253.496500000005</c:v>
                </c:pt>
                <c:pt idx="42">
                  <c:v>29319.584000000003</c:v>
                </c:pt>
                <c:pt idx="43">
                  <c:v>30135</c:v>
                </c:pt>
                <c:pt idx="44">
                  <c:v>51040.775999999998</c:v>
                </c:pt>
                <c:pt idx="45">
                  <c:v>20520.400000000001</c:v>
                </c:pt>
                <c:pt idx="46">
                  <c:v>21687.075000000001</c:v>
                </c:pt>
                <c:pt idx="47">
                  <c:v>28726.600000000002</c:v>
                </c:pt>
                <c:pt idx="48">
                  <c:v>32830.400000000001</c:v>
                </c:pt>
                <c:pt idx="49">
                  <c:v>34728.75</c:v>
                </c:pt>
                <c:pt idx="50">
                  <c:v>35034.950000000004</c:v>
                </c:pt>
                <c:pt idx="51">
                  <c:v>25958.400000000001</c:v>
                </c:pt>
                <c:pt idx="52">
                  <c:v>31154.2</c:v>
                </c:pt>
                <c:pt idx="53">
                  <c:v>24073.05</c:v>
                </c:pt>
                <c:pt idx="54">
                  <c:v>29348.55</c:v>
                </c:pt>
                <c:pt idx="55">
                  <c:v>29474.928000000007</c:v>
                </c:pt>
                <c:pt idx="56">
                  <c:v>38915.799999999996</c:v>
                </c:pt>
                <c:pt idx="57">
                  <c:v>30351.375</c:v>
                </c:pt>
                <c:pt idx="58">
                  <c:v>31303.575000000001</c:v>
                </c:pt>
                <c:pt idx="59">
                  <c:v>44795</c:v>
                </c:pt>
                <c:pt idx="60">
                  <c:v>38232.701000000001</c:v>
                </c:pt>
                <c:pt idx="61">
                  <c:v>36141.599999999999</c:v>
                </c:pt>
                <c:pt idx="62">
                  <c:v>16581.375</c:v>
                </c:pt>
                <c:pt idx="63">
                  <c:v>28518.75</c:v>
                </c:pt>
                <c:pt idx="64">
                  <c:v>23169.55</c:v>
                </c:pt>
                <c:pt idx="65">
                  <c:v>38049.399999999994</c:v>
                </c:pt>
                <c:pt idx="66">
                  <c:v>20793.600000000002</c:v>
                </c:pt>
                <c:pt idx="67">
                  <c:v>25802.85</c:v>
                </c:pt>
                <c:pt idx="68">
                  <c:v>35171.4</c:v>
                </c:pt>
                <c:pt idx="69">
                  <c:v>39520.000000000007</c:v>
                </c:pt>
                <c:pt idx="70">
                  <c:v>21060.050000000003</c:v>
                </c:pt>
                <c:pt idx="71">
                  <c:v>26811.899999999998</c:v>
                </c:pt>
                <c:pt idx="72">
                  <c:v>16011.300000000001</c:v>
                </c:pt>
                <c:pt idx="73">
                  <c:v>26624</c:v>
                </c:pt>
                <c:pt idx="74">
                  <c:v>25455.625</c:v>
                </c:pt>
                <c:pt idx="75">
                  <c:v>26316.800000000003</c:v>
                </c:pt>
                <c:pt idx="76">
                  <c:v>29884.302000000003</c:v>
                </c:pt>
                <c:pt idx="77">
                  <c:v>32136.375</c:v>
                </c:pt>
                <c:pt idx="78">
                  <c:v>42154.812000000005</c:v>
                </c:pt>
                <c:pt idx="79">
                  <c:v>28160</c:v>
                </c:pt>
                <c:pt idx="80">
                  <c:v>41680</c:v>
                </c:pt>
                <c:pt idx="81">
                  <c:v>23596.272000000004</c:v>
                </c:pt>
                <c:pt idx="82">
                  <c:v>34962.516000000003</c:v>
                </c:pt>
                <c:pt idx="83">
                  <c:v>28336.275000000001</c:v>
                </c:pt>
                <c:pt idx="84">
                  <c:v>34408.824000000001</c:v>
                </c:pt>
                <c:pt idx="85">
                  <c:v>32149.203000000001</c:v>
                </c:pt>
                <c:pt idx="86">
                  <c:v>18589.5</c:v>
                </c:pt>
                <c:pt idx="87">
                  <c:v>30827.141999999996</c:v>
                </c:pt>
                <c:pt idx="88">
                  <c:v>20422.695</c:v>
                </c:pt>
                <c:pt idx="89">
                  <c:v>16098.263999999999</c:v>
                </c:pt>
                <c:pt idx="90">
                  <c:v>44546.5</c:v>
                </c:pt>
                <c:pt idx="91">
                  <c:v>22377.487499999999</c:v>
                </c:pt>
                <c:pt idx="92">
                  <c:v>32951.360000000001</c:v>
                </c:pt>
                <c:pt idx="93">
                  <c:v>40168.974999999999</c:v>
                </c:pt>
                <c:pt idx="94">
                  <c:v>16502.875</c:v>
                </c:pt>
                <c:pt idx="95">
                  <c:v>22408.9375</c:v>
                </c:pt>
                <c:pt idx="96">
                  <c:v>20874.825000000001</c:v>
                </c:pt>
                <c:pt idx="97">
                  <c:v>42653.798999999999</c:v>
                </c:pt>
                <c:pt idx="98">
                  <c:v>34031.250000000007</c:v>
                </c:pt>
                <c:pt idx="99">
                  <c:v>34845.912499999999</c:v>
                </c:pt>
              </c:numCache>
            </c:numRef>
          </c:xVal>
          <c:yVal>
            <c:numRef>
              <c:f>'Modelo de Spurr'!$E$3:$E$102</c:f>
              <c:numCache>
                <c:formatCode>0.000</c:formatCode>
                <c:ptCount val="100"/>
                <c:pt idx="0">
                  <c:v>0.77367719536616997</c:v>
                </c:pt>
                <c:pt idx="1">
                  <c:v>1.3530145267034794</c:v>
                </c:pt>
                <c:pt idx="2">
                  <c:v>0.71280114080086654</c:v>
                </c:pt>
                <c:pt idx="3">
                  <c:v>0.94271793156539674</c:v>
                </c:pt>
                <c:pt idx="4">
                  <c:v>0.85045138427471978</c:v>
                </c:pt>
                <c:pt idx="5">
                  <c:v>0.75413086037400401</c:v>
                </c:pt>
                <c:pt idx="6">
                  <c:v>0.65420452114525274</c:v>
                </c:pt>
                <c:pt idx="7">
                  <c:v>0.76547013798784025</c:v>
                </c:pt>
                <c:pt idx="8">
                  <c:v>1.0931516035260334</c:v>
                </c:pt>
                <c:pt idx="9">
                  <c:v>1.2633416521276679</c:v>
                </c:pt>
                <c:pt idx="10">
                  <c:v>0.94084990130366419</c:v>
                </c:pt>
                <c:pt idx="11">
                  <c:v>0.85869649419406635</c:v>
                </c:pt>
                <c:pt idx="12">
                  <c:v>0.98497718295488434</c:v>
                </c:pt>
                <c:pt idx="13">
                  <c:v>0.64103386518397554</c:v>
                </c:pt>
                <c:pt idx="14">
                  <c:v>0.67049802492395338</c:v>
                </c:pt>
                <c:pt idx="15">
                  <c:v>0.91115770120694395</c:v>
                </c:pt>
                <c:pt idx="16">
                  <c:v>1.3887377338470819</c:v>
                </c:pt>
                <c:pt idx="17">
                  <c:v>0.78982407839773394</c:v>
                </c:pt>
                <c:pt idx="18">
                  <c:v>1.3871130199363699</c:v>
                </c:pt>
                <c:pt idx="19">
                  <c:v>1.640638840222719</c:v>
                </c:pt>
                <c:pt idx="20">
                  <c:v>1.0808129983790598</c:v>
                </c:pt>
                <c:pt idx="21">
                  <c:v>1.1637899609128264</c:v>
                </c:pt>
                <c:pt idx="22">
                  <c:v>0.98376810175224216</c:v>
                </c:pt>
                <c:pt idx="23">
                  <c:v>1.8908197937208222</c:v>
                </c:pt>
                <c:pt idx="24">
                  <c:v>0.98304262946871201</c:v>
                </c:pt>
                <c:pt idx="25">
                  <c:v>1.1464958206040494</c:v>
                </c:pt>
                <c:pt idx="26">
                  <c:v>0.70725582397822961</c:v>
                </c:pt>
                <c:pt idx="27">
                  <c:v>1.0323661315489085</c:v>
                </c:pt>
                <c:pt idx="28">
                  <c:v>0.97500046643478733</c:v>
                </c:pt>
                <c:pt idx="29">
                  <c:v>0.96529979118918596</c:v>
                </c:pt>
                <c:pt idx="30">
                  <c:v>0.94285491809506261</c:v>
                </c:pt>
                <c:pt idx="31">
                  <c:v>1.0061775141192881</c:v>
                </c:pt>
                <c:pt idx="32">
                  <c:v>0.60666972411228581</c:v>
                </c:pt>
                <c:pt idx="33">
                  <c:v>1.1416761331445753</c:v>
                </c:pt>
                <c:pt idx="34">
                  <c:v>0.96403685785247362</c:v>
                </c:pt>
                <c:pt idx="35">
                  <c:v>2.1557410475896908</c:v>
                </c:pt>
                <c:pt idx="36">
                  <c:v>0.9640518196874861</c:v>
                </c:pt>
                <c:pt idx="37">
                  <c:v>0.89648751071223065</c:v>
                </c:pt>
                <c:pt idx="38">
                  <c:v>0.82175204526625856</c:v>
                </c:pt>
                <c:pt idx="39">
                  <c:v>1.4750505572701549</c:v>
                </c:pt>
                <c:pt idx="40">
                  <c:v>1.0481869303529989</c:v>
                </c:pt>
                <c:pt idx="41">
                  <c:v>0.8895556650619012</c:v>
                </c:pt>
                <c:pt idx="42">
                  <c:v>1.0907976212406678</c:v>
                </c:pt>
                <c:pt idx="43">
                  <c:v>1.3644401064855045</c:v>
                </c:pt>
                <c:pt idx="44">
                  <c:v>2.026133464568598</c:v>
                </c:pt>
                <c:pt idx="45">
                  <c:v>1.0973942720448291</c:v>
                </c:pt>
                <c:pt idx="46">
                  <c:v>0.98562788533325907</c:v>
                </c:pt>
                <c:pt idx="47">
                  <c:v>1.4640373507938222</c:v>
                </c:pt>
                <c:pt idx="48">
                  <c:v>1.3809493853196291</c:v>
                </c:pt>
                <c:pt idx="49">
                  <c:v>1.4199563683643344</c:v>
                </c:pt>
                <c:pt idx="50">
                  <c:v>1.475522751735959</c:v>
                </c:pt>
                <c:pt idx="51">
                  <c:v>1.27309123149891</c:v>
                </c:pt>
                <c:pt idx="52">
                  <c:v>1.2469865469530179</c:v>
                </c:pt>
                <c:pt idx="53">
                  <c:v>1.1655129674036879</c:v>
                </c:pt>
                <c:pt idx="54">
                  <c:v>1.2531862182554896</c:v>
                </c:pt>
                <c:pt idx="55">
                  <c:v>1.5826823462502129</c:v>
                </c:pt>
                <c:pt idx="56">
                  <c:v>1.5544472691861053</c:v>
                </c:pt>
                <c:pt idx="57">
                  <c:v>1.442758204923722</c:v>
                </c:pt>
                <c:pt idx="58">
                  <c:v>1.4826497557399227</c:v>
                </c:pt>
                <c:pt idx="59">
                  <c:v>2.174974506133498</c:v>
                </c:pt>
                <c:pt idx="60">
                  <c:v>1.4972626514386165</c:v>
                </c:pt>
                <c:pt idx="61">
                  <c:v>1.3977258696989101</c:v>
                </c:pt>
                <c:pt idx="62">
                  <c:v>0.76258686279019194</c:v>
                </c:pt>
                <c:pt idx="63">
                  <c:v>1.1967874044604496</c:v>
                </c:pt>
                <c:pt idx="64">
                  <c:v>1.0722975413219025</c:v>
                </c:pt>
                <c:pt idx="65">
                  <c:v>1.5664594759463404</c:v>
                </c:pt>
                <c:pt idx="66">
                  <c:v>1.0255894805756665</c:v>
                </c:pt>
                <c:pt idx="67">
                  <c:v>1.1239610456001559</c:v>
                </c:pt>
                <c:pt idx="68">
                  <c:v>1.3659420233933688</c:v>
                </c:pt>
                <c:pt idx="69">
                  <c:v>2.0198896669793127</c:v>
                </c:pt>
                <c:pt idx="70">
                  <c:v>1.0073514880240264</c:v>
                </c:pt>
                <c:pt idx="71">
                  <c:v>1.2693717428766924</c:v>
                </c:pt>
                <c:pt idx="72">
                  <c:v>0.68899285576499358</c:v>
                </c:pt>
                <c:pt idx="73">
                  <c:v>1.238381829394591</c:v>
                </c:pt>
                <c:pt idx="74">
                  <c:v>1.1467110720606977</c:v>
                </c:pt>
                <c:pt idx="75">
                  <c:v>1.0965525084732386</c:v>
                </c:pt>
                <c:pt idx="76">
                  <c:v>1.1735595679372355</c:v>
                </c:pt>
                <c:pt idx="77">
                  <c:v>1.315048143865398</c:v>
                </c:pt>
                <c:pt idx="78">
                  <c:v>1.7861103665870106</c:v>
                </c:pt>
                <c:pt idx="79">
                  <c:v>1.2899035169444732</c:v>
                </c:pt>
                <c:pt idx="80">
                  <c:v>2.0423028492575432</c:v>
                </c:pt>
                <c:pt idx="81">
                  <c:v>1.064482371447169</c:v>
                </c:pt>
                <c:pt idx="82">
                  <c:v>1.544147452951556</c:v>
                </c:pt>
                <c:pt idx="83">
                  <c:v>1.1490528414046224</c:v>
                </c:pt>
                <c:pt idx="84">
                  <c:v>1.3884697167238225</c:v>
                </c:pt>
                <c:pt idx="85">
                  <c:v>1.4651136604369419</c:v>
                </c:pt>
                <c:pt idx="86">
                  <c:v>0.86001927487082974</c:v>
                </c:pt>
                <c:pt idx="87">
                  <c:v>1.2668917303660405</c:v>
                </c:pt>
                <c:pt idx="88">
                  <c:v>0.88165711208215403</c:v>
                </c:pt>
                <c:pt idx="89">
                  <c:v>0.71248800255312017</c:v>
                </c:pt>
                <c:pt idx="90">
                  <c:v>1.8266877925293377</c:v>
                </c:pt>
                <c:pt idx="91">
                  <c:v>0.91549919899463328</c:v>
                </c:pt>
                <c:pt idx="92">
                  <c:v>1.4183650862354442</c:v>
                </c:pt>
                <c:pt idx="93">
                  <c:v>1.7651692037265589</c:v>
                </c:pt>
                <c:pt idx="94">
                  <c:v>0.80150179717014747</c:v>
                </c:pt>
                <c:pt idx="95">
                  <c:v>0.98261533359791564</c:v>
                </c:pt>
                <c:pt idx="96">
                  <c:v>0.94511399810235086</c:v>
                </c:pt>
                <c:pt idx="97">
                  <c:v>1.8309820093475906</c:v>
                </c:pt>
                <c:pt idx="98">
                  <c:v>1.6166850732670459</c:v>
                </c:pt>
                <c:pt idx="99">
                  <c:v>1.3835696306723551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1-4494-8C57-EC3B021A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  <c:min val="2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d²h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 dos Resíduos</a:t>
            </a:r>
            <a:r>
              <a:rPr lang="pt-BR" baseline="0"/>
              <a:t> Ordinários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Spurr'!$AA$3:$AA$102</c:f>
              <c:numCache>
                <c:formatCode>General</c:formatCode>
                <c:ptCount val="100"/>
                <c:pt idx="0">
                  <c:v>0.89919455892426237</c:v>
                </c:pt>
                <c:pt idx="1">
                  <c:v>1.6261599897736085</c:v>
                </c:pt>
                <c:pt idx="2">
                  <c:v>0.87288924684300218</c:v>
                </c:pt>
                <c:pt idx="3">
                  <c:v>1.0248919723518122</c:v>
                </c:pt>
                <c:pt idx="4">
                  <c:v>0.89809688242211483</c:v>
                </c:pt>
                <c:pt idx="5">
                  <c:v>0.80684841511037486</c:v>
                </c:pt>
                <c:pt idx="6">
                  <c:v>0.8093171191418137</c:v>
                </c:pt>
                <c:pt idx="7">
                  <c:v>0.86386104247602369</c:v>
                </c:pt>
                <c:pt idx="8">
                  <c:v>1.0392616957005165</c:v>
                </c:pt>
                <c:pt idx="9">
                  <c:v>1.3147828933751942</c:v>
                </c:pt>
                <c:pt idx="10">
                  <c:v>1.0134870025765914</c:v>
                </c:pt>
                <c:pt idx="11">
                  <c:v>0.8895380251373608</c:v>
                </c:pt>
                <c:pt idx="12">
                  <c:v>1.0445547394474914</c:v>
                </c:pt>
                <c:pt idx="13">
                  <c:v>0.70965146136484258</c:v>
                </c:pt>
                <c:pt idx="14">
                  <c:v>0.84004943203666493</c:v>
                </c:pt>
                <c:pt idx="15">
                  <c:v>1.046829070111793</c:v>
                </c:pt>
                <c:pt idx="16">
                  <c:v>1.4104944919826974</c:v>
                </c:pt>
                <c:pt idx="17">
                  <c:v>0.88008459436792219</c:v>
                </c:pt>
                <c:pt idx="18">
                  <c:v>1.3737958430866812</c:v>
                </c:pt>
                <c:pt idx="19">
                  <c:v>1.9392452219863678</c:v>
                </c:pt>
                <c:pt idx="20">
                  <c:v>1.1741546352163492</c:v>
                </c:pt>
                <c:pt idx="21">
                  <c:v>1.1691160659114603</c:v>
                </c:pt>
                <c:pt idx="22">
                  <c:v>0.93730328256196804</c:v>
                </c:pt>
                <c:pt idx="23">
                  <c:v>1.5851645248258019</c:v>
                </c:pt>
                <c:pt idx="24">
                  <c:v>0.95853379215439871</c:v>
                </c:pt>
                <c:pt idx="25">
                  <c:v>1.3220939447125506</c:v>
                </c:pt>
                <c:pt idx="26">
                  <c:v>0.68922767416428754</c:v>
                </c:pt>
                <c:pt idx="27">
                  <c:v>1.0784083234110797</c:v>
                </c:pt>
                <c:pt idx="28">
                  <c:v>0.92684142312724282</c:v>
                </c:pt>
                <c:pt idx="29">
                  <c:v>0.88199324511516286</c:v>
                </c:pt>
                <c:pt idx="30">
                  <c:v>0.96769119534619963</c:v>
                </c:pt>
                <c:pt idx="31">
                  <c:v>1.0235620049895831</c:v>
                </c:pt>
                <c:pt idx="32">
                  <c:v>0.62824285049684692</c:v>
                </c:pt>
                <c:pt idx="33">
                  <c:v>1.0356135645591733</c:v>
                </c:pt>
                <c:pt idx="34">
                  <c:v>1.0631509486768909</c:v>
                </c:pt>
                <c:pt idx="35">
                  <c:v>2.2195253731309093</c:v>
                </c:pt>
                <c:pt idx="36">
                  <c:v>0.96520735307407823</c:v>
                </c:pt>
                <c:pt idx="37">
                  <c:v>0.8375146496873479</c:v>
                </c:pt>
                <c:pt idx="38">
                  <c:v>0.85049666673954993</c:v>
                </c:pt>
                <c:pt idx="39">
                  <c:v>1.4987040139633612</c:v>
                </c:pt>
                <c:pt idx="40">
                  <c:v>1.0346813611464962</c:v>
                </c:pt>
                <c:pt idx="41">
                  <c:v>0.88629425139911011</c:v>
                </c:pt>
                <c:pt idx="42">
                  <c:v>1.2587355393916921</c:v>
                </c:pt>
                <c:pt idx="43">
                  <c:v>1.2922334055097677</c:v>
                </c:pt>
                <c:pt idx="44">
                  <c:v>2.1510574726638092</c:v>
                </c:pt>
                <c:pt idx="45">
                  <c:v>0.89725883599083478</c:v>
                </c:pt>
                <c:pt idx="46">
                  <c:v>0.94518667031503967</c:v>
                </c:pt>
                <c:pt idx="47">
                  <c:v>1.2343753371855042</c:v>
                </c:pt>
                <c:pt idx="48">
                  <c:v>1.4029623442780299</c:v>
                </c:pt>
                <c:pt idx="49">
                  <c:v>1.4809479052006129</c:v>
                </c:pt>
                <c:pt idx="50">
                  <c:v>1.4935268178112986</c:v>
                </c:pt>
                <c:pt idx="51">
                  <c:v>1.1206557229173797</c:v>
                </c:pt>
                <c:pt idx="52">
                  <c:v>1.3341028625078433</c:v>
                </c:pt>
                <c:pt idx="53">
                  <c:v>1.0432042111912005</c:v>
                </c:pt>
                <c:pt idx="54">
                  <c:v>1.2599254831626951</c:v>
                </c:pt>
                <c:pt idx="55">
                  <c:v>1.2651171808044761</c:v>
                </c:pt>
                <c:pt idx="56">
                  <c:v>1.6529548811854951</c:v>
                </c:pt>
                <c:pt idx="57">
                  <c:v>1.3011222435768386</c:v>
                </c:pt>
                <c:pt idx="58">
                  <c:v>1.3402392931780627</c:v>
                </c:pt>
                <c:pt idx="59">
                  <c:v>1.8944765762238442</c:v>
                </c:pt>
                <c:pt idx="60">
                  <c:v>1.6248926910305419</c:v>
                </c:pt>
                <c:pt idx="61">
                  <c:v>1.5389887826728763</c:v>
                </c:pt>
                <c:pt idx="62">
                  <c:v>0.73544090246272997</c:v>
                </c:pt>
                <c:pt idx="63">
                  <c:v>1.225836712149152</c:v>
                </c:pt>
                <c:pt idx="64">
                  <c:v>1.0060877920411209</c:v>
                </c:pt>
                <c:pt idx="65">
                  <c:v>1.6173625562805374</c:v>
                </c:pt>
                <c:pt idx="66">
                  <c:v>0.90848208525680241</c:v>
                </c:pt>
                <c:pt idx="67">
                  <c:v>1.1142656188788682</c:v>
                </c:pt>
                <c:pt idx="68">
                  <c:v>1.4991322803381699</c:v>
                </c:pt>
                <c:pt idx="69">
                  <c:v>1.6777758446060578</c:v>
                </c:pt>
                <c:pt idx="70">
                  <c:v>0.91942803974771414</c:v>
                </c:pt>
                <c:pt idx="71">
                  <c:v>1.1557181066966744</c:v>
                </c:pt>
                <c:pt idx="72">
                  <c:v>0.71202181818272814</c:v>
                </c:pt>
                <c:pt idx="73">
                  <c:v>1.1479990417732655</c:v>
                </c:pt>
                <c:pt idx="74">
                  <c:v>1.1000013702464539</c:v>
                </c:pt>
                <c:pt idx="75">
                  <c:v>1.1353790484551645</c:v>
                </c:pt>
                <c:pt idx="76">
                  <c:v>1.2819345543220682</c:v>
                </c:pt>
                <c:pt idx="77">
                  <c:v>1.3744513063138528</c:v>
                </c:pt>
                <c:pt idx="78">
                  <c:v>1.7860157854734178</c:v>
                </c:pt>
                <c:pt idx="79">
                  <c:v>1.2110990083637718</c:v>
                </c:pt>
                <c:pt idx="80">
                  <c:v>1.7665101726239569</c:v>
                </c:pt>
                <c:pt idx="81">
                  <c:v>1.0236178336709609</c:v>
                </c:pt>
                <c:pt idx="82">
                  <c:v>1.4905511778503502</c:v>
                </c:pt>
                <c:pt idx="83">
                  <c:v>1.2183405100634734</c:v>
                </c:pt>
                <c:pt idx="84">
                  <c:v>1.4678051187999395</c:v>
                </c:pt>
                <c:pt idx="85">
                  <c:v>1.3749782896285814</c:v>
                </c:pt>
                <c:pt idx="86">
                  <c:v>0.81793609804187084</c:v>
                </c:pt>
                <c:pt idx="87">
                  <c:v>1.320667088501881</c:v>
                </c:pt>
                <c:pt idx="88">
                  <c:v>0.89324504547278427</c:v>
                </c:pt>
                <c:pt idx="89">
                  <c:v>0.71559436082242656</c:v>
                </c:pt>
                <c:pt idx="90">
                  <c:v>1.8842680204310442</c:v>
                </c:pt>
                <c:pt idx="91">
                  <c:v>0.97354930422367758</c:v>
                </c:pt>
                <c:pt idx="92">
                  <c:v>1.4079314666470322</c:v>
                </c:pt>
                <c:pt idx="93">
                  <c:v>1.7044361967011576</c:v>
                </c:pt>
                <c:pt idx="94">
                  <c:v>0.73221606693059804</c:v>
                </c:pt>
                <c:pt idx="95">
                  <c:v>0.97484129247190121</c:v>
                </c:pt>
                <c:pt idx="96">
                  <c:v>0.91181886571664217</c:v>
                </c:pt>
                <c:pt idx="97">
                  <c:v>1.8065145244246525</c:v>
                </c:pt>
                <c:pt idx="98">
                  <c:v>1.4522941117781665</c:v>
                </c:pt>
                <c:pt idx="99">
                  <c:v>1.4857610235832042</c:v>
                </c:pt>
              </c:numCache>
            </c:numRef>
          </c:xVal>
          <c:yVal>
            <c:numRef>
              <c:f>'Modelo de Spurr'!$AC$3:$AC$102</c:f>
              <c:numCache>
                <c:formatCode>General</c:formatCode>
                <c:ptCount val="100"/>
                <c:pt idx="0">
                  <c:v>-0.1255173635580924</c:v>
                </c:pt>
                <c:pt idx="1">
                  <c:v>-0.2731454630701291</c:v>
                </c:pt>
                <c:pt idx="2">
                  <c:v>-0.16008810604213564</c:v>
                </c:pt>
                <c:pt idx="3">
                  <c:v>-8.2174040786415437E-2</c:v>
                </c:pt>
                <c:pt idx="4">
                  <c:v>-4.7645498147395049E-2</c:v>
                </c:pt>
                <c:pt idx="5">
                  <c:v>-5.2717554736370853E-2</c:v>
                </c:pt>
                <c:pt idx="6">
                  <c:v>-0.15511259799656096</c:v>
                </c:pt>
                <c:pt idx="7">
                  <c:v>-9.8390904488183439E-2</c:v>
                </c:pt>
                <c:pt idx="8">
                  <c:v>5.3889907825516836E-2</c:v>
                </c:pt>
                <c:pt idx="9">
                  <c:v>-5.1441241247526248E-2</c:v>
                </c:pt>
                <c:pt idx="10">
                  <c:v>-7.2637101272927218E-2</c:v>
                </c:pt>
                <c:pt idx="11">
                  <c:v>-3.0841530943294448E-2</c:v>
                </c:pt>
                <c:pt idx="12">
                  <c:v>-5.9577556492607098E-2</c:v>
                </c:pt>
                <c:pt idx="13">
                  <c:v>-6.8617596180867046E-2</c:v>
                </c:pt>
                <c:pt idx="14">
                  <c:v>-0.16955140711271155</c:v>
                </c:pt>
                <c:pt idx="15">
                  <c:v>-0.1356713689048491</c:v>
                </c:pt>
                <c:pt idx="16">
                  <c:v>-2.1756758135615506E-2</c:v>
                </c:pt>
                <c:pt idx="17">
                  <c:v>-9.0260515970188249E-2</c:v>
                </c:pt>
                <c:pt idx="18">
                  <c:v>1.3317176849688694E-2</c:v>
                </c:pt>
                <c:pt idx="19">
                  <c:v>-0.29860638176364884</c:v>
                </c:pt>
                <c:pt idx="20">
                  <c:v>-9.3341636837289466E-2</c:v>
                </c:pt>
                <c:pt idx="21">
                  <c:v>-5.3261049986339515E-3</c:v>
                </c:pt>
                <c:pt idx="22">
                  <c:v>4.646481919027412E-2</c:v>
                </c:pt>
                <c:pt idx="23">
                  <c:v>0.30565526889502026</c:v>
                </c:pt>
                <c:pt idx="24">
                  <c:v>2.4508837314313303E-2</c:v>
                </c:pt>
                <c:pt idx="25">
                  <c:v>-0.17559812410850117</c:v>
                </c:pt>
                <c:pt idx="26">
                  <c:v>1.8028149813942074E-2</c:v>
                </c:pt>
                <c:pt idx="27">
                  <c:v>-4.6042191862171178E-2</c:v>
                </c:pt>
                <c:pt idx="28">
                  <c:v>4.8159043307544502E-2</c:v>
                </c:pt>
                <c:pt idx="29">
                  <c:v>8.3306546074023102E-2</c:v>
                </c:pt>
                <c:pt idx="30">
                  <c:v>-2.4836277251137018E-2</c:v>
                </c:pt>
                <c:pt idx="31">
                  <c:v>-1.7384490870294922E-2</c:v>
                </c:pt>
                <c:pt idx="32">
                  <c:v>-2.1573126384561103E-2</c:v>
                </c:pt>
                <c:pt idx="33">
                  <c:v>0.10606256858540197</c:v>
                </c:pt>
                <c:pt idx="34">
                  <c:v>-9.9114090824417245E-2</c:v>
                </c:pt>
                <c:pt idx="35">
                  <c:v>-6.378432554121849E-2</c:v>
                </c:pt>
                <c:pt idx="36">
                  <c:v>-1.1555333865921336E-3</c:v>
                </c:pt>
                <c:pt idx="37">
                  <c:v>5.897286102488275E-2</c:v>
                </c:pt>
                <c:pt idx="38">
                  <c:v>-2.8744621473291376E-2</c:v>
                </c:pt>
                <c:pt idx="39">
                  <c:v>-2.3653456693206287E-2</c:v>
                </c:pt>
                <c:pt idx="40">
                  <c:v>1.3505569206502699E-2</c:v>
                </c:pt>
                <c:pt idx="41">
                  <c:v>3.2614136627910906E-3</c:v>
                </c:pt>
                <c:pt idx="42">
                  <c:v>-0.16793791815102432</c:v>
                </c:pt>
                <c:pt idx="43">
                  <c:v>7.2206700975736782E-2</c:v>
                </c:pt>
                <c:pt idx="44">
                  <c:v>-0.1249240080952112</c:v>
                </c:pt>
                <c:pt idx="45">
                  <c:v>0.20013543605399431</c:v>
                </c:pt>
                <c:pt idx="46">
                  <c:v>4.0441215018219401E-2</c:v>
                </c:pt>
                <c:pt idx="47">
                  <c:v>0.22966201360831806</c:v>
                </c:pt>
                <c:pt idx="48">
                  <c:v>-2.201295895840083E-2</c:v>
                </c:pt>
                <c:pt idx="49">
                  <c:v>-6.0991536836278559E-2</c:v>
                </c:pt>
                <c:pt idx="50">
                  <c:v>-1.8004066075339553E-2</c:v>
                </c:pt>
                <c:pt idx="51">
                  <c:v>0.15243550858153032</c:v>
                </c:pt>
                <c:pt idx="52">
                  <c:v>-8.7116315554825352E-2</c:v>
                </c:pt>
                <c:pt idx="53">
                  <c:v>0.12230875621248738</c:v>
                </c:pt>
                <c:pt idx="54">
                  <c:v>-6.7392649072055555E-3</c:v>
                </c:pt>
                <c:pt idx="55">
                  <c:v>0.31756516544573676</c:v>
                </c:pt>
                <c:pt idx="56">
                  <c:v>-9.8507611999389733E-2</c:v>
                </c:pt>
                <c:pt idx="57">
                  <c:v>0.14163596134688339</c:v>
                </c:pt>
                <c:pt idx="58">
                  <c:v>0.14241046256186007</c:v>
                </c:pt>
                <c:pt idx="59">
                  <c:v>0.28049792990965372</c:v>
                </c:pt>
                <c:pt idx="60">
                  <c:v>-0.12763003959192543</c:v>
                </c:pt>
                <c:pt idx="61">
                  <c:v>-0.1412629129739662</c:v>
                </c:pt>
                <c:pt idx="62">
                  <c:v>2.7145960327461971E-2</c:v>
                </c:pt>
                <c:pt idx="63">
                  <c:v>-2.9049307688702397E-2</c:v>
                </c:pt>
                <c:pt idx="64">
                  <c:v>6.6209749280781605E-2</c:v>
                </c:pt>
                <c:pt idx="65">
                  <c:v>-5.0903080334196993E-2</c:v>
                </c:pt>
                <c:pt idx="66">
                  <c:v>0.11710739531886405</c:v>
                </c:pt>
                <c:pt idx="67">
                  <c:v>9.6954267212876477E-3</c:v>
                </c:pt>
                <c:pt idx="68">
                  <c:v>-0.13319025694480113</c:v>
                </c:pt>
                <c:pt idx="69">
                  <c:v>0.34211382237325494</c:v>
                </c:pt>
                <c:pt idx="70">
                  <c:v>8.7923448276312266E-2</c:v>
                </c:pt>
                <c:pt idx="71">
                  <c:v>0.113653636180018</c:v>
                </c:pt>
                <c:pt idx="72">
                  <c:v>-2.3028962417734555E-2</c:v>
                </c:pt>
                <c:pt idx="73">
                  <c:v>9.0382787621325456E-2</c:v>
                </c:pt>
                <c:pt idx="74">
                  <c:v>4.670970181424372E-2</c:v>
                </c:pt>
                <c:pt idx="75">
                  <c:v>-3.8826539981925867E-2</c:v>
                </c:pt>
                <c:pt idx="76">
                  <c:v>-0.10837498638483267</c:v>
                </c:pt>
                <c:pt idx="77">
                  <c:v>-5.9403162448454783E-2</c:v>
                </c:pt>
                <c:pt idx="78">
                  <c:v>9.4581113592839827E-5</c:v>
                </c:pt>
                <c:pt idx="79">
                  <c:v>7.8804508580701427E-2</c:v>
                </c:pt>
                <c:pt idx="80">
                  <c:v>0.27579267663358631</c:v>
                </c:pt>
                <c:pt idx="81">
                  <c:v>4.0864537776208021E-2</c:v>
                </c:pt>
                <c:pt idx="82">
                  <c:v>5.3596275101205793E-2</c:v>
                </c:pt>
                <c:pt idx="83">
                  <c:v>-6.9287668658851054E-2</c:v>
                </c:pt>
                <c:pt idx="84">
                  <c:v>-7.9335402076117001E-2</c:v>
                </c:pt>
                <c:pt idx="85">
                  <c:v>9.0135370808360538E-2</c:v>
                </c:pt>
                <c:pt idx="86">
                  <c:v>4.2083176828958901E-2</c:v>
                </c:pt>
                <c:pt idx="87">
                  <c:v>-5.3775358135840445E-2</c:v>
                </c:pt>
                <c:pt idx="88">
                  <c:v>-1.1587933390630245E-2</c:v>
                </c:pt>
                <c:pt idx="89">
                  <c:v>-3.1063582693063863E-3</c:v>
                </c:pt>
                <c:pt idx="90">
                  <c:v>-5.7580227901706582E-2</c:v>
                </c:pt>
                <c:pt idx="91">
                  <c:v>-5.8050105229044302E-2</c:v>
                </c:pt>
                <c:pt idx="92">
                  <c:v>1.0433619588412046E-2</c:v>
                </c:pt>
                <c:pt idx="93">
                  <c:v>6.0733007025401298E-2</c:v>
                </c:pt>
                <c:pt idx="94">
                  <c:v>6.9285730239549426E-2</c:v>
                </c:pt>
                <c:pt idx="95">
                  <c:v>7.7740411260144304E-3</c:v>
                </c:pt>
                <c:pt idx="96">
                  <c:v>3.3295132385708692E-2</c:v>
                </c:pt>
                <c:pt idx="97">
                  <c:v>2.4467484922938043E-2</c:v>
                </c:pt>
                <c:pt idx="98">
                  <c:v>0.16439096148887944</c:v>
                </c:pt>
                <c:pt idx="99">
                  <c:v>-0.10219139291084911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E-4BAD-97CC-832937AD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936479"/>
        <c:axId val="874936959"/>
      </c:scatterChart>
      <c:valAx>
        <c:axId val="87493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Predito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959"/>
        <c:crosses val="autoZero"/>
        <c:crossBetween val="midCat"/>
      </c:valAx>
      <c:valAx>
        <c:axId val="87493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 dos Resíduos Relativos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Spurr'!$AA$3:$AA$102</c:f>
              <c:numCache>
                <c:formatCode>General</c:formatCode>
                <c:ptCount val="100"/>
                <c:pt idx="0">
                  <c:v>0.89919455892426237</c:v>
                </c:pt>
                <c:pt idx="1">
                  <c:v>1.6261599897736085</c:v>
                </c:pt>
                <c:pt idx="2">
                  <c:v>0.87288924684300218</c:v>
                </c:pt>
                <c:pt idx="3">
                  <c:v>1.0248919723518122</c:v>
                </c:pt>
                <c:pt idx="4">
                  <c:v>0.89809688242211483</c:v>
                </c:pt>
                <c:pt idx="5">
                  <c:v>0.80684841511037486</c:v>
                </c:pt>
                <c:pt idx="6">
                  <c:v>0.8093171191418137</c:v>
                </c:pt>
                <c:pt idx="7">
                  <c:v>0.86386104247602369</c:v>
                </c:pt>
                <c:pt idx="8">
                  <c:v>1.0392616957005165</c:v>
                </c:pt>
                <c:pt idx="9">
                  <c:v>1.3147828933751942</c:v>
                </c:pt>
                <c:pt idx="10">
                  <c:v>1.0134870025765914</c:v>
                </c:pt>
                <c:pt idx="11">
                  <c:v>0.8895380251373608</c:v>
                </c:pt>
                <c:pt idx="12">
                  <c:v>1.0445547394474914</c:v>
                </c:pt>
                <c:pt idx="13">
                  <c:v>0.70965146136484258</c:v>
                </c:pt>
                <c:pt idx="14">
                  <c:v>0.84004943203666493</c:v>
                </c:pt>
                <c:pt idx="15">
                  <c:v>1.046829070111793</c:v>
                </c:pt>
                <c:pt idx="16">
                  <c:v>1.4104944919826974</c:v>
                </c:pt>
                <c:pt idx="17">
                  <c:v>0.88008459436792219</c:v>
                </c:pt>
                <c:pt idx="18">
                  <c:v>1.3737958430866812</c:v>
                </c:pt>
                <c:pt idx="19">
                  <c:v>1.9392452219863678</c:v>
                </c:pt>
                <c:pt idx="20">
                  <c:v>1.1741546352163492</c:v>
                </c:pt>
                <c:pt idx="21">
                  <c:v>1.1691160659114603</c:v>
                </c:pt>
                <c:pt idx="22">
                  <c:v>0.93730328256196804</c:v>
                </c:pt>
                <c:pt idx="23">
                  <c:v>1.5851645248258019</c:v>
                </c:pt>
                <c:pt idx="24">
                  <c:v>0.95853379215439871</c:v>
                </c:pt>
                <c:pt idx="25">
                  <c:v>1.3220939447125506</c:v>
                </c:pt>
                <c:pt idx="26">
                  <c:v>0.68922767416428754</c:v>
                </c:pt>
                <c:pt idx="27">
                  <c:v>1.0784083234110797</c:v>
                </c:pt>
                <c:pt idx="28">
                  <c:v>0.92684142312724282</c:v>
                </c:pt>
                <c:pt idx="29">
                  <c:v>0.88199324511516286</c:v>
                </c:pt>
                <c:pt idx="30">
                  <c:v>0.96769119534619963</c:v>
                </c:pt>
                <c:pt idx="31">
                  <c:v>1.0235620049895831</c:v>
                </c:pt>
                <c:pt idx="32">
                  <c:v>0.62824285049684692</c:v>
                </c:pt>
                <c:pt idx="33">
                  <c:v>1.0356135645591733</c:v>
                </c:pt>
                <c:pt idx="34">
                  <c:v>1.0631509486768909</c:v>
                </c:pt>
                <c:pt idx="35">
                  <c:v>2.2195253731309093</c:v>
                </c:pt>
                <c:pt idx="36">
                  <c:v>0.96520735307407823</c:v>
                </c:pt>
                <c:pt idx="37">
                  <c:v>0.8375146496873479</c:v>
                </c:pt>
                <c:pt idx="38">
                  <c:v>0.85049666673954993</c:v>
                </c:pt>
                <c:pt idx="39">
                  <c:v>1.4987040139633612</c:v>
                </c:pt>
                <c:pt idx="40">
                  <c:v>1.0346813611464962</c:v>
                </c:pt>
                <c:pt idx="41">
                  <c:v>0.88629425139911011</c:v>
                </c:pt>
                <c:pt idx="42">
                  <c:v>1.2587355393916921</c:v>
                </c:pt>
                <c:pt idx="43">
                  <c:v>1.2922334055097677</c:v>
                </c:pt>
                <c:pt idx="44">
                  <c:v>2.1510574726638092</c:v>
                </c:pt>
                <c:pt idx="45">
                  <c:v>0.89725883599083478</c:v>
                </c:pt>
                <c:pt idx="46">
                  <c:v>0.94518667031503967</c:v>
                </c:pt>
                <c:pt idx="47">
                  <c:v>1.2343753371855042</c:v>
                </c:pt>
                <c:pt idx="48">
                  <c:v>1.4029623442780299</c:v>
                </c:pt>
                <c:pt idx="49">
                  <c:v>1.4809479052006129</c:v>
                </c:pt>
                <c:pt idx="50">
                  <c:v>1.4935268178112986</c:v>
                </c:pt>
                <c:pt idx="51">
                  <c:v>1.1206557229173797</c:v>
                </c:pt>
                <c:pt idx="52">
                  <c:v>1.3341028625078433</c:v>
                </c:pt>
                <c:pt idx="53">
                  <c:v>1.0432042111912005</c:v>
                </c:pt>
                <c:pt idx="54">
                  <c:v>1.2599254831626951</c:v>
                </c:pt>
                <c:pt idx="55">
                  <c:v>1.2651171808044761</c:v>
                </c:pt>
                <c:pt idx="56">
                  <c:v>1.6529548811854951</c:v>
                </c:pt>
                <c:pt idx="57">
                  <c:v>1.3011222435768386</c:v>
                </c:pt>
                <c:pt idx="58">
                  <c:v>1.3402392931780627</c:v>
                </c:pt>
                <c:pt idx="59">
                  <c:v>1.8944765762238442</c:v>
                </c:pt>
                <c:pt idx="60">
                  <c:v>1.6248926910305419</c:v>
                </c:pt>
                <c:pt idx="61">
                  <c:v>1.5389887826728763</c:v>
                </c:pt>
                <c:pt idx="62">
                  <c:v>0.73544090246272997</c:v>
                </c:pt>
                <c:pt idx="63">
                  <c:v>1.225836712149152</c:v>
                </c:pt>
                <c:pt idx="64">
                  <c:v>1.0060877920411209</c:v>
                </c:pt>
                <c:pt idx="65">
                  <c:v>1.6173625562805374</c:v>
                </c:pt>
                <c:pt idx="66">
                  <c:v>0.90848208525680241</c:v>
                </c:pt>
                <c:pt idx="67">
                  <c:v>1.1142656188788682</c:v>
                </c:pt>
                <c:pt idx="68">
                  <c:v>1.4991322803381699</c:v>
                </c:pt>
                <c:pt idx="69">
                  <c:v>1.6777758446060578</c:v>
                </c:pt>
                <c:pt idx="70">
                  <c:v>0.91942803974771414</c:v>
                </c:pt>
                <c:pt idx="71">
                  <c:v>1.1557181066966744</c:v>
                </c:pt>
                <c:pt idx="72">
                  <c:v>0.71202181818272814</c:v>
                </c:pt>
                <c:pt idx="73">
                  <c:v>1.1479990417732655</c:v>
                </c:pt>
                <c:pt idx="74">
                  <c:v>1.1000013702464539</c:v>
                </c:pt>
                <c:pt idx="75">
                  <c:v>1.1353790484551645</c:v>
                </c:pt>
                <c:pt idx="76">
                  <c:v>1.2819345543220682</c:v>
                </c:pt>
                <c:pt idx="77">
                  <c:v>1.3744513063138528</c:v>
                </c:pt>
                <c:pt idx="78">
                  <c:v>1.7860157854734178</c:v>
                </c:pt>
                <c:pt idx="79">
                  <c:v>1.2110990083637718</c:v>
                </c:pt>
                <c:pt idx="80">
                  <c:v>1.7665101726239569</c:v>
                </c:pt>
                <c:pt idx="81">
                  <c:v>1.0236178336709609</c:v>
                </c:pt>
                <c:pt idx="82">
                  <c:v>1.4905511778503502</c:v>
                </c:pt>
                <c:pt idx="83">
                  <c:v>1.2183405100634734</c:v>
                </c:pt>
                <c:pt idx="84">
                  <c:v>1.4678051187999395</c:v>
                </c:pt>
                <c:pt idx="85">
                  <c:v>1.3749782896285814</c:v>
                </c:pt>
                <c:pt idx="86">
                  <c:v>0.81793609804187084</c:v>
                </c:pt>
                <c:pt idx="87">
                  <c:v>1.320667088501881</c:v>
                </c:pt>
                <c:pt idx="88">
                  <c:v>0.89324504547278427</c:v>
                </c:pt>
                <c:pt idx="89">
                  <c:v>0.71559436082242656</c:v>
                </c:pt>
                <c:pt idx="90">
                  <c:v>1.8842680204310442</c:v>
                </c:pt>
                <c:pt idx="91">
                  <c:v>0.97354930422367758</c:v>
                </c:pt>
                <c:pt idx="92">
                  <c:v>1.4079314666470322</c:v>
                </c:pt>
                <c:pt idx="93">
                  <c:v>1.7044361967011576</c:v>
                </c:pt>
                <c:pt idx="94">
                  <c:v>0.73221606693059804</c:v>
                </c:pt>
                <c:pt idx="95">
                  <c:v>0.97484129247190121</c:v>
                </c:pt>
                <c:pt idx="96">
                  <c:v>0.91181886571664217</c:v>
                </c:pt>
                <c:pt idx="97">
                  <c:v>1.8065145244246525</c:v>
                </c:pt>
                <c:pt idx="98">
                  <c:v>1.4522941117781665</c:v>
                </c:pt>
                <c:pt idx="99">
                  <c:v>1.4857610235832042</c:v>
                </c:pt>
              </c:numCache>
            </c:numRef>
          </c:xVal>
          <c:yVal>
            <c:numRef>
              <c:f>'Modelo de Spurr'!$AD$3:$AD$102</c:f>
              <c:numCache>
                <c:formatCode>General</c:formatCode>
                <c:ptCount val="100"/>
                <c:pt idx="0">
                  <c:v>-0.16223479806547339</c:v>
                </c:pt>
                <c:pt idx="1">
                  <c:v>-0.20187917991954452</c:v>
                </c:pt>
                <c:pt idx="2">
                  <c:v>-0.22459013724679075</c:v>
                </c:pt>
                <c:pt idx="3">
                  <c:v>-8.7167155768390084E-2</c:v>
                </c:pt>
                <c:pt idx="4">
                  <c:v>-5.6023776347930793E-2</c:v>
                </c:pt>
                <c:pt idx="5">
                  <c:v>-6.9905048986095175E-2</c:v>
                </c:pt>
                <c:pt idx="6">
                  <c:v>-0.23710107922369644</c:v>
                </c:pt>
                <c:pt idx="7">
                  <c:v>-0.12853656805844776</c:v>
                </c:pt>
                <c:pt idx="8">
                  <c:v>4.9297743928373106E-2</c:v>
                </c:pt>
                <c:pt idx="9">
                  <c:v>-4.0718392495720401E-2</c:v>
                </c:pt>
                <c:pt idx="10">
                  <c:v>-7.7203708234734894E-2</c:v>
                </c:pt>
                <c:pt idx="11">
                  <c:v>-3.5916684360334919E-2</c:v>
                </c:pt>
                <c:pt idx="12">
                  <c:v>-6.0486230060555597E-2</c:v>
                </c:pt>
                <c:pt idx="13">
                  <c:v>-0.10704207672581217</c:v>
                </c:pt>
                <c:pt idx="14">
                  <c:v>-0.252873835283768</c:v>
                </c:pt>
                <c:pt idx="15">
                  <c:v>-0.14889998594659867</c:v>
                </c:pt>
                <c:pt idx="16">
                  <c:v>-1.5666570876089702E-2</c:v>
                </c:pt>
                <c:pt idx="17">
                  <c:v>-0.11427926602756153</c:v>
                </c:pt>
                <c:pt idx="18">
                  <c:v>9.6006429600809205E-3</c:v>
                </c:pt>
                <c:pt idx="19">
                  <c:v>-0.18200616396666106</c:v>
                </c:pt>
                <c:pt idx="20">
                  <c:v>-8.6362429927543255E-2</c:v>
                </c:pt>
                <c:pt idx="21">
                  <c:v>-4.5765173936166163E-3</c:v>
                </c:pt>
                <c:pt idx="22">
                  <c:v>4.7231475697893779E-2</c:v>
                </c:pt>
                <c:pt idx="23">
                  <c:v>0.16165224730038444</c:v>
                </c:pt>
                <c:pt idx="24">
                  <c:v>2.4931611895161829E-2</c:v>
                </c:pt>
                <c:pt idx="25">
                  <c:v>-0.15316071890779726</c:v>
                </c:pt>
                <c:pt idx="26">
                  <c:v>2.5490281172286262E-2</c:v>
                </c:pt>
                <c:pt idx="27">
                  <c:v>-4.4598704330886821E-2</c:v>
                </c:pt>
                <c:pt idx="28">
                  <c:v>4.9393866942078646E-2</c:v>
                </c:pt>
                <c:pt idx="29">
                  <c:v>8.6301216300269684E-2</c:v>
                </c:pt>
                <c:pt idx="30">
                  <c:v>-2.6341568330911457E-2</c:v>
                </c:pt>
                <c:pt idx="31">
                  <c:v>-1.7277757280743496E-2</c:v>
                </c:pt>
                <c:pt idx="32">
                  <c:v>-3.5559919223145921E-2</c:v>
                </c:pt>
                <c:pt idx="33">
                  <c:v>9.2900749613875677E-2</c:v>
                </c:pt>
                <c:pt idx="34">
                  <c:v>-0.10281151598830743</c:v>
                </c:pt>
                <c:pt idx="35">
                  <c:v>-2.9588120341510874E-2</c:v>
                </c:pt>
                <c:pt idx="36">
                  <c:v>-1.1986216539342455E-3</c:v>
                </c:pt>
                <c:pt idx="37">
                  <c:v>6.5782133404212961E-2</c:v>
                </c:pt>
                <c:pt idx="38">
                  <c:v>-3.4979677432963048E-2</c:v>
                </c:pt>
                <c:pt idx="39">
                  <c:v>-1.6035692184667379E-2</c:v>
                </c:pt>
                <c:pt idx="40">
                  <c:v>1.2884695291854494E-2</c:v>
                </c:pt>
                <c:pt idx="41">
                  <c:v>3.6663401638436419E-3</c:v>
                </c:pt>
                <c:pt idx="42">
                  <c:v>-0.15395882323250079</c:v>
                </c:pt>
                <c:pt idx="43">
                  <c:v>5.2920388833867724E-2</c:v>
                </c:pt>
                <c:pt idx="44">
                  <c:v>-6.1656356937873233E-2</c:v>
                </c:pt>
                <c:pt idx="45">
                  <c:v>0.18237331937323861</c:v>
                </c:pt>
                <c:pt idx="46">
                  <c:v>4.1030916048550588E-2</c:v>
                </c:pt>
                <c:pt idx="47">
                  <c:v>0.15686895794276834</c:v>
                </c:pt>
                <c:pt idx="48">
                  <c:v>-1.5940453134932094E-2</c:v>
                </c:pt>
                <c:pt idx="49">
                  <c:v>-4.2953106303213723E-2</c:v>
                </c:pt>
                <c:pt idx="50">
                  <c:v>-1.2201822068929597E-2</c:v>
                </c:pt>
                <c:pt idx="51">
                  <c:v>0.11973651597777173</c:v>
                </c:pt>
                <c:pt idx="52">
                  <c:v>-6.9861471856045285E-2</c:v>
                </c:pt>
                <c:pt idx="53">
                  <c:v>0.10493985020599468</c:v>
                </c:pt>
                <c:pt idx="54">
                  <c:v>-5.377704294088884E-3</c:v>
                </c:pt>
                <c:pt idx="55">
                  <c:v>0.20064997009547206</c:v>
                </c:pt>
                <c:pt idx="56">
                  <c:v>-6.3371472260340775E-2</c:v>
                </c:pt>
                <c:pt idx="57">
                  <c:v>9.8170269185453449E-2</c:v>
                </c:pt>
                <c:pt idx="58">
                  <c:v>9.6051317589021232E-2</c:v>
                </c:pt>
                <c:pt idx="59">
                  <c:v>0.12896607712809532</c:v>
                </c:pt>
                <c:pt idx="60">
                  <c:v>-8.5242251564409566E-2</c:v>
                </c:pt>
                <c:pt idx="61">
                  <c:v>-0.10106625056914503</c:v>
                </c:pt>
                <c:pt idx="62">
                  <c:v>3.5597204268821181E-2</c:v>
                </c:pt>
                <c:pt idx="63">
                  <c:v>-2.4272738483405717E-2</c:v>
                </c:pt>
                <c:pt idx="64">
                  <c:v>6.1745687861188066E-2</c:v>
                </c:pt>
                <c:pt idx="65">
                  <c:v>-3.2495625399721922E-2</c:v>
                </c:pt>
                <c:pt idx="66">
                  <c:v>0.11418544898991292</c:v>
                </c:pt>
                <c:pt idx="67">
                  <c:v>8.626123440168363E-3</c:v>
                </c:pt>
                <c:pt idx="68">
                  <c:v>-9.7507986915814027E-2</c:v>
                </c:pt>
                <c:pt idx="69">
                  <c:v>0.1693725295822105</c:v>
                </c:pt>
                <c:pt idx="70">
                  <c:v>8.7281797189557725E-2</c:v>
                </c:pt>
                <c:pt idx="71">
                  <c:v>8.9535344407818906E-2</c:v>
                </c:pt>
                <c:pt idx="72">
                  <c:v>-3.3424094640524739E-2</c:v>
                </c:pt>
                <c:pt idx="73">
                  <c:v>7.2984588013142102E-2</c:v>
                </c:pt>
                <c:pt idx="74">
                  <c:v>4.0733627634992685E-2</c:v>
                </c:pt>
                <c:pt idx="75">
                  <c:v>-3.5407825600604542E-2</c:v>
                </c:pt>
                <c:pt idx="76">
                  <c:v>-9.2347239412246693E-2</c:v>
                </c:pt>
                <c:pt idx="77">
                  <c:v>-4.517185376487251E-2</c:v>
                </c:pt>
                <c:pt idx="78">
                  <c:v>5.2953678206106698E-5</c:v>
                </c:pt>
                <c:pt idx="79">
                  <c:v>6.1093335699536462E-2</c:v>
                </c:pt>
                <c:pt idx="80">
                  <c:v>0.13504004890060634</c:v>
                </c:pt>
                <c:pt idx="81">
                  <c:v>3.8389116506131034E-2</c:v>
                </c:pt>
                <c:pt idx="82">
                  <c:v>3.4709298648104722E-2</c:v>
                </c:pt>
                <c:pt idx="83">
                  <c:v>-6.0299810558888299E-2</c:v>
                </c:pt>
                <c:pt idx="84">
                  <c:v>-5.7138734190986633E-2</c:v>
                </c:pt>
                <c:pt idx="85">
                  <c:v>6.15210773350372E-2</c:v>
                </c:pt>
                <c:pt idx="86">
                  <c:v>4.8932829831377402E-2</c:v>
                </c:pt>
                <c:pt idx="87">
                  <c:v>-4.2446688100413472E-2</c:v>
                </c:pt>
                <c:pt idx="88">
                  <c:v>-1.3143356109569347E-2</c:v>
                </c:pt>
                <c:pt idx="89">
                  <c:v>-4.3598744935705626E-3</c:v>
                </c:pt>
                <c:pt idx="90">
                  <c:v>-3.1521658017967955E-2</c:v>
                </c:pt>
                <c:pt idx="91">
                  <c:v>-6.3408144204596506E-2</c:v>
                </c:pt>
                <c:pt idx="92">
                  <c:v>7.3560888445896909E-3</c:v>
                </c:pt>
                <c:pt idx="93">
                  <c:v>3.4406337305899093E-2</c:v>
                </c:pt>
                <c:pt idx="94">
                  <c:v>8.6444884445893572E-2</c:v>
                </c:pt>
                <c:pt idx="95">
                  <c:v>7.9115813281166996E-3</c:v>
                </c:pt>
                <c:pt idx="96">
                  <c:v>3.5228694583468653E-2</c:v>
                </c:pt>
                <c:pt idx="97">
                  <c:v>1.336303950449858E-2</c:v>
                </c:pt>
                <c:pt idx="98">
                  <c:v>0.10168397309234335</c:v>
                </c:pt>
                <c:pt idx="99">
                  <c:v>-7.3860679394349316E-2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2-4092-9453-CDF038F43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936479"/>
        <c:axId val="874936959"/>
      </c:scatterChart>
      <c:valAx>
        <c:axId val="87493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Predito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959"/>
        <c:crosses val="autoZero"/>
        <c:crossBetween val="midCat"/>
      </c:valAx>
      <c:valAx>
        <c:axId val="87493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em Função do DAP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Spurr'!$C$3:$C$102</c:f>
              <c:numCache>
                <c:formatCode>0.0</c:formatCode>
                <c:ptCount val="100"/>
                <c:pt idx="0">
                  <c:v>27.6</c:v>
                </c:pt>
                <c:pt idx="1">
                  <c:v>37</c:v>
                </c:pt>
                <c:pt idx="2">
                  <c:v>27.5</c:v>
                </c:pt>
                <c:pt idx="3">
                  <c:v>29.5</c:v>
                </c:pt>
                <c:pt idx="4">
                  <c:v>28</c:v>
                </c:pt>
                <c:pt idx="5">
                  <c:v>26</c:v>
                </c:pt>
                <c:pt idx="6">
                  <c:v>26.9</c:v>
                </c:pt>
                <c:pt idx="7">
                  <c:v>27.8</c:v>
                </c:pt>
                <c:pt idx="8">
                  <c:v>29.8</c:v>
                </c:pt>
                <c:pt idx="9">
                  <c:v>33.9</c:v>
                </c:pt>
                <c:pt idx="10">
                  <c:v>29.6</c:v>
                </c:pt>
                <c:pt idx="11">
                  <c:v>28.1</c:v>
                </c:pt>
                <c:pt idx="12">
                  <c:v>29.5</c:v>
                </c:pt>
                <c:pt idx="13">
                  <c:v>26</c:v>
                </c:pt>
                <c:pt idx="14">
                  <c:v>27.8</c:v>
                </c:pt>
                <c:pt idx="15">
                  <c:v>31.5</c:v>
                </c:pt>
                <c:pt idx="16">
                  <c:v>35</c:v>
                </c:pt>
                <c:pt idx="17">
                  <c:v>28.3</c:v>
                </c:pt>
                <c:pt idx="18">
                  <c:v>33.9</c:v>
                </c:pt>
                <c:pt idx="19">
                  <c:v>40.700000000000003</c:v>
                </c:pt>
                <c:pt idx="20">
                  <c:v>31.6</c:v>
                </c:pt>
                <c:pt idx="21">
                  <c:v>31.5</c:v>
                </c:pt>
                <c:pt idx="22">
                  <c:v>29.5</c:v>
                </c:pt>
                <c:pt idx="23">
                  <c:v>37.5</c:v>
                </c:pt>
                <c:pt idx="24">
                  <c:v>28.5</c:v>
                </c:pt>
                <c:pt idx="25">
                  <c:v>33.5</c:v>
                </c:pt>
                <c:pt idx="26">
                  <c:v>24.5</c:v>
                </c:pt>
                <c:pt idx="27">
                  <c:v>30</c:v>
                </c:pt>
                <c:pt idx="28">
                  <c:v>28.1</c:v>
                </c:pt>
                <c:pt idx="29">
                  <c:v>28</c:v>
                </c:pt>
                <c:pt idx="30">
                  <c:v>29.5</c:v>
                </c:pt>
                <c:pt idx="31">
                  <c:v>30.3</c:v>
                </c:pt>
                <c:pt idx="32">
                  <c:v>23.5</c:v>
                </c:pt>
                <c:pt idx="33">
                  <c:v>29.8</c:v>
                </c:pt>
                <c:pt idx="34">
                  <c:v>30.5</c:v>
                </c:pt>
                <c:pt idx="35">
                  <c:v>43.7</c:v>
                </c:pt>
                <c:pt idx="36">
                  <c:v>28.5</c:v>
                </c:pt>
                <c:pt idx="37">
                  <c:v>26.5</c:v>
                </c:pt>
                <c:pt idx="38">
                  <c:v>26.5</c:v>
                </c:pt>
                <c:pt idx="39">
                  <c:v>35.5</c:v>
                </c:pt>
                <c:pt idx="40">
                  <c:v>31.6</c:v>
                </c:pt>
                <c:pt idx="41">
                  <c:v>28.1</c:v>
                </c:pt>
                <c:pt idx="42">
                  <c:v>33.200000000000003</c:v>
                </c:pt>
                <c:pt idx="43">
                  <c:v>35</c:v>
                </c:pt>
                <c:pt idx="44">
                  <c:v>43.6</c:v>
                </c:pt>
                <c:pt idx="45">
                  <c:v>29</c:v>
                </c:pt>
                <c:pt idx="46">
                  <c:v>28.5</c:v>
                </c:pt>
                <c:pt idx="47">
                  <c:v>34</c:v>
                </c:pt>
                <c:pt idx="48">
                  <c:v>34</c:v>
                </c:pt>
                <c:pt idx="49">
                  <c:v>35</c:v>
                </c:pt>
                <c:pt idx="50">
                  <c:v>35.5</c:v>
                </c:pt>
                <c:pt idx="51">
                  <c:v>32</c:v>
                </c:pt>
                <c:pt idx="52">
                  <c:v>34</c:v>
                </c:pt>
                <c:pt idx="53">
                  <c:v>31</c:v>
                </c:pt>
                <c:pt idx="54">
                  <c:v>33</c:v>
                </c:pt>
                <c:pt idx="55">
                  <c:v>34.200000000000003</c:v>
                </c:pt>
                <c:pt idx="56">
                  <c:v>38</c:v>
                </c:pt>
                <c:pt idx="57">
                  <c:v>34.5</c:v>
                </c:pt>
                <c:pt idx="58">
                  <c:v>34.5</c:v>
                </c:pt>
                <c:pt idx="59">
                  <c:v>42.5</c:v>
                </c:pt>
                <c:pt idx="60">
                  <c:v>37.700000000000003</c:v>
                </c:pt>
                <c:pt idx="61">
                  <c:v>37</c:v>
                </c:pt>
                <c:pt idx="62">
                  <c:v>25.5</c:v>
                </c:pt>
                <c:pt idx="63">
                  <c:v>32.5</c:v>
                </c:pt>
                <c:pt idx="64">
                  <c:v>29</c:v>
                </c:pt>
                <c:pt idx="65">
                  <c:v>38</c:v>
                </c:pt>
                <c:pt idx="66">
                  <c:v>28.5</c:v>
                </c:pt>
                <c:pt idx="67">
                  <c:v>31</c:v>
                </c:pt>
                <c:pt idx="68">
                  <c:v>36.5</c:v>
                </c:pt>
                <c:pt idx="69">
                  <c:v>40</c:v>
                </c:pt>
                <c:pt idx="70">
                  <c:v>29.5</c:v>
                </c:pt>
                <c:pt idx="71">
                  <c:v>31</c:v>
                </c:pt>
                <c:pt idx="72">
                  <c:v>26.5</c:v>
                </c:pt>
                <c:pt idx="73">
                  <c:v>32</c:v>
                </c:pt>
                <c:pt idx="74">
                  <c:v>32.5</c:v>
                </c:pt>
                <c:pt idx="75">
                  <c:v>32</c:v>
                </c:pt>
                <c:pt idx="76">
                  <c:v>34.200000000000003</c:v>
                </c:pt>
                <c:pt idx="77">
                  <c:v>35.5</c:v>
                </c:pt>
                <c:pt idx="78">
                  <c:v>40.9</c:v>
                </c:pt>
                <c:pt idx="79">
                  <c:v>32</c:v>
                </c:pt>
                <c:pt idx="80">
                  <c:v>40</c:v>
                </c:pt>
                <c:pt idx="81">
                  <c:v>30.6</c:v>
                </c:pt>
                <c:pt idx="82">
                  <c:v>36.6</c:v>
                </c:pt>
                <c:pt idx="83">
                  <c:v>32.1</c:v>
                </c:pt>
                <c:pt idx="84">
                  <c:v>35.6</c:v>
                </c:pt>
                <c:pt idx="85">
                  <c:v>34.700000000000003</c:v>
                </c:pt>
                <c:pt idx="86">
                  <c:v>27</c:v>
                </c:pt>
                <c:pt idx="87">
                  <c:v>33.299999999999997</c:v>
                </c:pt>
                <c:pt idx="88">
                  <c:v>28.3</c:v>
                </c:pt>
                <c:pt idx="89">
                  <c:v>25.2</c:v>
                </c:pt>
                <c:pt idx="90">
                  <c:v>41</c:v>
                </c:pt>
                <c:pt idx="91">
                  <c:v>28.5</c:v>
                </c:pt>
                <c:pt idx="92">
                  <c:v>35.6</c:v>
                </c:pt>
                <c:pt idx="93">
                  <c:v>38.5</c:v>
                </c:pt>
                <c:pt idx="94">
                  <c:v>26.5</c:v>
                </c:pt>
                <c:pt idx="95">
                  <c:v>29.5</c:v>
                </c:pt>
                <c:pt idx="96">
                  <c:v>28.5</c:v>
                </c:pt>
                <c:pt idx="97">
                  <c:v>39.1</c:v>
                </c:pt>
                <c:pt idx="98">
                  <c:v>37.5</c:v>
                </c:pt>
                <c:pt idx="99">
                  <c:v>35.5</c:v>
                </c:pt>
              </c:numCache>
            </c:numRef>
          </c:xVal>
          <c:yVal>
            <c:numRef>
              <c:f>'Modelo de Spurr'!$E$3:$E$102</c:f>
              <c:numCache>
                <c:formatCode>0.000</c:formatCode>
                <c:ptCount val="100"/>
                <c:pt idx="0">
                  <c:v>0.77367719536616997</c:v>
                </c:pt>
                <c:pt idx="1">
                  <c:v>1.3530145267034794</c:v>
                </c:pt>
                <c:pt idx="2">
                  <c:v>0.71280114080086654</c:v>
                </c:pt>
                <c:pt idx="3">
                  <c:v>0.94271793156539674</c:v>
                </c:pt>
                <c:pt idx="4">
                  <c:v>0.85045138427471978</c:v>
                </c:pt>
                <c:pt idx="5">
                  <c:v>0.75413086037400401</c:v>
                </c:pt>
                <c:pt idx="6">
                  <c:v>0.65420452114525274</c:v>
                </c:pt>
                <c:pt idx="7">
                  <c:v>0.76547013798784025</c:v>
                </c:pt>
                <c:pt idx="8">
                  <c:v>1.0931516035260334</c:v>
                </c:pt>
                <c:pt idx="9">
                  <c:v>1.2633416521276679</c:v>
                </c:pt>
                <c:pt idx="10">
                  <c:v>0.94084990130366419</c:v>
                </c:pt>
                <c:pt idx="11">
                  <c:v>0.85869649419406635</c:v>
                </c:pt>
                <c:pt idx="12">
                  <c:v>0.98497718295488434</c:v>
                </c:pt>
                <c:pt idx="13">
                  <c:v>0.64103386518397554</c:v>
                </c:pt>
                <c:pt idx="14">
                  <c:v>0.67049802492395338</c:v>
                </c:pt>
                <c:pt idx="15">
                  <c:v>0.91115770120694395</c:v>
                </c:pt>
                <c:pt idx="16">
                  <c:v>1.3887377338470819</c:v>
                </c:pt>
                <c:pt idx="17">
                  <c:v>0.78982407839773394</c:v>
                </c:pt>
                <c:pt idx="18">
                  <c:v>1.3871130199363699</c:v>
                </c:pt>
                <c:pt idx="19">
                  <c:v>1.640638840222719</c:v>
                </c:pt>
                <c:pt idx="20">
                  <c:v>1.0808129983790598</c:v>
                </c:pt>
                <c:pt idx="21">
                  <c:v>1.1637899609128264</c:v>
                </c:pt>
                <c:pt idx="22">
                  <c:v>0.98376810175224216</c:v>
                </c:pt>
                <c:pt idx="23">
                  <c:v>1.8908197937208222</c:v>
                </c:pt>
                <c:pt idx="24">
                  <c:v>0.98304262946871201</c:v>
                </c:pt>
                <c:pt idx="25">
                  <c:v>1.1464958206040494</c:v>
                </c:pt>
                <c:pt idx="26">
                  <c:v>0.70725582397822961</c:v>
                </c:pt>
                <c:pt idx="27">
                  <c:v>1.0323661315489085</c:v>
                </c:pt>
                <c:pt idx="28">
                  <c:v>0.97500046643478733</c:v>
                </c:pt>
                <c:pt idx="29">
                  <c:v>0.96529979118918596</c:v>
                </c:pt>
                <c:pt idx="30">
                  <c:v>0.94285491809506261</c:v>
                </c:pt>
                <c:pt idx="31">
                  <c:v>1.0061775141192881</c:v>
                </c:pt>
                <c:pt idx="32">
                  <c:v>0.60666972411228581</c:v>
                </c:pt>
                <c:pt idx="33">
                  <c:v>1.1416761331445753</c:v>
                </c:pt>
                <c:pt idx="34">
                  <c:v>0.96403685785247362</c:v>
                </c:pt>
                <c:pt idx="35">
                  <c:v>2.1557410475896908</c:v>
                </c:pt>
                <c:pt idx="36">
                  <c:v>0.9640518196874861</c:v>
                </c:pt>
                <c:pt idx="37">
                  <c:v>0.89648751071223065</c:v>
                </c:pt>
                <c:pt idx="38">
                  <c:v>0.82175204526625856</c:v>
                </c:pt>
                <c:pt idx="39">
                  <c:v>1.4750505572701549</c:v>
                </c:pt>
                <c:pt idx="40">
                  <c:v>1.0481869303529989</c:v>
                </c:pt>
                <c:pt idx="41">
                  <c:v>0.8895556650619012</c:v>
                </c:pt>
                <c:pt idx="42">
                  <c:v>1.0907976212406678</c:v>
                </c:pt>
                <c:pt idx="43">
                  <c:v>1.3644401064855045</c:v>
                </c:pt>
                <c:pt idx="44">
                  <c:v>2.026133464568598</c:v>
                </c:pt>
                <c:pt idx="45">
                  <c:v>1.0973942720448291</c:v>
                </c:pt>
                <c:pt idx="46">
                  <c:v>0.98562788533325907</c:v>
                </c:pt>
                <c:pt idx="47">
                  <c:v>1.4640373507938222</c:v>
                </c:pt>
                <c:pt idx="48">
                  <c:v>1.3809493853196291</c:v>
                </c:pt>
                <c:pt idx="49">
                  <c:v>1.4199563683643344</c:v>
                </c:pt>
                <c:pt idx="50">
                  <c:v>1.475522751735959</c:v>
                </c:pt>
                <c:pt idx="51">
                  <c:v>1.27309123149891</c:v>
                </c:pt>
                <c:pt idx="52">
                  <c:v>1.2469865469530179</c:v>
                </c:pt>
                <c:pt idx="53">
                  <c:v>1.1655129674036879</c:v>
                </c:pt>
                <c:pt idx="54">
                  <c:v>1.2531862182554896</c:v>
                </c:pt>
                <c:pt idx="55">
                  <c:v>1.5826823462502129</c:v>
                </c:pt>
                <c:pt idx="56">
                  <c:v>1.5544472691861053</c:v>
                </c:pt>
                <c:pt idx="57">
                  <c:v>1.442758204923722</c:v>
                </c:pt>
                <c:pt idx="58">
                  <c:v>1.4826497557399227</c:v>
                </c:pt>
                <c:pt idx="59">
                  <c:v>2.174974506133498</c:v>
                </c:pt>
                <c:pt idx="60">
                  <c:v>1.4972626514386165</c:v>
                </c:pt>
                <c:pt idx="61">
                  <c:v>1.3977258696989101</c:v>
                </c:pt>
                <c:pt idx="62">
                  <c:v>0.76258686279019194</c:v>
                </c:pt>
                <c:pt idx="63">
                  <c:v>1.1967874044604496</c:v>
                </c:pt>
                <c:pt idx="64">
                  <c:v>1.0722975413219025</c:v>
                </c:pt>
                <c:pt idx="65">
                  <c:v>1.5664594759463404</c:v>
                </c:pt>
                <c:pt idx="66">
                  <c:v>1.0255894805756665</c:v>
                </c:pt>
                <c:pt idx="67">
                  <c:v>1.1239610456001559</c:v>
                </c:pt>
                <c:pt idx="68">
                  <c:v>1.3659420233933688</c:v>
                </c:pt>
                <c:pt idx="69">
                  <c:v>2.0198896669793127</c:v>
                </c:pt>
                <c:pt idx="70">
                  <c:v>1.0073514880240264</c:v>
                </c:pt>
                <c:pt idx="71">
                  <c:v>1.2693717428766924</c:v>
                </c:pt>
                <c:pt idx="72">
                  <c:v>0.68899285576499358</c:v>
                </c:pt>
                <c:pt idx="73">
                  <c:v>1.238381829394591</c:v>
                </c:pt>
                <c:pt idx="74">
                  <c:v>1.1467110720606977</c:v>
                </c:pt>
                <c:pt idx="75">
                  <c:v>1.0965525084732386</c:v>
                </c:pt>
                <c:pt idx="76">
                  <c:v>1.1735595679372355</c:v>
                </c:pt>
                <c:pt idx="77">
                  <c:v>1.315048143865398</c:v>
                </c:pt>
                <c:pt idx="78">
                  <c:v>1.7861103665870106</c:v>
                </c:pt>
                <c:pt idx="79">
                  <c:v>1.2899035169444732</c:v>
                </c:pt>
                <c:pt idx="80">
                  <c:v>2.0423028492575432</c:v>
                </c:pt>
                <c:pt idx="81">
                  <c:v>1.064482371447169</c:v>
                </c:pt>
                <c:pt idx="82">
                  <c:v>1.544147452951556</c:v>
                </c:pt>
                <c:pt idx="83">
                  <c:v>1.1490528414046224</c:v>
                </c:pt>
                <c:pt idx="84">
                  <c:v>1.3884697167238225</c:v>
                </c:pt>
                <c:pt idx="85">
                  <c:v>1.4651136604369419</c:v>
                </c:pt>
                <c:pt idx="86">
                  <c:v>0.86001927487082974</c:v>
                </c:pt>
                <c:pt idx="87">
                  <c:v>1.2668917303660405</c:v>
                </c:pt>
                <c:pt idx="88">
                  <c:v>0.88165711208215403</c:v>
                </c:pt>
                <c:pt idx="89">
                  <c:v>0.71248800255312017</c:v>
                </c:pt>
                <c:pt idx="90">
                  <c:v>1.8266877925293377</c:v>
                </c:pt>
                <c:pt idx="91">
                  <c:v>0.91549919899463328</c:v>
                </c:pt>
                <c:pt idx="92">
                  <c:v>1.4183650862354442</c:v>
                </c:pt>
                <c:pt idx="93">
                  <c:v>1.7651692037265589</c:v>
                </c:pt>
                <c:pt idx="94">
                  <c:v>0.80150179717014747</c:v>
                </c:pt>
                <c:pt idx="95">
                  <c:v>0.98261533359791564</c:v>
                </c:pt>
                <c:pt idx="96">
                  <c:v>0.94511399810235086</c:v>
                </c:pt>
                <c:pt idx="97">
                  <c:v>1.8309820093475906</c:v>
                </c:pt>
                <c:pt idx="98">
                  <c:v>1.6166850732670459</c:v>
                </c:pt>
                <c:pt idx="99">
                  <c:v>1.3835696306723551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B-4E1C-B31B-AC89A912A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scatterChart>
        <c:scatterStyle val="smoothMarker"/>
        <c:varyColors val="0"/>
        <c:ser>
          <c:idx val="1"/>
          <c:order val="1"/>
          <c:tx>
            <c:v>H média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'Modelo de Spurr'!$AY$3:$AY$33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Spurr'!$BC$3:$BC$33</c:f>
              <c:numCache>
                <c:formatCode>General</c:formatCode>
                <c:ptCount val="31"/>
                <c:pt idx="0">
                  <c:v>0.48549868942184887</c:v>
                </c:pt>
                <c:pt idx="1">
                  <c:v>0.52970001061496141</c:v>
                </c:pt>
                <c:pt idx="2">
                  <c:v>0.57605749381749416</c:v>
                </c:pt>
                <c:pt idx="3">
                  <c:v>0.62457113902944694</c:v>
                </c:pt>
                <c:pt idx="4">
                  <c:v>0.67524094625081976</c:v>
                </c:pt>
                <c:pt idx="5">
                  <c:v>0.72806691548161284</c:v>
                </c:pt>
                <c:pt idx="6">
                  <c:v>0.78304904672182607</c:v>
                </c:pt>
                <c:pt idx="7">
                  <c:v>0.84018733997145933</c:v>
                </c:pt>
                <c:pt idx="8">
                  <c:v>0.89948179523051275</c:v>
                </c:pt>
                <c:pt idx="9">
                  <c:v>0.9609324124989862</c:v>
                </c:pt>
                <c:pt idx="10">
                  <c:v>1.02453919177688</c:v>
                </c:pt>
                <c:pt idx="11">
                  <c:v>1.0903021330641938</c:v>
                </c:pt>
                <c:pt idx="12">
                  <c:v>1.1582212363609274</c:v>
                </c:pt>
                <c:pt idx="13">
                  <c:v>1.2282965016670815</c:v>
                </c:pt>
                <c:pt idx="14">
                  <c:v>1.3005279289826557</c:v>
                </c:pt>
                <c:pt idx="15">
                  <c:v>1.37491551830765</c:v>
                </c:pt>
                <c:pt idx="16">
                  <c:v>1.4514592696420643</c:v>
                </c:pt>
                <c:pt idx="17">
                  <c:v>1.5301591829858989</c:v>
                </c:pt>
                <c:pt idx="18">
                  <c:v>1.6110152583391535</c:v>
                </c:pt>
                <c:pt idx="19">
                  <c:v>1.6940274957018284</c:v>
                </c:pt>
                <c:pt idx="20">
                  <c:v>1.7791958950739231</c:v>
                </c:pt>
                <c:pt idx="21">
                  <c:v>1.8665204564554381</c:v>
                </c:pt>
                <c:pt idx="22">
                  <c:v>1.9560011798463735</c:v>
                </c:pt>
                <c:pt idx="23">
                  <c:v>2.047638065246729</c:v>
                </c:pt>
                <c:pt idx="24">
                  <c:v>2.1414311126565044</c:v>
                </c:pt>
                <c:pt idx="25">
                  <c:v>2.2373803220756994</c:v>
                </c:pt>
                <c:pt idx="26">
                  <c:v>2.3354856935043156</c:v>
                </c:pt>
                <c:pt idx="27">
                  <c:v>2.4357472269423512</c:v>
                </c:pt>
                <c:pt idx="28">
                  <c:v>2.5381649223898064</c:v>
                </c:pt>
                <c:pt idx="29">
                  <c:v>2.6427387798466828</c:v>
                </c:pt>
                <c:pt idx="30">
                  <c:v>2.7494687993129787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B-4E1C-B31B-AC89A912AA41}"/>
            </c:ext>
          </c:extLst>
        </c:ser>
        <c:ser>
          <c:idx val="2"/>
          <c:order val="2"/>
          <c:tx>
            <c:v>H Mínima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'Modelo de Spurr'!$AY$3:$AY$33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Spurr'!$BD$3:$BD$33</c:f>
              <c:numCache>
                <c:formatCode>General</c:formatCode>
                <c:ptCount val="31"/>
                <c:pt idx="0">
                  <c:v>0.42892233916895489</c:v>
                </c:pt>
                <c:pt idx="1">
                  <c:v>0.46732458446114583</c:v>
                </c:pt>
                <c:pt idx="2">
                  <c:v>0.50760011001149241</c:v>
                </c:pt>
                <c:pt idx="3">
                  <c:v>0.54974891581999463</c:v>
                </c:pt>
                <c:pt idx="4">
                  <c:v>0.59377100188665244</c:v>
                </c:pt>
                <c:pt idx="5">
                  <c:v>0.63966636821146605</c:v>
                </c:pt>
                <c:pt idx="6">
                  <c:v>0.68743501479443525</c:v>
                </c:pt>
                <c:pt idx="7">
                  <c:v>0.73707694163556003</c:v>
                </c:pt>
                <c:pt idx="8">
                  <c:v>0.78859214873484051</c:v>
                </c:pt>
                <c:pt idx="9">
                  <c:v>0.84198063609227658</c:v>
                </c:pt>
                <c:pt idx="10">
                  <c:v>0.89724240370786856</c:v>
                </c:pt>
                <c:pt idx="11">
                  <c:v>0.95437745158161591</c:v>
                </c:pt>
                <c:pt idx="12">
                  <c:v>1.0133857797135191</c:v>
                </c:pt>
                <c:pt idx="13">
                  <c:v>1.0742673881035778</c:v>
                </c:pt>
                <c:pt idx="14">
                  <c:v>1.1370222767517921</c:v>
                </c:pt>
                <c:pt idx="15">
                  <c:v>1.2016504456581623</c:v>
                </c:pt>
                <c:pt idx="16">
                  <c:v>1.268151894822688</c:v>
                </c:pt>
                <c:pt idx="17">
                  <c:v>1.3365266242453693</c:v>
                </c:pt>
                <c:pt idx="18">
                  <c:v>1.4067746339262064</c:v>
                </c:pt>
                <c:pt idx="19">
                  <c:v>1.4788959238651991</c:v>
                </c:pt>
                <c:pt idx="20">
                  <c:v>1.5528904940623471</c:v>
                </c:pt>
                <c:pt idx="21">
                  <c:v>1.6287583445176512</c:v>
                </c:pt>
                <c:pt idx="22">
                  <c:v>1.7064994752311109</c:v>
                </c:pt>
                <c:pt idx="23">
                  <c:v>1.7861138862027264</c:v>
                </c:pt>
                <c:pt idx="24">
                  <c:v>1.8676015774324974</c:v>
                </c:pt>
                <c:pt idx="25">
                  <c:v>1.9509625489204236</c:v>
                </c:pt>
                <c:pt idx="26">
                  <c:v>2.0361968006665059</c:v>
                </c:pt>
                <c:pt idx="27">
                  <c:v>2.1233043326707444</c:v>
                </c:pt>
                <c:pt idx="28">
                  <c:v>2.2122851449331371</c:v>
                </c:pt>
                <c:pt idx="29">
                  <c:v>2.3031392374536868</c:v>
                </c:pt>
                <c:pt idx="30">
                  <c:v>2.3958666102323916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CB-4E1C-B31B-AC89A912AA41}"/>
            </c:ext>
          </c:extLst>
        </c:ser>
        <c:ser>
          <c:idx val="3"/>
          <c:order val="3"/>
          <c:tx>
            <c:v>H Máxima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'Modelo de Spurr'!$AY$3:$AY$33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Spurr'!$BE$3:$BE$33</c:f>
              <c:numCache>
                <c:formatCode>General</c:formatCode>
                <c:ptCount val="31"/>
                <c:pt idx="0">
                  <c:v>0.52094312378010987</c:v>
                </c:pt>
                <c:pt idx="1">
                  <c:v>0.56877749949494416</c:v>
                </c:pt>
                <c:pt idx="2">
                  <c:v>0.61894525939098988</c:v>
                </c:pt>
                <c:pt idx="3">
                  <c:v>0.67144640346824702</c:v>
                </c:pt>
                <c:pt idx="4">
                  <c:v>0.72628093172671548</c:v>
                </c:pt>
                <c:pt idx="5">
                  <c:v>0.7834488441663956</c:v>
                </c:pt>
                <c:pt idx="6">
                  <c:v>0.84295014078728703</c:v>
                </c:pt>
                <c:pt idx="7">
                  <c:v>0.90478482158938989</c:v>
                </c:pt>
                <c:pt idx="8">
                  <c:v>0.96895288657270418</c:v>
                </c:pt>
                <c:pt idx="9">
                  <c:v>1.0354543357372297</c:v>
                </c:pt>
                <c:pt idx="10">
                  <c:v>1.104289169082967</c:v>
                </c:pt>
                <c:pt idx="11">
                  <c:v>1.1754573866099156</c:v>
                </c:pt>
                <c:pt idx="12">
                  <c:v>1.2489589883180756</c:v>
                </c:pt>
                <c:pt idx="13">
                  <c:v>1.3247939742074468</c:v>
                </c:pt>
                <c:pt idx="14">
                  <c:v>1.4029623442780297</c:v>
                </c:pt>
                <c:pt idx="15">
                  <c:v>1.483464098529824</c:v>
                </c:pt>
                <c:pt idx="16">
                  <c:v>1.5662992369628297</c:v>
                </c:pt>
                <c:pt idx="17">
                  <c:v>1.6514677595770468</c:v>
                </c:pt>
                <c:pt idx="18">
                  <c:v>1.7389696663724754</c:v>
                </c:pt>
                <c:pt idx="19">
                  <c:v>1.8288049573491154</c:v>
                </c:pt>
                <c:pt idx="20">
                  <c:v>1.9209736325069668</c:v>
                </c:pt>
                <c:pt idx="21">
                  <c:v>2.0154756918460297</c:v>
                </c:pt>
                <c:pt idx="22">
                  <c:v>2.112311135366304</c:v>
                </c:pt>
                <c:pt idx="23">
                  <c:v>2.2114799630677897</c:v>
                </c:pt>
                <c:pt idx="24">
                  <c:v>2.3129821749504869</c:v>
                </c:pt>
                <c:pt idx="25">
                  <c:v>2.4168177710143954</c:v>
                </c:pt>
                <c:pt idx="26">
                  <c:v>2.5229867512595154</c:v>
                </c:pt>
                <c:pt idx="27">
                  <c:v>2.6314891156858469</c:v>
                </c:pt>
                <c:pt idx="28">
                  <c:v>2.7423248642933897</c:v>
                </c:pt>
                <c:pt idx="29">
                  <c:v>2.855493997082144</c:v>
                </c:pt>
                <c:pt idx="30">
                  <c:v>2.9709965140521097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CB-4E1C-B31B-AC89A912A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  <c:max val="5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DAP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776766300836871"/>
          <c:y val="0.18033929737656032"/>
          <c:w val="0.1711915493685652"/>
          <c:h val="0.26408635540275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LN(v)</a:t>
            </a:r>
            <a:r>
              <a:rPr lang="pt-BR" baseline="0"/>
              <a:t> em função de LN(DAP)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Schumacher-Hall'!$K$3:$K$102</c:f>
              <c:numCache>
                <c:formatCode>General</c:formatCode>
                <c:ptCount val="100"/>
                <c:pt idx="0">
                  <c:v>3.3178157727231046</c:v>
                </c:pt>
                <c:pt idx="1">
                  <c:v>3.6109179126442243</c:v>
                </c:pt>
                <c:pt idx="2">
                  <c:v>3.3141860046725258</c:v>
                </c:pt>
                <c:pt idx="3">
                  <c:v>3.3843902633457743</c:v>
                </c:pt>
                <c:pt idx="4">
                  <c:v>3.3322045101752038</c:v>
                </c:pt>
                <c:pt idx="5">
                  <c:v>3.2580965380214821</c:v>
                </c:pt>
                <c:pt idx="6">
                  <c:v>3.2921262866077932</c:v>
                </c:pt>
                <c:pt idx="7">
                  <c:v>3.3250360206965914</c:v>
                </c:pt>
                <c:pt idx="8">
                  <c:v>3.3945083935113587</c:v>
                </c:pt>
                <c:pt idx="9">
                  <c:v>3.5234150143864045</c:v>
                </c:pt>
                <c:pt idx="10">
                  <c:v>3.3877743613300146</c:v>
                </c:pt>
                <c:pt idx="11">
                  <c:v>3.3357695763396999</c:v>
                </c:pt>
                <c:pt idx="12">
                  <c:v>3.3843902633457743</c:v>
                </c:pt>
                <c:pt idx="13">
                  <c:v>3.2580965380214821</c:v>
                </c:pt>
                <c:pt idx="14">
                  <c:v>3.3250360206965914</c:v>
                </c:pt>
                <c:pt idx="15">
                  <c:v>3.4499875458315872</c:v>
                </c:pt>
                <c:pt idx="16">
                  <c:v>3.5553480614894135</c:v>
                </c:pt>
                <c:pt idx="17">
                  <c:v>3.3428618046491918</c:v>
                </c:pt>
                <c:pt idx="18">
                  <c:v>3.5234150143864045</c:v>
                </c:pt>
                <c:pt idx="19">
                  <c:v>3.7062280924485496</c:v>
                </c:pt>
                <c:pt idx="20">
                  <c:v>3.4531571205928664</c:v>
                </c:pt>
                <c:pt idx="21">
                  <c:v>3.4499875458315872</c:v>
                </c:pt>
                <c:pt idx="22">
                  <c:v>3.3843902633457743</c:v>
                </c:pt>
                <c:pt idx="23">
                  <c:v>3.6243409329763652</c:v>
                </c:pt>
                <c:pt idx="24">
                  <c:v>3.3499040872746049</c:v>
                </c:pt>
                <c:pt idx="25">
                  <c:v>3.5115454388310208</c:v>
                </c:pt>
                <c:pt idx="26">
                  <c:v>3.1986731175506815</c:v>
                </c:pt>
                <c:pt idx="27">
                  <c:v>3.4011973816621555</c:v>
                </c:pt>
                <c:pt idx="28">
                  <c:v>3.3357695763396999</c:v>
                </c:pt>
                <c:pt idx="29">
                  <c:v>3.3322045101752038</c:v>
                </c:pt>
                <c:pt idx="30">
                  <c:v>3.3843902633457743</c:v>
                </c:pt>
                <c:pt idx="31">
                  <c:v>3.4111477125153233</c:v>
                </c:pt>
                <c:pt idx="32">
                  <c:v>3.1570004211501135</c:v>
                </c:pt>
                <c:pt idx="33">
                  <c:v>3.3945083935113587</c:v>
                </c:pt>
                <c:pt idx="34">
                  <c:v>3.417726683613366</c:v>
                </c:pt>
                <c:pt idx="35">
                  <c:v>3.7773481021015445</c:v>
                </c:pt>
                <c:pt idx="36">
                  <c:v>3.3499040872746049</c:v>
                </c:pt>
                <c:pt idx="37">
                  <c:v>3.2771447329921766</c:v>
                </c:pt>
                <c:pt idx="38">
                  <c:v>3.2771447329921766</c:v>
                </c:pt>
                <c:pt idx="39">
                  <c:v>3.5695326964813701</c:v>
                </c:pt>
                <c:pt idx="40">
                  <c:v>3.4531571205928664</c:v>
                </c:pt>
                <c:pt idx="41">
                  <c:v>3.3357695763396999</c:v>
                </c:pt>
                <c:pt idx="42">
                  <c:v>3.5025498759224432</c:v>
                </c:pt>
                <c:pt idx="43">
                  <c:v>3.5553480614894135</c:v>
                </c:pt>
                <c:pt idx="44">
                  <c:v>3.7750571503549888</c:v>
                </c:pt>
                <c:pt idx="45">
                  <c:v>3.3672958299864741</c:v>
                </c:pt>
                <c:pt idx="46">
                  <c:v>3.3499040872746049</c:v>
                </c:pt>
                <c:pt idx="47">
                  <c:v>3.5263605246161616</c:v>
                </c:pt>
                <c:pt idx="48">
                  <c:v>3.5263605246161616</c:v>
                </c:pt>
                <c:pt idx="49">
                  <c:v>3.5553480614894135</c:v>
                </c:pt>
                <c:pt idx="50">
                  <c:v>3.5695326964813701</c:v>
                </c:pt>
                <c:pt idx="51">
                  <c:v>3.4657359027997265</c:v>
                </c:pt>
                <c:pt idx="52">
                  <c:v>3.5263605246161616</c:v>
                </c:pt>
                <c:pt idx="53">
                  <c:v>3.4339872044851463</c:v>
                </c:pt>
                <c:pt idx="54">
                  <c:v>3.4965075614664802</c:v>
                </c:pt>
                <c:pt idx="55">
                  <c:v>3.5322256440685598</c:v>
                </c:pt>
                <c:pt idx="56">
                  <c:v>3.6375861597263857</c:v>
                </c:pt>
                <c:pt idx="57">
                  <c:v>3.5409593240373143</c:v>
                </c:pt>
                <c:pt idx="58">
                  <c:v>3.5409593240373143</c:v>
                </c:pt>
                <c:pt idx="59">
                  <c:v>3.7495040759303713</c:v>
                </c:pt>
                <c:pt idx="60">
                  <c:v>3.629660094453965</c:v>
                </c:pt>
                <c:pt idx="61">
                  <c:v>3.6109179126442243</c:v>
                </c:pt>
                <c:pt idx="62">
                  <c:v>3.2386784521643803</c:v>
                </c:pt>
                <c:pt idx="63">
                  <c:v>3.4812400893356918</c:v>
                </c:pt>
                <c:pt idx="64">
                  <c:v>3.3672958299864741</c:v>
                </c:pt>
                <c:pt idx="65">
                  <c:v>3.6375861597263857</c:v>
                </c:pt>
                <c:pt idx="66">
                  <c:v>3.3499040872746049</c:v>
                </c:pt>
                <c:pt idx="67">
                  <c:v>3.4339872044851463</c:v>
                </c:pt>
                <c:pt idx="68">
                  <c:v>3.597312260588446</c:v>
                </c:pt>
                <c:pt idx="69">
                  <c:v>3.6888794541139363</c:v>
                </c:pt>
                <c:pt idx="70">
                  <c:v>3.3843902633457743</c:v>
                </c:pt>
                <c:pt idx="71">
                  <c:v>3.4339872044851463</c:v>
                </c:pt>
                <c:pt idx="72">
                  <c:v>3.2771447329921766</c:v>
                </c:pt>
                <c:pt idx="73">
                  <c:v>3.4657359027997265</c:v>
                </c:pt>
                <c:pt idx="74">
                  <c:v>3.4812400893356918</c:v>
                </c:pt>
                <c:pt idx="75">
                  <c:v>3.4657359027997265</c:v>
                </c:pt>
                <c:pt idx="76">
                  <c:v>3.5322256440685598</c:v>
                </c:pt>
                <c:pt idx="77">
                  <c:v>3.5695326964813701</c:v>
                </c:pt>
                <c:pt idx="78">
                  <c:v>3.7111300630487558</c:v>
                </c:pt>
                <c:pt idx="79">
                  <c:v>3.4657359027997265</c:v>
                </c:pt>
                <c:pt idx="80">
                  <c:v>3.6888794541139363</c:v>
                </c:pt>
                <c:pt idx="81">
                  <c:v>3.4210000089583352</c:v>
                </c:pt>
                <c:pt idx="82">
                  <c:v>3.6000482404073204</c:v>
                </c:pt>
                <c:pt idx="83">
                  <c:v>3.4688560301359703</c:v>
                </c:pt>
                <c:pt idx="84">
                  <c:v>3.572345637857985</c:v>
                </c:pt>
                <c:pt idx="85">
                  <c:v>3.5467396869528134</c:v>
                </c:pt>
                <c:pt idx="86">
                  <c:v>3.2958368660043291</c:v>
                </c:pt>
                <c:pt idx="87">
                  <c:v>3.505557396986398</c:v>
                </c:pt>
                <c:pt idx="88">
                  <c:v>3.3428618046491918</c:v>
                </c:pt>
                <c:pt idx="89">
                  <c:v>3.2268439945173775</c:v>
                </c:pt>
                <c:pt idx="90">
                  <c:v>3.713572066704308</c:v>
                </c:pt>
                <c:pt idx="91">
                  <c:v>3.3499040872746049</c:v>
                </c:pt>
                <c:pt idx="92">
                  <c:v>3.572345637857985</c:v>
                </c:pt>
                <c:pt idx="93">
                  <c:v>3.6506582412937387</c:v>
                </c:pt>
                <c:pt idx="94">
                  <c:v>3.2771447329921766</c:v>
                </c:pt>
                <c:pt idx="95">
                  <c:v>3.3843902633457743</c:v>
                </c:pt>
                <c:pt idx="96">
                  <c:v>3.3499040872746049</c:v>
                </c:pt>
                <c:pt idx="97">
                  <c:v>3.6661224669913199</c:v>
                </c:pt>
                <c:pt idx="98">
                  <c:v>3.6243409329763652</c:v>
                </c:pt>
                <c:pt idx="99">
                  <c:v>3.5695326964813701</c:v>
                </c:pt>
              </c:numCache>
            </c:numRef>
          </c:xVal>
          <c:yVal>
            <c:numRef>
              <c:f>'Modelo de Schumacher-Hall'!$M$3:$M$102</c:f>
              <c:numCache>
                <c:formatCode>0.000</c:formatCode>
                <c:ptCount val="100"/>
                <c:pt idx="0">
                  <c:v>-0.25660055263665121</c:v>
                </c:pt>
                <c:pt idx="1">
                  <c:v>0.30233508579286078</c:v>
                </c:pt>
                <c:pt idx="2">
                  <c:v>-0.33855280237666874</c:v>
                </c:pt>
                <c:pt idx="3">
                  <c:v>-5.8988159263753323E-2</c:v>
                </c:pt>
                <c:pt idx="4">
                  <c:v>-0.16198803012658902</c:v>
                </c:pt>
                <c:pt idx="5">
                  <c:v>-0.28218937116040121</c:v>
                </c:pt>
                <c:pt idx="6">
                  <c:v>-0.42433525294903957</c:v>
                </c:pt>
                <c:pt idx="7">
                  <c:v>-0.26726507445870384</c:v>
                </c:pt>
                <c:pt idx="8">
                  <c:v>8.9064903625320074E-2</c:v>
                </c:pt>
                <c:pt idx="9">
                  <c:v>0.23376031520217191</c:v>
                </c:pt>
                <c:pt idx="10">
                  <c:v>-6.0971661892733453E-2</c:v>
                </c:pt>
                <c:pt idx="11">
                  <c:v>-0.15233974400206787</c:v>
                </c:pt>
                <c:pt idx="12">
                  <c:v>-1.5136802591157413E-2</c:v>
                </c:pt>
                <c:pt idx="13">
                  <c:v>-0.44467299165674357</c:v>
                </c:pt>
                <c:pt idx="14">
                  <c:v>-0.39973452194117282</c:v>
                </c:pt>
                <c:pt idx="15">
                  <c:v>-9.303928890234954E-2</c:v>
                </c:pt>
                <c:pt idx="16">
                  <c:v>0.32839522941934346</c:v>
                </c:pt>
                <c:pt idx="17">
                  <c:v>-0.23594504389167217</c:v>
                </c:pt>
                <c:pt idx="18">
                  <c:v>0.32722462318698109</c:v>
                </c:pt>
                <c:pt idx="19">
                  <c:v>0.49508570270754548</c:v>
                </c:pt>
                <c:pt idx="20">
                  <c:v>7.7713534219086181E-2</c:v>
                </c:pt>
                <c:pt idx="21">
                  <c:v>0.1516818870757366</c:v>
                </c:pt>
                <c:pt idx="22">
                  <c:v>-1.6365078655148045E-2</c:v>
                </c:pt>
                <c:pt idx="23">
                  <c:v>0.63701048831922591</c:v>
                </c:pt>
                <c:pt idx="24">
                  <c:v>-1.7102793072621577E-2</c:v>
                </c:pt>
                <c:pt idx="25">
                  <c:v>0.13671017795728019</c:v>
                </c:pt>
                <c:pt idx="26">
                  <c:v>-0.34636283415323471</c:v>
                </c:pt>
                <c:pt idx="27">
                  <c:v>3.1853382772976335E-2</c:v>
                </c:pt>
                <c:pt idx="28">
                  <c:v>-2.5317329589750637E-2</c:v>
                </c:pt>
                <c:pt idx="29">
                  <c:v>-3.5316561444605453E-2</c:v>
                </c:pt>
                <c:pt idx="30">
                  <c:v>-5.884285962186301E-2</c:v>
                </c:pt>
                <c:pt idx="31">
                  <c:v>6.1585114980931598E-3</c:v>
                </c:pt>
                <c:pt idx="32">
                  <c:v>-0.4997707478465791</c:v>
                </c:pt>
                <c:pt idx="33">
                  <c:v>0.1324974748171695</c:v>
                </c:pt>
                <c:pt idx="34">
                  <c:v>-3.6625750815704794E-2</c:v>
                </c:pt>
                <c:pt idx="35">
                  <c:v>0.76813453803624221</c:v>
                </c:pt>
                <c:pt idx="36">
                  <c:v>-3.6610230953794835E-2</c:v>
                </c:pt>
                <c:pt idx="37">
                  <c:v>-0.10927091719714503</c:v>
                </c:pt>
                <c:pt idx="38">
                  <c:v>-0.1963165775254708</c:v>
                </c:pt>
                <c:pt idx="39">
                  <c:v>0.38869226531972978</c:v>
                </c:pt>
                <c:pt idx="40">
                  <c:v>4.7061938650494531E-2</c:v>
                </c:pt>
                <c:pt idx="41">
                  <c:v>-0.11703319366353297</c:v>
                </c:pt>
                <c:pt idx="42">
                  <c:v>8.6909191239455993E-2</c:v>
                </c:pt>
                <c:pt idx="43">
                  <c:v>0.31074416609185507</c:v>
                </c:pt>
                <c:pt idx="44">
                  <c:v>0.70612927955439975</c:v>
                </c:pt>
                <c:pt idx="45">
                  <c:v>9.2938526059978988E-2</c:v>
                </c:pt>
                <c:pt idx="46">
                  <c:v>-1.4476393854271592E-2</c:v>
                </c:pt>
                <c:pt idx="47">
                  <c:v>0.38119792805098318</c:v>
                </c:pt>
                <c:pt idx="48">
                  <c:v>0.32277122300939509</c:v>
                </c:pt>
                <c:pt idx="49">
                  <c:v>0.35062614463711078</c:v>
                </c:pt>
                <c:pt idx="50">
                  <c:v>0.3890123349607002</c:v>
                </c:pt>
                <c:pt idx="51">
                  <c:v>0.24144798354223215</c:v>
                </c:pt>
                <c:pt idx="52">
                  <c:v>0.2207298783101283</c:v>
                </c:pt>
                <c:pt idx="53">
                  <c:v>0.1531613054752711</c:v>
                </c:pt>
                <c:pt idx="54">
                  <c:v>0.2256892827927624</c:v>
                </c:pt>
                <c:pt idx="55">
                  <c:v>0.45912109509650484</c:v>
                </c:pt>
                <c:pt idx="56">
                  <c:v>0.44112002854287513</c:v>
                </c:pt>
                <c:pt idx="57">
                  <c:v>0.36655670159586745</c:v>
                </c:pt>
                <c:pt idx="58">
                  <c:v>0.39383086246417409</c:v>
                </c:pt>
                <c:pt idx="59">
                  <c:v>0.77701694315402026</c:v>
                </c:pt>
                <c:pt idx="60">
                  <c:v>0.40363854191041659</c:v>
                </c:pt>
                <c:pt idx="61">
                  <c:v>0.33484653710105755</c:v>
                </c:pt>
                <c:pt idx="62">
                  <c:v>-0.2710388585754136</c:v>
                </c:pt>
                <c:pt idx="63">
                  <c:v>0.17964080383480807</c:v>
                </c:pt>
                <c:pt idx="64">
                  <c:v>6.9803581340002932E-2</c:v>
                </c:pt>
                <c:pt idx="65">
                  <c:v>0.4488179619062278</c:v>
                </c:pt>
                <c:pt idx="66">
                  <c:v>2.5267550282667542E-2</c:v>
                </c:pt>
                <c:pt idx="67">
                  <c:v>0.11685909393157062</c:v>
                </c:pt>
                <c:pt idx="68">
                  <c:v>0.31184431763688142</c:v>
                </c:pt>
                <c:pt idx="69">
                  <c:v>0.70304288961409911</c:v>
                </c:pt>
                <c:pt idx="70">
                  <c:v>7.3245975455404049E-3</c:v>
                </c:pt>
                <c:pt idx="71">
                  <c:v>0.23852208742243911</c:v>
                </c:pt>
                <c:pt idx="72">
                  <c:v>-0.37252437701353791</c:v>
                </c:pt>
                <c:pt idx="73">
                  <c:v>0.21380555109919466</c:v>
                </c:pt>
                <c:pt idx="74">
                  <c:v>0.13689790760170864</c:v>
                </c:pt>
                <c:pt idx="75">
                  <c:v>9.2171175073738398E-2</c:v>
                </c:pt>
                <c:pt idx="76">
                  <c:v>0.16004149593861738</c:v>
                </c:pt>
                <c:pt idx="77">
                  <c:v>0.27387327626403563</c:v>
                </c:pt>
                <c:pt idx="78">
                  <c:v>0.58004027594651186</c:v>
                </c:pt>
                <c:pt idx="79">
                  <c:v>0.25456742251014008</c:v>
                </c:pt>
                <c:pt idx="80">
                  <c:v>0.71407801886194455</c:v>
                </c:pt>
                <c:pt idx="81">
                  <c:v>6.248864480766704E-2</c:v>
                </c:pt>
                <c:pt idx="82">
                  <c:v>0.43447194765898361</c:v>
                </c:pt>
                <c:pt idx="83">
                  <c:v>0.13893798684712078</c:v>
                </c:pt>
                <c:pt idx="84">
                  <c:v>0.32820221746120803</c:v>
                </c:pt>
                <c:pt idx="85">
                  <c:v>0.38193282337555556</c:v>
                </c:pt>
                <c:pt idx="86">
                  <c:v>-0.15080047734524341</c:v>
                </c:pt>
                <c:pt idx="87">
                  <c:v>0.23656644414860364</c:v>
                </c:pt>
                <c:pt idx="88">
                  <c:v>-0.12595206037442658</c:v>
                </c:pt>
                <c:pt idx="89">
                  <c:v>-0.33899220550303755</c:v>
                </c:pt>
                <c:pt idx="90">
                  <c:v>0.6025043774782245</c:v>
                </c:pt>
                <c:pt idx="91">
                  <c:v>-8.8285789805547771E-2</c:v>
                </c:pt>
                <c:pt idx="92">
                  <c:v>0.34950486058168079</c:v>
                </c:pt>
                <c:pt idx="93">
                  <c:v>0.56824655192442364</c:v>
                </c:pt>
                <c:pt idx="94">
                  <c:v>-0.22126806467659352</c:v>
                </c:pt>
                <c:pt idx="95">
                  <c:v>-1.7537554242220255E-2</c:v>
                </c:pt>
                <c:pt idx="96">
                  <c:v>-5.6449725851418386E-2</c:v>
                </c:pt>
                <c:pt idx="97">
                  <c:v>0.60485244005567551</c:v>
                </c:pt>
                <c:pt idx="98">
                  <c:v>0.4803778017424753</c:v>
                </c:pt>
                <c:pt idx="99">
                  <c:v>0.32466684834038395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8-48D5-8ACD-049CF1E6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Log do Diâmetro</a:t>
                </a:r>
              </a:p>
            </c:rich>
          </c:tx>
          <c:layout>
            <c:manualLayout>
              <c:xMode val="edge"/>
              <c:yMode val="edge"/>
              <c:x val="0.51824190726159225"/>
              <c:y val="0.855532225138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Log do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LN(v) em função de LN(h)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Schumacher-Hall'!$L$3:$L$102</c:f>
              <c:numCache>
                <c:formatCode>General</c:formatCode>
                <c:ptCount val="100"/>
                <c:pt idx="0">
                  <c:v>3.2958368660043291</c:v>
                </c:pt>
                <c:pt idx="1">
                  <c:v>3.3304171996011083</c:v>
                </c:pt>
                <c:pt idx="2">
                  <c:v>3.2714682749873711</c:v>
                </c:pt>
                <c:pt idx="3">
                  <c:v>3.3013770463799443</c:v>
                </c:pt>
                <c:pt idx="4">
                  <c:v>3.2657594107670511</c:v>
                </c:pt>
                <c:pt idx="5">
                  <c:v>3.2995337278856551</c:v>
                </c:pt>
                <c:pt idx="6">
                  <c:v>3.2347491740244911</c:v>
                </c:pt>
                <c:pt idx="7">
                  <c:v>3.2386784521643803</c:v>
                </c:pt>
                <c:pt idx="8">
                  <c:v>3.2958368660043291</c:v>
                </c:pt>
                <c:pt idx="9">
                  <c:v>3.2846635654062037</c:v>
                </c:pt>
                <c:pt idx="10">
                  <c:v>3.2827891506118534</c:v>
                </c:pt>
                <c:pt idx="11">
                  <c:v>3.2484346271097451</c:v>
                </c:pt>
                <c:pt idx="12">
                  <c:v>3.3214324131932926</c:v>
                </c:pt>
                <c:pt idx="13">
                  <c:v>3.1612467120315646</c:v>
                </c:pt>
                <c:pt idx="14">
                  <c:v>3.2088254890146994</c:v>
                </c:pt>
                <c:pt idx="15">
                  <c:v>3.1925318495285988</c:v>
                </c:pt>
                <c:pt idx="16">
                  <c:v>3.2939832973550063</c:v>
                </c:pt>
                <c:pt idx="17">
                  <c:v>3.2228678461377385</c:v>
                </c:pt>
                <c:pt idx="18">
                  <c:v>3.3304171996011083</c:v>
                </c:pt>
                <c:pt idx="19">
                  <c:v>3.3214324131932926</c:v>
                </c:pt>
                <c:pt idx="20">
                  <c:v>3.3068867021909143</c:v>
                </c:pt>
                <c:pt idx="21">
                  <c:v>3.3087165288679903</c:v>
                </c:pt>
                <c:pt idx="22">
                  <c:v>3.2068032436339315</c:v>
                </c:pt>
                <c:pt idx="23">
                  <c:v>3.2771447329921766</c:v>
                </c:pt>
                <c:pt idx="24">
                  <c:v>3.2995337278856551</c:v>
                </c:pt>
                <c:pt idx="25">
                  <c:v>3.3141860046725258</c:v>
                </c:pt>
                <c:pt idx="26">
                  <c:v>3.2484346271097451</c:v>
                </c:pt>
                <c:pt idx="27">
                  <c:v>3.3214324131932926</c:v>
                </c:pt>
                <c:pt idx="28">
                  <c:v>3.2921262866077932</c:v>
                </c:pt>
                <c:pt idx="29">
                  <c:v>3.2464909919011742</c:v>
                </c:pt>
                <c:pt idx="30">
                  <c:v>3.2406373166497136</c:v>
                </c:pt>
                <c:pt idx="31">
                  <c:v>3.2464909919011742</c:v>
                </c:pt>
                <c:pt idx="32">
                  <c:v>3.2308043957334744</c:v>
                </c:pt>
                <c:pt idx="33">
                  <c:v>3.2921262866077932</c:v>
                </c:pt>
                <c:pt idx="34">
                  <c:v>3.2733640101522705</c:v>
                </c:pt>
                <c:pt idx="35">
                  <c:v>3.3178157727231041</c:v>
                </c:pt>
                <c:pt idx="36">
                  <c:v>3.3068867021909143</c:v>
                </c:pt>
                <c:pt idx="37">
                  <c:v>3.3013770463799443</c:v>
                </c:pt>
                <c:pt idx="38">
                  <c:v>3.3178157727231041</c:v>
                </c:pt>
                <c:pt idx="39">
                  <c:v>3.3286266888273199</c:v>
                </c:pt>
                <c:pt idx="40">
                  <c:v>3.1738784589374651</c:v>
                </c:pt>
                <c:pt idx="41">
                  <c:v>3.2445435716167785</c:v>
                </c:pt>
                <c:pt idx="42">
                  <c:v>3.2809112157876532</c:v>
                </c:pt>
                <c:pt idx="43">
                  <c:v>3.202746442938317</c:v>
                </c:pt>
                <c:pt idx="44">
                  <c:v>3.2902658209548736</c:v>
                </c:pt>
                <c:pt idx="45">
                  <c:v>3.1945831322991562</c:v>
                </c:pt>
                <c:pt idx="46">
                  <c:v>3.2846635654062037</c:v>
                </c:pt>
                <c:pt idx="47">
                  <c:v>3.2128577525426376</c:v>
                </c:pt>
                <c:pt idx="48">
                  <c:v>3.3463891451671604</c:v>
                </c:pt>
                <c:pt idx="49">
                  <c:v>3.3446270301737608</c:v>
                </c:pt>
                <c:pt idx="50">
                  <c:v>3.3250360206965914</c:v>
                </c:pt>
                <c:pt idx="51">
                  <c:v>3.2327787300371922</c:v>
                </c:pt>
                <c:pt idx="52">
                  <c:v>3.2939832973550063</c:v>
                </c:pt>
                <c:pt idx="53">
                  <c:v>3.2208738275308737</c:v>
                </c:pt>
                <c:pt idx="54">
                  <c:v>3.2939832973550063</c:v>
                </c:pt>
                <c:pt idx="55">
                  <c:v>3.2268439945173779</c:v>
                </c:pt>
                <c:pt idx="56">
                  <c:v>3.2939832973550063</c:v>
                </c:pt>
                <c:pt idx="57">
                  <c:v>3.2386784521643803</c:v>
                </c:pt>
                <c:pt idx="58">
                  <c:v>3.2695689391837188</c:v>
                </c:pt>
                <c:pt idx="59">
                  <c:v>3.2108436531709366</c:v>
                </c:pt>
                <c:pt idx="60">
                  <c:v>3.2921262866077932</c:v>
                </c:pt>
                <c:pt idx="61">
                  <c:v>3.2733640101522705</c:v>
                </c:pt>
                <c:pt idx="62">
                  <c:v>3.2386784521643803</c:v>
                </c:pt>
                <c:pt idx="63">
                  <c:v>3.2958368660043291</c:v>
                </c:pt>
                <c:pt idx="64">
                  <c:v>3.3160025355989236</c:v>
                </c:pt>
                <c:pt idx="65">
                  <c:v>3.2714682749873711</c:v>
                </c:pt>
                <c:pt idx="66">
                  <c:v>3.2425923514855168</c:v>
                </c:pt>
                <c:pt idx="67">
                  <c:v>3.2902658209548736</c:v>
                </c:pt>
                <c:pt idx="68">
                  <c:v>3.2733640101522705</c:v>
                </c:pt>
                <c:pt idx="69">
                  <c:v>3.2068032436339315</c:v>
                </c:pt>
                <c:pt idx="70">
                  <c:v>3.1863526331626408</c:v>
                </c:pt>
                <c:pt idx="71">
                  <c:v>3.3286266888273199</c:v>
                </c:pt>
                <c:pt idx="72">
                  <c:v>3.1267605359603952</c:v>
                </c:pt>
                <c:pt idx="73">
                  <c:v>3.2580965380214821</c:v>
                </c:pt>
                <c:pt idx="74">
                  <c:v>3.1822118404966093</c:v>
                </c:pt>
                <c:pt idx="75">
                  <c:v>3.2464909919011742</c:v>
                </c:pt>
                <c:pt idx="76">
                  <c:v>3.2406373166497136</c:v>
                </c:pt>
                <c:pt idx="77">
                  <c:v>3.2386784521643803</c:v>
                </c:pt>
                <c:pt idx="78">
                  <c:v>3.2268439945173779</c:v>
                </c:pt>
                <c:pt idx="79">
                  <c:v>3.3141860046725258</c:v>
                </c:pt>
                <c:pt idx="80">
                  <c:v>3.2600177681993761</c:v>
                </c:pt>
                <c:pt idx="81">
                  <c:v>3.2268439945173779</c:v>
                </c:pt>
                <c:pt idx="82">
                  <c:v>3.2619353143286478</c:v>
                </c:pt>
                <c:pt idx="83">
                  <c:v>3.3141860046725258</c:v>
                </c:pt>
                <c:pt idx="84">
                  <c:v>3.3013770463799443</c:v>
                </c:pt>
                <c:pt idx="85">
                  <c:v>3.2846635654062037</c:v>
                </c:pt>
                <c:pt idx="86">
                  <c:v>3.2386784521643803</c:v>
                </c:pt>
                <c:pt idx="87">
                  <c:v>3.3250360206965914</c:v>
                </c:pt>
                <c:pt idx="88">
                  <c:v>3.2386784521643803</c:v>
                </c:pt>
                <c:pt idx="89">
                  <c:v>3.2327787300371922</c:v>
                </c:pt>
                <c:pt idx="90">
                  <c:v>3.2771447329921766</c:v>
                </c:pt>
                <c:pt idx="91">
                  <c:v>3.3160025355989236</c:v>
                </c:pt>
                <c:pt idx="92">
                  <c:v>3.2580965380214821</c:v>
                </c:pt>
                <c:pt idx="93">
                  <c:v>3.2995337278856551</c:v>
                </c:pt>
                <c:pt idx="94">
                  <c:v>3.1570004211501135</c:v>
                </c:pt>
                <c:pt idx="95">
                  <c:v>3.2484346271097451</c:v>
                </c:pt>
                <c:pt idx="96">
                  <c:v>3.2464909919011742</c:v>
                </c:pt>
                <c:pt idx="97">
                  <c:v>3.3286266888273199</c:v>
                </c:pt>
                <c:pt idx="98">
                  <c:v>3.1863526331626408</c:v>
                </c:pt>
                <c:pt idx="99">
                  <c:v>3.3196257279683437</c:v>
                </c:pt>
              </c:numCache>
            </c:numRef>
          </c:xVal>
          <c:yVal>
            <c:numRef>
              <c:f>'Modelo de Schumacher-Hall'!$M$3:$M$102</c:f>
              <c:numCache>
                <c:formatCode>0.000</c:formatCode>
                <c:ptCount val="100"/>
                <c:pt idx="0">
                  <c:v>-0.25660055263665121</c:v>
                </c:pt>
                <c:pt idx="1">
                  <c:v>0.30233508579286078</c:v>
                </c:pt>
                <c:pt idx="2">
                  <c:v>-0.33855280237666874</c:v>
                </c:pt>
                <c:pt idx="3">
                  <c:v>-5.8988159263753323E-2</c:v>
                </c:pt>
                <c:pt idx="4">
                  <c:v>-0.16198803012658902</c:v>
                </c:pt>
                <c:pt idx="5">
                  <c:v>-0.28218937116040121</c:v>
                </c:pt>
                <c:pt idx="6">
                  <c:v>-0.42433525294903957</c:v>
                </c:pt>
                <c:pt idx="7">
                  <c:v>-0.26726507445870384</c:v>
                </c:pt>
                <c:pt idx="8">
                  <c:v>8.9064903625320074E-2</c:v>
                </c:pt>
                <c:pt idx="9">
                  <c:v>0.23376031520217191</c:v>
                </c:pt>
                <c:pt idx="10">
                  <c:v>-6.0971661892733453E-2</c:v>
                </c:pt>
                <c:pt idx="11">
                  <c:v>-0.15233974400206787</c:v>
                </c:pt>
                <c:pt idx="12">
                  <c:v>-1.5136802591157413E-2</c:v>
                </c:pt>
                <c:pt idx="13">
                  <c:v>-0.44467299165674357</c:v>
                </c:pt>
                <c:pt idx="14">
                  <c:v>-0.39973452194117282</c:v>
                </c:pt>
                <c:pt idx="15">
                  <c:v>-9.303928890234954E-2</c:v>
                </c:pt>
                <c:pt idx="16">
                  <c:v>0.32839522941934346</c:v>
                </c:pt>
                <c:pt idx="17">
                  <c:v>-0.23594504389167217</c:v>
                </c:pt>
                <c:pt idx="18">
                  <c:v>0.32722462318698109</c:v>
                </c:pt>
                <c:pt idx="19">
                  <c:v>0.49508570270754548</c:v>
                </c:pt>
                <c:pt idx="20">
                  <c:v>7.7713534219086181E-2</c:v>
                </c:pt>
                <c:pt idx="21">
                  <c:v>0.1516818870757366</c:v>
                </c:pt>
                <c:pt idx="22">
                  <c:v>-1.6365078655148045E-2</c:v>
                </c:pt>
                <c:pt idx="23">
                  <c:v>0.63701048831922591</c:v>
                </c:pt>
                <c:pt idx="24">
                  <c:v>-1.7102793072621577E-2</c:v>
                </c:pt>
                <c:pt idx="25">
                  <c:v>0.13671017795728019</c:v>
                </c:pt>
                <c:pt idx="26">
                  <c:v>-0.34636283415323471</c:v>
                </c:pt>
                <c:pt idx="27">
                  <c:v>3.1853382772976335E-2</c:v>
                </c:pt>
                <c:pt idx="28">
                  <c:v>-2.5317329589750637E-2</c:v>
                </c:pt>
                <c:pt idx="29">
                  <c:v>-3.5316561444605453E-2</c:v>
                </c:pt>
                <c:pt idx="30">
                  <c:v>-5.884285962186301E-2</c:v>
                </c:pt>
                <c:pt idx="31">
                  <c:v>6.1585114980931598E-3</c:v>
                </c:pt>
                <c:pt idx="32">
                  <c:v>-0.4997707478465791</c:v>
                </c:pt>
                <c:pt idx="33">
                  <c:v>0.1324974748171695</c:v>
                </c:pt>
                <c:pt idx="34">
                  <c:v>-3.6625750815704794E-2</c:v>
                </c:pt>
                <c:pt idx="35">
                  <c:v>0.76813453803624221</c:v>
                </c:pt>
                <c:pt idx="36">
                  <c:v>-3.6610230953794835E-2</c:v>
                </c:pt>
                <c:pt idx="37">
                  <c:v>-0.10927091719714503</c:v>
                </c:pt>
                <c:pt idx="38">
                  <c:v>-0.1963165775254708</c:v>
                </c:pt>
                <c:pt idx="39">
                  <c:v>0.38869226531972978</c:v>
                </c:pt>
                <c:pt idx="40">
                  <c:v>4.7061938650494531E-2</c:v>
                </c:pt>
                <c:pt idx="41">
                  <c:v>-0.11703319366353297</c:v>
                </c:pt>
                <c:pt idx="42">
                  <c:v>8.6909191239455993E-2</c:v>
                </c:pt>
                <c:pt idx="43">
                  <c:v>0.31074416609185507</c:v>
                </c:pt>
                <c:pt idx="44">
                  <c:v>0.70612927955439975</c:v>
                </c:pt>
                <c:pt idx="45">
                  <c:v>9.2938526059978988E-2</c:v>
                </c:pt>
                <c:pt idx="46">
                  <c:v>-1.4476393854271592E-2</c:v>
                </c:pt>
                <c:pt idx="47">
                  <c:v>0.38119792805098318</c:v>
                </c:pt>
                <c:pt idx="48">
                  <c:v>0.32277122300939509</c:v>
                </c:pt>
                <c:pt idx="49">
                  <c:v>0.35062614463711078</c:v>
                </c:pt>
                <c:pt idx="50">
                  <c:v>0.3890123349607002</c:v>
                </c:pt>
                <c:pt idx="51">
                  <c:v>0.24144798354223215</c:v>
                </c:pt>
                <c:pt idx="52">
                  <c:v>0.2207298783101283</c:v>
                </c:pt>
                <c:pt idx="53">
                  <c:v>0.1531613054752711</c:v>
                </c:pt>
                <c:pt idx="54">
                  <c:v>0.2256892827927624</c:v>
                </c:pt>
                <c:pt idx="55">
                  <c:v>0.45912109509650484</c:v>
                </c:pt>
                <c:pt idx="56">
                  <c:v>0.44112002854287513</c:v>
                </c:pt>
                <c:pt idx="57">
                  <c:v>0.36655670159586745</c:v>
                </c:pt>
                <c:pt idx="58">
                  <c:v>0.39383086246417409</c:v>
                </c:pt>
                <c:pt idx="59">
                  <c:v>0.77701694315402026</c:v>
                </c:pt>
                <c:pt idx="60">
                  <c:v>0.40363854191041659</c:v>
                </c:pt>
                <c:pt idx="61">
                  <c:v>0.33484653710105755</c:v>
                </c:pt>
                <c:pt idx="62">
                  <c:v>-0.2710388585754136</c:v>
                </c:pt>
                <c:pt idx="63">
                  <c:v>0.17964080383480807</c:v>
                </c:pt>
                <c:pt idx="64">
                  <c:v>6.9803581340002932E-2</c:v>
                </c:pt>
                <c:pt idx="65">
                  <c:v>0.4488179619062278</c:v>
                </c:pt>
                <c:pt idx="66">
                  <c:v>2.5267550282667542E-2</c:v>
                </c:pt>
                <c:pt idx="67">
                  <c:v>0.11685909393157062</c:v>
                </c:pt>
                <c:pt idx="68">
                  <c:v>0.31184431763688142</c:v>
                </c:pt>
                <c:pt idx="69">
                  <c:v>0.70304288961409911</c:v>
                </c:pt>
                <c:pt idx="70">
                  <c:v>7.3245975455404049E-3</c:v>
                </c:pt>
                <c:pt idx="71">
                  <c:v>0.23852208742243911</c:v>
                </c:pt>
                <c:pt idx="72">
                  <c:v>-0.37252437701353791</c:v>
                </c:pt>
                <c:pt idx="73">
                  <c:v>0.21380555109919466</c:v>
                </c:pt>
                <c:pt idx="74">
                  <c:v>0.13689790760170864</c:v>
                </c:pt>
                <c:pt idx="75">
                  <c:v>9.2171175073738398E-2</c:v>
                </c:pt>
                <c:pt idx="76">
                  <c:v>0.16004149593861738</c:v>
                </c:pt>
                <c:pt idx="77">
                  <c:v>0.27387327626403563</c:v>
                </c:pt>
                <c:pt idx="78">
                  <c:v>0.58004027594651186</c:v>
                </c:pt>
                <c:pt idx="79">
                  <c:v>0.25456742251014008</c:v>
                </c:pt>
                <c:pt idx="80">
                  <c:v>0.71407801886194455</c:v>
                </c:pt>
                <c:pt idx="81">
                  <c:v>6.248864480766704E-2</c:v>
                </c:pt>
                <c:pt idx="82">
                  <c:v>0.43447194765898361</c:v>
                </c:pt>
                <c:pt idx="83">
                  <c:v>0.13893798684712078</c:v>
                </c:pt>
                <c:pt idx="84">
                  <c:v>0.32820221746120803</c:v>
                </c:pt>
                <c:pt idx="85">
                  <c:v>0.38193282337555556</c:v>
                </c:pt>
                <c:pt idx="86">
                  <c:v>-0.15080047734524341</c:v>
                </c:pt>
                <c:pt idx="87">
                  <c:v>0.23656644414860364</c:v>
                </c:pt>
                <c:pt idx="88">
                  <c:v>-0.12595206037442658</c:v>
                </c:pt>
                <c:pt idx="89">
                  <c:v>-0.33899220550303755</c:v>
                </c:pt>
                <c:pt idx="90">
                  <c:v>0.6025043774782245</c:v>
                </c:pt>
                <c:pt idx="91">
                  <c:v>-8.8285789805547771E-2</c:v>
                </c:pt>
                <c:pt idx="92">
                  <c:v>0.34950486058168079</c:v>
                </c:pt>
                <c:pt idx="93">
                  <c:v>0.56824655192442364</c:v>
                </c:pt>
                <c:pt idx="94">
                  <c:v>-0.22126806467659352</c:v>
                </c:pt>
                <c:pt idx="95">
                  <c:v>-1.7537554242220255E-2</c:v>
                </c:pt>
                <c:pt idx="96">
                  <c:v>-5.6449725851418386E-2</c:v>
                </c:pt>
                <c:pt idx="97">
                  <c:v>0.60485244005567551</c:v>
                </c:pt>
                <c:pt idx="98">
                  <c:v>0.4803778017424753</c:v>
                </c:pt>
                <c:pt idx="99">
                  <c:v>0.32466684834038395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8-4760-B0FA-D42EC794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Altura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 dos Resíduos</a:t>
            </a:r>
            <a:r>
              <a:rPr lang="pt-BR" baseline="0"/>
              <a:t> Ordinários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Schumacher-Hall'!$AB$3:$AB$102</c:f>
              <c:numCache>
                <c:formatCode>General</c:formatCode>
                <c:ptCount val="100"/>
                <c:pt idx="0">
                  <c:v>-0.14444323816355276</c:v>
                </c:pt>
                <c:pt idx="1">
                  <c:v>0.45861826497232383</c:v>
                </c:pt>
                <c:pt idx="2">
                  <c:v>-0.16041207796559753</c:v>
                </c:pt>
                <c:pt idx="3">
                  <c:v>-8.2870957222132002E-3</c:v>
                </c:pt>
                <c:pt idx="4">
                  <c:v>-0.12612064639736853</c:v>
                </c:pt>
                <c:pt idx="5">
                  <c:v>-0.26350196501441991</c:v>
                </c:pt>
                <c:pt idx="6">
                  <c:v>-0.21791404137508019</c:v>
                </c:pt>
                <c:pt idx="7">
                  <c:v>-0.15018529489912025</c:v>
                </c:pt>
                <c:pt idx="8">
                  <c:v>1.0140063676850275E-2</c:v>
                </c:pt>
                <c:pt idx="9">
                  <c:v>0.26599970646912197</c:v>
                </c:pt>
                <c:pt idx="10">
                  <c:v>-8.0660735307491738E-3</c:v>
                </c:pt>
                <c:pt idx="11">
                  <c:v>-0.1250863652673162</c:v>
                </c:pt>
                <c:pt idx="12">
                  <c:v>-1.1659992966410737E-3</c:v>
                </c:pt>
                <c:pt idx="13">
                  <c:v>-0.31260379314185016</c:v>
                </c:pt>
                <c:pt idx="14">
                  <c:v>-0.16078524209312683</c:v>
                </c:pt>
                <c:pt idx="15">
                  <c:v>8.5284336096359992E-2</c:v>
                </c:pt>
                <c:pt idx="16">
                  <c:v>0.33367382004287349</c:v>
                </c:pt>
                <c:pt idx="17">
                  <c:v>-0.11986916131364822</c:v>
                </c:pt>
                <c:pt idx="18">
                  <c:v>0.28224553452874201</c:v>
                </c:pt>
                <c:pt idx="19">
                  <c:v>0.64753727578394948</c:v>
                </c:pt>
                <c:pt idx="20">
                  <c:v>0.13227718979468306</c:v>
                </c:pt>
                <c:pt idx="21">
                  <c:v>0.12653824645612022</c:v>
                </c:pt>
                <c:pt idx="22">
                  <c:v>-4.1867591903372636E-2</c:v>
                </c:pt>
                <c:pt idx="23">
                  <c:v>0.46675844060386162</c:v>
                </c:pt>
                <c:pt idx="24">
                  <c:v>-7.8452687110532215E-2</c:v>
                </c:pt>
                <c:pt idx="25">
                  <c:v>0.25255772124314513</c:v>
                </c:pt>
                <c:pt idx="26">
                  <c:v>-0.40142094677478446</c:v>
                </c:pt>
                <c:pt idx="27">
                  <c:v>3.2710791156795205E-2</c:v>
                </c:pt>
                <c:pt idx="28">
                  <c:v>-0.10957268640147855</c:v>
                </c:pt>
                <c:pt idx="29">
                  <c:v>-0.13296231975040329</c:v>
                </c:pt>
                <c:pt idx="30">
                  <c:v>-2.9854064618752174E-2</c:v>
                </c:pt>
                <c:pt idx="31">
                  <c:v>2.6157302843842656E-2</c:v>
                </c:pt>
                <c:pt idx="32">
                  <c:v>-0.49167733220005205</c:v>
                </c:pt>
                <c:pt idx="33">
                  <c:v>8.8225413436318068E-3</c:v>
                </c:pt>
                <c:pt idx="34">
                  <c:v>4.8959871605505079E-2</c:v>
                </c:pt>
                <c:pt idx="35">
                  <c:v>0.78960413507375526</c:v>
                </c:pt>
                <c:pt idx="36">
                  <c:v>-7.5841852837102097E-2</c:v>
                </c:pt>
                <c:pt idx="37">
                  <c:v>-0.22445350155487609</c:v>
                </c:pt>
                <c:pt idx="38">
                  <c:v>-0.21861657239308596</c:v>
                </c:pt>
                <c:pt idx="39">
                  <c:v>0.37456556999779389</c:v>
                </c:pt>
                <c:pt idx="40">
                  <c:v>8.5049705280495491E-2</c:v>
                </c:pt>
                <c:pt idx="41">
                  <c:v>-0.12646796958403317</c:v>
                </c:pt>
                <c:pt idx="42">
                  <c:v>0.22261112925177784</c:v>
                </c:pt>
                <c:pt idx="43">
                  <c:v>0.30127818031641884</c:v>
                </c:pt>
                <c:pt idx="44">
                  <c:v>0.7752042306281608</c:v>
                </c:pt>
                <c:pt idx="45">
                  <c:v>-8.0662518437109032E-2</c:v>
                </c:pt>
                <c:pt idx="46">
                  <c:v>-8.3732663381503203E-2</c:v>
                </c:pt>
                <c:pt idx="47">
                  <c:v>0.24644051683272949</c:v>
                </c:pt>
                <c:pt idx="48">
                  <c:v>0.29385375696789717</c:v>
                </c:pt>
                <c:pt idx="49">
                  <c:v>0.35165598452331714</c:v>
                </c:pt>
                <c:pt idx="50">
                  <c:v>0.37329062478092911</c:v>
                </c:pt>
                <c:pt idx="51">
                  <c:v>0.13131759910126251</c:v>
                </c:pt>
                <c:pt idx="52">
                  <c:v>0.27524591503673768</c:v>
                </c:pt>
                <c:pt idx="53">
                  <c:v>6.3097141602657114E-2</c:v>
                </c:pt>
                <c:pt idx="54">
                  <c:v>0.21507363814795055</c:v>
                </c:pt>
                <c:pt idx="55">
                  <c:v>0.26322849916927393</c:v>
                </c:pt>
                <c:pt idx="56">
                  <c:v>0.49943470592582861</c:v>
                </c:pt>
                <c:pt idx="57">
                  <c:v>0.28503437593272851</c:v>
                </c:pt>
                <c:pt idx="58">
                  <c:v>0.29600271865838668</c:v>
                </c:pt>
                <c:pt idx="59">
                  <c:v>0.69549832531314371</c:v>
                </c:pt>
                <c:pt idx="60">
                  <c:v>0.48279938541912171</c:v>
                </c:pt>
                <c:pt idx="61">
                  <c:v>0.43836028279564321</c:v>
                </c:pt>
                <c:pt idx="62">
                  <c:v>-0.3242494740262809</c:v>
                </c:pt>
                <c:pt idx="63">
                  <c:v>0.1849583418494003</c:v>
                </c:pt>
                <c:pt idx="64">
                  <c:v>-3.754990489679777E-2</c:v>
                </c:pt>
                <c:pt idx="65">
                  <c:v>0.49144025502418121</c:v>
                </c:pt>
                <c:pt idx="66">
                  <c:v>-9.8670967619882033E-2</c:v>
                </c:pt>
                <c:pt idx="67">
                  <c:v>8.773628587430804E-2</c:v>
                </c:pt>
                <c:pt idx="68">
                  <c:v>0.41093643683944947</c:v>
                </c:pt>
                <c:pt idx="69">
                  <c:v>0.57186739328654013</c:v>
                </c:pt>
                <c:pt idx="70">
                  <c:v>-4.912902823027876E-2</c:v>
                </c:pt>
                <c:pt idx="71">
                  <c:v>0.10135715063488204</c:v>
                </c:pt>
                <c:pt idx="72">
                  <c:v>-0.28645491094156017</c:v>
                </c:pt>
                <c:pt idx="73">
                  <c:v>0.14030724030893404</c:v>
                </c:pt>
                <c:pt idx="74">
                  <c:v>0.14461329254020372</c:v>
                </c:pt>
                <c:pt idx="75">
                  <c:v>0.13618643744537695</c:v>
                </c:pt>
                <c:pt idx="76">
                  <c:v>0.26812611973375877</c:v>
                </c:pt>
                <c:pt idx="77">
                  <c:v>0.34262748217580219</c:v>
                </c:pt>
                <c:pt idx="78">
                  <c:v>0.623832107646207</c:v>
                </c:pt>
                <c:pt idx="79">
                  <c:v>0.16022303163792406</c:v>
                </c:pt>
                <c:pt idx="80">
                  <c:v>0.59076237357776518</c:v>
                </c:pt>
                <c:pt idx="81">
                  <c:v>3.9039708280182106E-2</c:v>
                </c:pt>
                <c:pt idx="82">
                  <c:v>0.41239312851788146</c:v>
                </c:pt>
                <c:pt idx="83">
                  <c:v>0.16651202764355988</c:v>
                </c:pt>
                <c:pt idx="84">
                  <c:v>0.37055981408630978</c:v>
                </c:pt>
                <c:pt idx="85">
                  <c:v>0.3130134199477197</c:v>
                </c:pt>
                <c:pt idx="86">
                  <c:v>-0.20903974134893977</c:v>
                </c:pt>
                <c:pt idx="87">
                  <c:v>0.24434063023756813</c:v>
                </c:pt>
                <c:pt idx="88">
                  <c:v>-0.11425526000183028</c:v>
                </c:pt>
                <c:pt idx="89">
                  <c:v>-0.35019808761909443</c:v>
                </c:pt>
                <c:pt idx="90">
                  <c:v>0.64661463976429645</c:v>
                </c:pt>
                <c:pt idx="91">
                  <c:v>-7.2605076900663867E-2</c:v>
                </c:pt>
                <c:pt idx="92">
                  <c:v>0.35519212342092343</c:v>
                </c:pt>
                <c:pt idx="93">
                  <c:v>0.52775387738876245</c:v>
                </c:pt>
                <c:pt idx="94">
                  <c:v>-0.27571757861857882</c:v>
                </c:pt>
                <c:pt idx="95">
                  <c:v>-2.7085459079757568E-2</c:v>
                </c:pt>
                <c:pt idx="96">
                  <c:v>-9.7286670110546369E-2</c:v>
                </c:pt>
                <c:pt idx="97">
                  <c:v>0.56925399628927886</c:v>
                </c:pt>
                <c:pt idx="98">
                  <c:v>0.4345207207165358</c:v>
                </c:pt>
                <c:pt idx="99">
                  <c:v>0.37136958207116511</c:v>
                </c:pt>
              </c:numCache>
            </c:numRef>
          </c:xVal>
          <c:yVal>
            <c:numRef>
              <c:f>'Modelo de Schumacher-Hall'!$AD$3:$AD$102</c:f>
              <c:numCache>
                <c:formatCode>0.000</c:formatCode>
                <c:ptCount val="100"/>
                <c:pt idx="0">
                  <c:v>-0.11215731447309846</c:v>
                </c:pt>
                <c:pt idx="1">
                  <c:v>-0.15628317917946305</c:v>
                </c:pt>
                <c:pt idx="2">
                  <c:v>-0.17814072441107121</c:v>
                </c:pt>
                <c:pt idx="3">
                  <c:v>-5.0701063541540123E-2</c:v>
                </c:pt>
                <c:pt idx="4">
                  <c:v>-3.5867383729220492E-2</c:v>
                </c:pt>
                <c:pt idx="5">
                  <c:v>-1.86874061459813E-2</c:v>
                </c:pt>
                <c:pt idx="6">
                  <c:v>-0.20642121157395937</c:v>
                </c:pt>
                <c:pt idx="7">
                  <c:v>-0.1170797795595836</c:v>
                </c:pt>
                <c:pt idx="8">
                  <c:v>7.8924839948469799E-2</c:v>
                </c:pt>
                <c:pt idx="9">
                  <c:v>-3.2239391266950052E-2</c:v>
                </c:pt>
                <c:pt idx="10">
                  <c:v>-5.2905588361984279E-2</c:v>
                </c:pt>
                <c:pt idx="11">
                  <c:v>-2.7253378734751671E-2</c:v>
                </c:pt>
                <c:pt idx="12">
                  <c:v>-1.3970803294516339E-2</c:v>
                </c:pt>
                <c:pt idx="13">
                  <c:v>-0.1320691985148934</c:v>
                </c:pt>
                <c:pt idx="14">
                  <c:v>-0.23894927984804598</c:v>
                </c:pt>
                <c:pt idx="15">
                  <c:v>-0.17832362499870952</c:v>
                </c:pt>
                <c:pt idx="16">
                  <c:v>-5.2785906235300328E-3</c:v>
                </c:pt>
                <c:pt idx="17">
                  <c:v>-0.11607588257802395</c:v>
                </c:pt>
                <c:pt idx="18">
                  <c:v>4.4979088658239075E-2</c:v>
                </c:pt>
                <c:pt idx="19">
                  <c:v>-0.152451573076404</c:v>
                </c:pt>
                <c:pt idx="20">
                  <c:v>-5.4563655575596878E-2</c:v>
                </c:pt>
                <c:pt idx="21">
                  <c:v>2.5143640619616381E-2</c:v>
                </c:pt>
                <c:pt idx="22">
                  <c:v>2.5502513248224591E-2</c:v>
                </c:pt>
                <c:pt idx="23">
                  <c:v>0.17025204771536429</c:v>
                </c:pt>
                <c:pt idx="24">
                  <c:v>6.1349894037910635E-2</c:v>
                </c:pt>
                <c:pt idx="25">
                  <c:v>-0.11584754328586494</c:v>
                </c:pt>
                <c:pt idx="26">
                  <c:v>5.5058112621549748E-2</c:v>
                </c:pt>
                <c:pt idx="27">
                  <c:v>-8.5740838381886952E-4</c:v>
                </c:pt>
                <c:pt idx="28">
                  <c:v>8.4255356811727911E-2</c:v>
                </c:pt>
                <c:pt idx="29">
                  <c:v>9.7645758305797831E-2</c:v>
                </c:pt>
                <c:pt idx="30">
                  <c:v>-2.8988795003110836E-2</c:v>
                </c:pt>
                <c:pt idx="31">
                  <c:v>-1.9998791345749497E-2</c:v>
                </c:pt>
                <c:pt idx="32">
                  <c:v>-8.0934156465270468E-3</c:v>
                </c:pt>
                <c:pt idx="33">
                  <c:v>0.1236749334735377</c:v>
                </c:pt>
                <c:pt idx="34">
                  <c:v>-8.5585622421209873E-2</c:v>
                </c:pt>
                <c:pt idx="35">
                  <c:v>-2.1469597037513055E-2</c:v>
                </c:pt>
                <c:pt idx="36">
                  <c:v>3.9231621883307262E-2</c:v>
                </c:pt>
                <c:pt idx="37">
                  <c:v>0.11518258435773106</c:v>
                </c:pt>
                <c:pt idx="38">
                  <c:v>2.2299994867615164E-2</c:v>
                </c:pt>
                <c:pt idx="39">
                  <c:v>1.4126695321935889E-2</c:v>
                </c:pt>
                <c:pt idx="40">
                  <c:v>-3.798776663000096E-2</c:v>
                </c:pt>
                <c:pt idx="41">
                  <c:v>9.4347759205001963E-3</c:v>
                </c:pt>
                <c:pt idx="42">
                  <c:v>-0.13570193801232183</c:v>
                </c:pt>
                <c:pt idx="43">
                  <c:v>9.4659857754362253E-3</c:v>
                </c:pt>
                <c:pt idx="44">
                  <c:v>-6.9074951073761048E-2</c:v>
                </c:pt>
                <c:pt idx="45">
                  <c:v>0.17360104449708802</c:v>
                </c:pt>
                <c:pt idx="46">
                  <c:v>6.9256269527231615E-2</c:v>
                </c:pt>
                <c:pt idx="47">
                  <c:v>0.13475741121825369</c:v>
                </c:pt>
                <c:pt idx="48">
                  <c:v>2.8917466041497919E-2</c:v>
                </c:pt>
                <c:pt idx="49">
                  <c:v>-1.0298398862063629E-3</c:v>
                </c:pt>
                <c:pt idx="50">
                  <c:v>1.5721710179771087E-2</c:v>
                </c:pt>
                <c:pt idx="51">
                  <c:v>0.11013038444096965</c:v>
                </c:pt>
                <c:pt idx="52">
                  <c:v>-5.4516036726609374E-2</c:v>
                </c:pt>
                <c:pt idx="53">
                  <c:v>9.0064163872613984E-2</c:v>
                </c:pt>
                <c:pt idx="54">
                  <c:v>1.061564464481185E-2</c:v>
                </c:pt>
                <c:pt idx="55">
                  <c:v>0.19589259592723091</c:v>
                </c:pt>
                <c:pt idx="56">
                  <c:v>-5.8314677382953484E-2</c:v>
                </c:pt>
                <c:pt idx="57">
                  <c:v>8.1522325663138939E-2</c:v>
                </c:pt>
                <c:pt idx="58">
                  <c:v>9.7828143805787415E-2</c:v>
                </c:pt>
                <c:pt idx="59">
                  <c:v>8.151861784087655E-2</c:v>
                </c:pt>
                <c:pt idx="60">
                  <c:v>-7.9160843508705114E-2</c:v>
                </c:pt>
                <c:pt idx="61">
                  <c:v>-0.10351374569458566</c:v>
                </c:pt>
                <c:pt idx="62">
                  <c:v>5.3210615450867305E-2</c:v>
                </c:pt>
                <c:pt idx="63">
                  <c:v>-5.3175380145922269E-3</c:v>
                </c:pt>
                <c:pt idx="64">
                  <c:v>0.1073534862368007</c:v>
                </c:pt>
                <c:pt idx="65">
                  <c:v>-4.2622293117953403E-2</c:v>
                </c:pt>
                <c:pt idx="66">
                  <c:v>0.12393851790254957</c:v>
                </c:pt>
                <c:pt idx="67">
                  <c:v>2.9122808057262584E-2</c:v>
                </c:pt>
                <c:pt idx="68">
                  <c:v>-9.9092119202568052E-2</c:v>
                </c:pt>
                <c:pt idx="69">
                  <c:v>0.13117549632755898</c:v>
                </c:pt>
                <c:pt idx="70">
                  <c:v>5.6453625775819166E-2</c:v>
                </c:pt>
                <c:pt idx="71">
                  <c:v>0.13716493678755706</c:v>
                </c:pt>
                <c:pt idx="72">
                  <c:v>-8.606946607197774E-2</c:v>
                </c:pt>
                <c:pt idx="73">
                  <c:v>7.3498310790260618E-2</c:v>
                </c:pt>
                <c:pt idx="74">
                  <c:v>-7.715384938495079E-3</c:v>
                </c:pt>
                <c:pt idx="75">
                  <c:v>-4.4015262371638553E-2</c:v>
                </c:pt>
                <c:pt idx="76">
                  <c:v>-0.10808462379514139</c:v>
                </c:pt>
                <c:pt idx="77">
                  <c:v>-6.8754205911766564E-2</c:v>
                </c:pt>
                <c:pt idx="78">
                  <c:v>-4.3791831699695138E-2</c:v>
                </c:pt>
                <c:pt idx="79">
                  <c:v>9.4344390872216022E-2</c:v>
                </c:pt>
                <c:pt idx="80">
                  <c:v>0.12331564528417938</c:v>
                </c:pt>
                <c:pt idx="81">
                  <c:v>2.3448936527484934E-2</c:v>
                </c:pt>
                <c:pt idx="82">
                  <c:v>2.2078819141102157E-2</c:v>
                </c:pt>
                <c:pt idx="83">
                  <c:v>-2.7574040796439103E-2</c:v>
                </c:pt>
                <c:pt idx="84">
                  <c:v>-4.2357596625101746E-2</c:v>
                </c:pt>
                <c:pt idx="85">
                  <c:v>6.8919403427835868E-2</c:v>
                </c:pt>
                <c:pt idx="86">
                  <c:v>5.8239264003696362E-2</c:v>
                </c:pt>
                <c:pt idx="87">
                  <c:v>-7.7741860889644909E-3</c:v>
                </c:pt>
                <c:pt idx="88">
                  <c:v>-1.1696800372596294E-2</c:v>
                </c:pt>
                <c:pt idx="89">
                  <c:v>1.1205882116056887E-2</c:v>
                </c:pt>
                <c:pt idx="90">
                  <c:v>-4.4110262286071955E-2</c:v>
                </c:pt>
                <c:pt idx="91">
                  <c:v>-1.5680712904883903E-2</c:v>
                </c:pt>
                <c:pt idx="92">
                  <c:v>-5.6872628392426461E-3</c:v>
                </c:pt>
                <c:pt idx="93">
                  <c:v>4.0492674535661188E-2</c:v>
                </c:pt>
                <c:pt idx="94">
                  <c:v>5.44495139419853E-2</c:v>
                </c:pt>
                <c:pt idx="95">
                  <c:v>9.5479048375373132E-3</c:v>
                </c:pt>
                <c:pt idx="96">
                  <c:v>4.0836944259127983E-2</c:v>
                </c:pt>
                <c:pt idx="97">
                  <c:v>3.5598443766396648E-2</c:v>
                </c:pt>
                <c:pt idx="98">
                  <c:v>4.5857081025939495E-2</c:v>
                </c:pt>
                <c:pt idx="99">
                  <c:v>-4.6702733730781154E-2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94-4155-8F28-F02E1AE8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936479"/>
        <c:axId val="874936959"/>
      </c:scatterChart>
      <c:valAx>
        <c:axId val="87493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Predito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959"/>
        <c:crosses val="autoZero"/>
        <c:crossBetween val="midCat"/>
      </c:valAx>
      <c:valAx>
        <c:axId val="87493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 dos Resíduos Relativos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Schumacher-Hall'!$AB$3:$AB$102</c:f>
              <c:numCache>
                <c:formatCode>General</c:formatCode>
                <c:ptCount val="100"/>
                <c:pt idx="0">
                  <c:v>-0.14444323816355276</c:v>
                </c:pt>
                <c:pt idx="1">
                  <c:v>0.45861826497232383</c:v>
                </c:pt>
                <c:pt idx="2">
                  <c:v>-0.16041207796559753</c:v>
                </c:pt>
                <c:pt idx="3">
                  <c:v>-8.2870957222132002E-3</c:v>
                </c:pt>
                <c:pt idx="4">
                  <c:v>-0.12612064639736853</c:v>
                </c:pt>
                <c:pt idx="5">
                  <c:v>-0.26350196501441991</c:v>
                </c:pt>
                <c:pt idx="6">
                  <c:v>-0.21791404137508019</c:v>
                </c:pt>
                <c:pt idx="7">
                  <c:v>-0.15018529489912025</c:v>
                </c:pt>
                <c:pt idx="8">
                  <c:v>1.0140063676850275E-2</c:v>
                </c:pt>
                <c:pt idx="9">
                  <c:v>0.26599970646912197</c:v>
                </c:pt>
                <c:pt idx="10">
                  <c:v>-8.0660735307491738E-3</c:v>
                </c:pt>
                <c:pt idx="11">
                  <c:v>-0.1250863652673162</c:v>
                </c:pt>
                <c:pt idx="12">
                  <c:v>-1.1659992966410737E-3</c:v>
                </c:pt>
                <c:pt idx="13">
                  <c:v>-0.31260379314185016</c:v>
                </c:pt>
                <c:pt idx="14">
                  <c:v>-0.16078524209312683</c:v>
                </c:pt>
                <c:pt idx="15">
                  <c:v>8.5284336096359992E-2</c:v>
                </c:pt>
                <c:pt idx="16">
                  <c:v>0.33367382004287349</c:v>
                </c:pt>
                <c:pt idx="17">
                  <c:v>-0.11986916131364822</c:v>
                </c:pt>
                <c:pt idx="18">
                  <c:v>0.28224553452874201</c:v>
                </c:pt>
                <c:pt idx="19">
                  <c:v>0.64753727578394948</c:v>
                </c:pt>
                <c:pt idx="20">
                  <c:v>0.13227718979468306</c:v>
                </c:pt>
                <c:pt idx="21">
                  <c:v>0.12653824645612022</c:v>
                </c:pt>
                <c:pt idx="22">
                  <c:v>-4.1867591903372636E-2</c:v>
                </c:pt>
                <c:pt idx="23">
                  <c:v>0.46675844060386162</c:v>
                </c:pt>
                <c:pt idx="24">
                  <c:v>-7.8452687110532215E-2</c:v>
                </c:pt>
                <c:pt idx="25">
                  <c:v>0.25255772124314513</c:v>
                </c:pt>
                <c:pt idx="26">
                  <c:v>-0.40142094677478446</c:v>
                </c:pt>
                <c:pt idx="27">
                  <c:v>3.2710791156795205E-2</c:v>
                </c:pt>
                <c:pt idx="28">
                  <c:v>-0.10957268640147855</c:v>
                </c:pt>
                <c:pt idx="29">
                  <c:v>-0.13296231975040329</c:v>
                </c:pt>
                <c:pt idx="30">
                  <c:v>-2.9854064618752174E-2</c:v>
                </c:pt>
                <c:pt idx="31">
                  <c:v>2.6157302843842656E-2</c:v>
                </c:pt>
                <c:pt idx="32">
                  <c:v>-0.49167733220005205</c:v>
                </c:pt>
                <c:pt idx="33">
                  <c:v>8.8225413436318068E-3</c:v>
                </c:pt>
                <c:pt idx="34">
                  <c:v>4.8959871605505079E-2</c:v>
                </c:pt>
                <c:pt idx="35">
                  <c:v>0.78960413507375526</c:v>
                </c:pt>
                <c:pt idx="36">
                  <c:v>-7.5841852837102097E-2</c:v>
                </c:pt>
                <c:pt idx="37">
                  <c:v>-0.22445350155487609</c:v>
                </c:pt>
                <c:pt idx="38">
                  <c:v>-0.21861657239308596</c:v>
                </c:pt>
                <c:pt idx="39">
                  <c:v>0.37456556999779389</c:v>
                </c:pt>
                <c:pt idx="40">
                  <c:v>8.5049705280495491E-2</c:v>
                </c:pt>
                <c:pt idx="41">
                  <c:v>-0.12646796958403317</c:v>
                </c:pt>
                <c:pt idx="42">
                  <c:v>0.22261112925177784</c:v>
                </c:pt>
                <c:pt idx="43">
                  <c:v>0.30127818031641884</c:v>
                </c:pt>
                <c:pt idx="44">
                  <c:v>0.7752042306281608</c:v>
                </c:pt>
                <c:pt idx="45">
                  <c:v>-8.0662518437109032E-2</c:v>
                </c:pt>
                <c:pt idx="46">
                  <c:v>-8.3732663381503203E-2</c:v>
                </c:pt>
                <c:pt idx="47">
                  <c:v>0.24644051683272949</c:v>
                </c:pt>
                <c:pt idx="48">
                  <c:v>0.29385375696789717</c:v>
                </c:pt>
                <c:pt idx="49">
                  <c:v>0.35165598452331714</c:v>
                </c:pt>
                <c:pt idx="50">
                  <c:v>0.37329062478092911</c:v>
                </c:pt>
                <c:pt idx="51">
                  <c:v>0.13131759910126251</c:v>
                </c:pt>
                <c:pt idx="52">
                  <c:v>0.27524591503673768</c:v>
                </c:pt>
                <c:pt idx="53">
                  <c:v>6.3097141602657114E-2</c:v>
                </c:pt>
                <c:pt idx="54">
                  <c:v>0.21507363814795055</c:v>
                </c:pt>
                <c:pt idx="55">
                  <c:v>0.26322849916927393</c:v>
                </c:pt>
                <c:pt idx="56">
                  <c:v>0.49943470592582861</c:v>
                </c:pt>
                <c:pt idx="57">
                  <c:v>0.28503437593272851</c:v>
                </c:pt>
                <c:pt idx="58">
                  <c:v>0.29600271865838668</c:v>
                </c:pt>
                <c:pt idx="59">
                  <c:v>0.69549832531314371</c:v>
                </c:pt>
                <c:pt idx="60">
                  <c:v>0.48279938541912171</c:v>
                </c:pt>
                <c:pt idx="61">
                  <c:v>0.43836028279564321</c:v>
                </c:pt>
                <c:pt idx="62">
                  <c:v>-0.3242494740262809</c:v>
                </c:pt>
                <c:pt idx="63">
                  <c:v>0.1849583418494003</c:v>
                </c:pt>
                <c:pt idx="64">
                  <c:v>-3.754990489679777E-2</c:v>
                </c:pt>
                <c:pt idx="65">
                  <c:v>0.49144025502418121</c:v>
                </c:pt>
                <c:pt idx="66">
                  <c:v>-9.8670967619882033E-2</c:v>
                </c:pt>
                <c:pt idx="67">
                  <c:v>8.773628587430804E-2</c:v>
                </c:pt>
                <c:pt idx="68">
                  <c:v>0.41093643683944947</c:v>
                </c:pt>
                <c:pt idx="69">
                  <c:v>0.57186739328654013</c:v>
                </c:pt>
                <c:pt idx="70">
                  <c:v>-4.912902823027876E-2</c:v>
                </c:pt>
                <c:pt idx="71">
                  <c:v>0.10135715063488204</c:v>
                </c:pt>
                <c:pt idx="72">
                  <c:v>-0.28645491094156017</c:v>
                </c:pt>
                <c:pt idx="73">
                  <c:v>0.14030724030893404</c:v>
                </c:pt>
                <c:pt idx="74">
                  <c:v>0.14461329254020372</c:v>
                </c:pt>
                <c:pt idx="75">
                  <c:v>0.13618643744537695</c:v>
                </c:pt>
                <c:pt idx="76">
                  <c:v>0.26812611973375877</c:v>
                </c:pt>
                <c:pt idx="77">
                  <c:v>0.34262748217580219</c:v>
                </c:pt>
                <c:pt idx="78">
                  <c:v>0.623832107646207</c:v>
                </c:pt>
                <c:pt idx="79">
                  <c:v>0.16022303163792406</c:v>
                </c:pt>
                <c:pt idx="80">
                  <c:v>0.59076237357776518</c:v>
                </c:pt>
                <c:pt idx="81">
                  <c:v>3.9039708280182106E-2</c:v>
                </c:pt>
                <c:pt idx="82">
                  <c:v>0.41239312851788146</c:v>
                </c:pt>
                <c:pt idx="83">
                  <c:v>0.16651202764355988</c:v>
                </c:pt>
                <c:pt idx="84">
                  <c:v>0.37055981408630978</c:v>
                </c:pt>
                <c:pt idx="85">
                  <c:v>0.3130134199477197</c:v>
                </c:pt>
                <c:pt idx="86">
                  <c:v>-0.20903974134893977</c:v>
                </c:pt>
                <c:pt idx="87">
                  <c:v>0.24434063023756813</c:v>
                </c:pt>
                <c:pt idx="88">
                  <c:v>-0.11425526000183028</c:v>
                </c:pt>
                <c:pt idx="89">
                  <c:v>-0.35019808761909443</c:v>
                </c:pt>
                <c:pt idx="90">
                  <c:v>0.64661463976429645</c:v>
                </c:pt>
                <c:pt idx="91">
                  <c:v>-7.2605076900663867E-2</c:v>
                </c:pt>
                <c:pt idx="92">
                  <c:v>0.35519212342092343</c:v>
                </c:pt>
                <c:pt idx="93">
                  <c:v>0.52775387738876245</c:v>
                </c:pt>
                <c:pt idx="94">
                  <c:v>-0.27571757861857882</c:v>
                </c:pt>
                <c:pt idx="95">
                  <c:v>-2.7085459079757568E-2</c:v>
                </c:pt>
                <c:pt idx="96">
                  <c:v>-9.7286670110546369E-2</c:v>
                </c:pt>
                <c:pt idx="97">
                  <c:v>0.56925399628927886</c:v>
                </c:pt>
                <c:pt idx="98">
                  <c:v>0.4345207207165358</c:v>
                </c:pt>
                <c:pt idx="99">
                  <c:v>0.37136958207116511</c:v>
                </c:pt>
              </c:numCache>
            </c:numRef>
          </c:xVal>
          <c:yVal>
            <c:numRef>
              <c:f>'Modelo de Schumacher-Hall'!$AE$3:$AE$102</c:f>
              <c:numCache>
                <c:formatCode>0.00%</c:formatCode>
                <c:ptCount val="100"/>
                <c:pt idx="0">
                  <c:v>0.43708913843188119</c:v>
                </c:pt>
                <c:pt idx="1">
                  <c:v>-0.51692041884459794</c:v>
                </c:pt>
                <c:pt idx="2">
                  <c:v>0.52618298581641787</c:v>
                </c:pt>
                <c:pt idx="3">
                  <c:v>0.85951255598332588</c:v>
                </c:pt>
                <c:pt idx="4">
                  <c:v>0.22141996356885849</c:v>
                </c:pt>
                <c:pt idx="5">
                  <c:v>6.6222927068925866E-2</c:v>
                </c:pt>
                <c:pt idx="6">
                  <c:v>0.48645784232956357</c:v>
                </c:pt>
                <c:pt idx="7">
                  <c:v>0.43806614012963391</c:v>
                </c:pt>
                <c:pt idx="8">
                  <c:v>0.88614972605250109</c:v>
                </c:pt>
                <c:pt idx="9">
                  <c:v>-0.13791644334098035</c:v>
                </c:pt>
                <c:pt idx="10">
                  <c:v>0.86770782884449338</c:v>
                </c:pt>
                <c:pt idx="11">
                  <c:v>0.17889867751374014</c:v>
                </c:pt>
                <c:pt idx="12">
                  <c:v>0.9229692473282155</c:v>
                </c:pt>
                <c:pt idx="13">
                  <c:v>0.29700296845741775</c:v>
                </c:pt>
                <c:pt idx="14">
                  <c:v>0.59776993662611688</c:v>
                </c:pt>
                <c:pt idx="15">
                  <c:v>1.91664862342049</c:v>
                </c:pt>
                <c:pt idx="16">
                  <c:v>-1.607389557047904E-2</c:v>
                </c:pt>
                <c:pt idx="17">
                  <c:v>0.49196152062985088</c:v>
                </c:pt>
                <c:pt idx="18">
                  <c:v>0.13745630820861957</c:v>
                </c:pt>
                <c:pt idx="19">
                  <c:v>-0.30792966196088967</c:v>
                </c:pt>
                <c:pt idx="20">
                  <c:v>-0.70211265159777314</c:v>
                </c:pt>
                <c:pt idx="21">
                  <c:v>0.16576561054426925</c:v>
                </c:pt>
                <c:pt idx="22">
                  <c:v>-1.5583495677365495</c:v>
                </c:pt>
                <c:pt idx="23">
                  <c:v>0.26726725986032063</c:v>
                </c:pt>
                <c:pt idx="24">
                  <c:v>-3.587127188957254</c:v>
                </c:pt>
                <c:pt idx="25">
                  <c:v>-0.84739516118591773</c:v>
                </c:pt>
                <c:pt idx="26">
                  <c:v>-0.15896079830895318</c:v>
                </c:pt>
                <c:pt idx="27">
                  <c:v>-2.6917341556146269E-2</c:v>
                </c:pt>
                <c:pt idx="28">
                  <c:v>-3.3279717164893055</c:v>
                </c:pt>
                <c:pt idx="29">
                  <c:v>-2.7648716157986288</c:v>
                </c:pt>
                <c:pt idx="30">
                  <c:v>0.49264762435746878</c:v>
                </c:pt>
                <c:pt idx="31">
                  <c:v>-3.2473417240418661</c:v>
                </c:pt>
                <c:pt idx="32">
                  <c:v>1.6194256429373062E-2</c:v>
                </c:pt>
                <c:pt idx="33">
                  <c:v>0.93341351330803968</c:v>
                </c:pt>
                <c:pt idx="34">
                  <c:v>2.3367608995065714</c:v>
                </c:pt>
                <c:pt idx="35">
                  <c:v>-2.7950308148362513E-2</c:v>
                </c:pt>
                <c:pt idx="36">
                  <c:v>-1.0716026875880909</c:v>
                </c:pt>
                <c:pt idx="37">
                  <c:v>-1.0541010116161127</c:v>
                </c:pt>
                <c:pt idx="38">
                  <c:v>-0.11359201117247414</c:v>
                </c:pt>
                <c:pt idx="39">
                  <c:v>3.6344163705741811E-2</c:v>
                </c:pt>
                <c:pt idx="40">
                  <c:v>-0.80718660810208209</c:v>
                </c:pt>
                <c:pt idx="41">
                  <c:v>-8.0616239078503682E-2</c:v>
                </c:pt>
                <c:pt idx="42">
                  <c:v>-1.5614221703942675</c:v>
                </c:pt>
                <c:pt idx="43">
                  <c:v>3.0462312115098911E-2</c:v>
                </c:pt>
                <c:pt idx="44">
                  <c:v>-9.7821961323216258E-2</c:v>
                </c:pt>
                <c:pt idx="45">
                  <c:v>1.8679126069317316</c:v>
                </c:pt>
                <c:pt idx="46">
                  <c:v>-4.7840829853351892</c:v>
                </c:pt>
                <c:pt idx="47">
                  <c:v>0.35351034541885179</c:v>
                </c:pt>
                <c:pt idx="48">
                  <c:v>8.9591215015646555E-2</c:v>
                </c:pt>
                <c:pt idx="49">
                  <c:v>-2.9371451671757714E-3</c:v>
                </c:pt>
                <c:pt idx="50">
                  <c:v>4.041442588538835E-2</c:v>
                </c:pt>
                <c:pt idx="51">
                  <c:v>0.45612468087440672</c:v>
                </c:pt>
                <c:pt idx="52">
                  <c:v>-0.24698077643124347</c:v>
                </c:pt>
                <c:pt idx="53">
                  <c:v>0.58803471015827447</c:v>
                </c:pt>
                <c:pt idx="54">
                  <c:v>4.7036547386964722E-2</c:v>
                </c:pt>
                <c:pt idx="55">
                  <c:v>0.42666868941418451</c:v>
                </c:pt>
                <c:pt idx="56">
                  <c:v>-0.13219684804514725</c:v>
                </c:pt>
                <c:pt idx="57">
                  <c:v>0.22240031435305238</c:v>
                </c:pt>
                <c:pt idx="58">
                  <c:v>0.24840141575925026</c:v>
                </c:pt>
                <c:pt idx="59">
                  <c:v>0.10491227837321165</c:v>
                </c:pt>
                <c:pt idx="60">
                  <c:v>-0.19611814851485129</c:v>
                </c:pt>
                <c:pt idx="61">
                  <c:v>-0.30913787130892423</c:v>
                </c:pt>
                <c:pt idx="62">
                  <c:v>-0.19632098412214216</c:v>
                </c:pt>
                <c:pt idx="63">
                  <c:v>-2.960094756357283E-2</c:v>
                </c:pt>
                <c:pt idx="64">
                  <c:v>1.537936652761378</c:v>
                </c:pt>
                <c:pt idx="65">
                  <c:v>-9.4965658096496902E-2</c:v>
                </c:pt>
                <c:pt idx="66">
                  <c:v>4.9050468492612875</c:v>
                </c:pt>
                <c:pt idx="67">
                  <c:v>0.24921302294467623</c:v>
                </c:pt>
                <c:pt idx="68">
                  <c:v>-0.31776150341130527</c:v>
                </c:pt>
                <c:pt idx="69">
                  <c:v>0.18658249484545864</c:v>
                </c:pt>
                <c:pt idx="70">
                  <c:v>7.7074030927734816</c:v>
                </c:pt>
                <c:pt idx="71">
                  <c:v>0.57506178262069485</c:v>
                </c:pt>
                <c:pt idx="72">
                  <c:v>0.23104384943069078</c:v>
                </c:pt>
                <c:pt idx="73">
                  <c:v>0.34376240659982316</c:v>
                </c:pt>
                <c:pt idx="74">
                  <c:v>-5.6358676868475253E-2</c:v>
                </c:pt>
                <c:pt idx="75">
                  <c:v>-0.47753825788187737</c:v>
                </c:pt>
                <c:pt idx="76">
                  <c:v>-0.67535374598470621</c:v>
                </c:pt>
                <c:pt idx="77">
                  <c:v>-0.2510438654316971</c:v>
                </c:pt>
                <c:pt idx="78">
                  <c:v>-7.5497915430502591E-2</c:v>
                </c:pt>
                <c:pt idx="79">
                  <c:v>0.37060669406140545</c:v>
                </c:pt>
                <c:pt idx="80">
                  <c:v>0.17269211770544707</c:v>
                </c:pt>
                <c:pt idx="81">
                  <c:v>0.37525116122550106</c:v>
                </c:pt>
                <c:pt idx="82">
                  <c:v>5.0817594231496364E-2</c:v>
                </c:pt>
                <c:pt idx="83">
                  <c:v>-0.19846293603476464</c:v>
                </c:pt>
                <c:pt idx="84">
                  <c:v>-0.12905944680312287</c:v>
                </c:pt>
                <c:pt idx="85">
                  <c:v>0.18044901932942076</c:v>
                </c:pt>
                <c:pt idx="86">
                  <c:v>-0.38620079345215258</c:v>
                </c:pt>
                <c:pt idx="87">
                  <c:v>-3.2862590114771266E-2</c:v>
                </c:pt>
                <c:pt idx="88">
                  <c:v>9.2867082426634315E-2</c:v>
                </c:pt>
                <c:pt idx="89">
                  <c:v>-3.305645951188832E-2</c:v>
                </c:pt>
                <c:pt idx="90">
                  <c:v>-7.3211521666771917E-2</c:v>
                </c:pt>
                <c:pt idx="91">
                  <c:v>0.1776131010372243</c:v>
                </c:pt>
                <c:pt idx="92">
                  <c:v>-1.6272342621436901E-2</c:v>
                </c:pt>
                <c:pt idx="93">
                  <c:v>7.1258988547363303E-2</c:v>
                </c:pt>
                <c:pt idx="94">
                  <c:v>-0.24607940608857845</c:v>
                </c:pt>
                <c:pt idx="95">
                  <c:v>-0.54442624699352316</c:v>
                </c:pt>
                <c:pt idx="96">
                  <c:v>-0.72342148067494805</c:v>
                </c:pt>
                <c:pt idx="97">
                  <c:v>5.8854757638276002E-2</c:v>
                </c:pt>
                <c:pt idx="98">
                  <c:v>9.5460449795144606E-2</c:v>
                </c:pt>
                <c:pt idx="99">
                  <c:v>-0.14384817535117581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FE-438B-A7EE-59CECCF6F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936479"/>
        <c:axId val="874936959"/>
      </c:scatterChart>
      <c:valAx>
        <c:axId val="87493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Predito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959"/>
        <c:crosses val="autoZero"/>
        <c:crossBetween val="midCat"/>
      </c:valAx>
      <c:valAx>
        <c:axId val="87493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Resíduos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493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em Função do DAP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de Schumacher-Hall'!$C$3:$C$102</c:f>
              <c:numCache>
                <c:formatCode>0.0</c:formatCode>
                <c:ptCount val="100"/>
                <c:pt idx="0">
                  <c:v>27.6</c:v>
                </c:pt>
                <c:pt idx="1">
                  <c:v>37</c:v>
                </c:pt>
                <c:pt idx="2">
                  <c:v>27.5</c:v>
                </c:pt>
                <c:pt idx="3">
                  <c:v>29.5</c:v>
                </c:pt>
                <c:pt idx="4">
                  <c:v>28</c:v>
                </c:pt>
                <c:pt idx="5">
                  <c:v>26</c:v>
                </c:pt>
                <c:pt idx="6">
                  <c:v>26.9</c:v>
                </c:pt>
                <c:pt idx="7">
                  <c:v>27.8</c:v>
                </c:pt>
                <c:pt idx="8">
                  <c:v>29.8</c:v>
                </c:pt>
                <c:pt idx="9">
                  <c:v>33.9</c:v>
                </c:pt>
                <c:pt idx="10">
                  <c:v>29.6</c:v>
                </c:pt>
                <c:pt idx="11">
                  <c:v>28.1</c:v>
                </c:pt>
                <c:pt idx="12">
                  <c:v>29.5</c:v>
                </c:pt>
                <c:pt idx="13">
                  <c:v>26</c:v>
                </c:pt>
                <c:pt idx="14">
                  <c:v>27.8</c:v>
                </c:pt>
                <c:pt idx="15">
                  <c:v>31.5</c:v>
                </c:pt>
                <c:pt idx="16">
                  <c:v>35</c:v>
                </c:pt>
                <c:pt idx="17">
                  <c:v>28.3</c:v>
                </c:pt>
                <c:pt idx="18">
                  <c:v>33.9</c:v>
                </c:pt>
                <c:pt idx="19">
                  <c:v>40.700000000000003</c:v>
                </c:pt>
                <c:pt idx="20">
                  <c:v>31.6</c:v>
                </c:pt>
                <c:pt idx="21">
                  <c:v>31.5</c:v>
                </c:pt>
                <c:pt idx="22">
                  <c:v>29.5</c:v>
                </c:pt>
                <c:pt idx="23">
                  <c:v>37.5</c:v>
                </c:pt>
                <c:pt idx="24">
                  <c:v>28.5</c:v>
                </c:pt>
                <c:pt idx="25">
                  <c:v>33.5</c:v>
                </c:pt>
                <c:pt idx="26">
                  <c:v>24.5</c:v>
                </c:pt>
                <c:pt idx="27">
                  <c:v>30</c:v>
                </c:pt>
                <c:pt idx="28">
                  <c:v>28.1</c:v>
                </c:pt>
                <c:pt idx="29">
                  <c:v>28</c:v>
                </c:pt>
                <c:pt idx="30">
                  <c:v>29.5</c:v>
                </c:pt>
                <c:pt idx="31">
                  <c:v>30.3</c:v>
                </c:pt>
                <c:pt idx="32">
                  <c:v>23.5</c:v>
                </c:pt>
                <c:pt idx="33">
                  <c:v>29.8</c:v>
                </c:pt>
                <c:pt idx="34">
                  <c:v>30.5</c:v>
                </c:pt>
                <c:pt idx="35">
                  <c:v>43.7</c:v>
                </c:pt>
                <c:pt idx="36">
                  <c:v>28.5</c:v>
                </c:pt>
                <c:pt idx="37">
                  <c:v>26.5</c:v>
                </c:pt>
                <c:pt idx="38">
                  <c:v>26.5</c:v>
                </c:pt>
                <c:pt idx="39">
                  <c:v>35.5</c:v>
                </c:pt>
                <c:pt idx="40">
                  <c:v>31.6</c:v>
                </c:pt>
                <c:pt idx="41">
                  <c:v>28.1</c:v>
                </c:pt>
                <c:pt idx="42">
                  <c:v>33.200000000000003</c:v>
                </c:pt>
                <c:pt idx="43">
                  <c:v>35</c:v>
                </c:pt>
                <c:pt idx="44">
                  <c:v>43.6</c:v>
                </c:pt>
                <c:pt idx="45">
                  <c:v>29</c:v>
                </c:pt>
                <c:pt idx="46">
                  <c:v>28.5</c:v>
                </c:pt>
                <c:pt idx="47">
                  <c:v>34</c:v>
                </c:pt>
                <c:pt idx="48">
                  <c:v>34</c:v>
                </c:pt>
                <c:pt idx="49">
                  <c:v>35</c:v>
                </c:pt>
                <c:pt idx="50">
                  <c:v>35.5</c:v>
                </c:pt>
                <c:pt idx="51">
                  <c:v>32</c:v>
                </c:pt>
                <c:pt idx="52">
                  <c:v>34</c:v>
                </c:pt>
                <c:pt idx="53">
                  <c:v>31</c:v>
                </c:pt>
                <c:pt idx="54">
                  <c:v>33</c:v>
                </c:pt>
                <c:pt idx="55">
                  <c:v>34.200000000000003</c:v>
                </c:pt>
                <c:pt idx="56">
                  <c:v>38</c:v>
                </c:pt>
                <c:pt idx="57">
                  <c:v>34.5</c:v>
                </c:pt>
                <c:pt idx="58">
                  <c:v>34.5</c:v>
                </c:pt>
                <c:pt idx="59">
                  <c:v>42.5</c:v>
                </c:pt>
                <c:pt idx="60">
                  <c:v>37.700000000000003</c:v>
                </c:pt>
                <c:pt idx="61">
                  <c:v>37</c:v>
                </c:pt>
                <c:pt idx="62">
                  <c:v>25.5</c:v>
                </c:pt>
                <c:pt idx="63">
                  <c:v>32.5</c:v>
                </c:pt>
                <c:pt idx="64">
                  <c:v>29</c:v>
                </c:pt>
                <c:pt idx="65">
                  <c:v>38</c:v>
                </c:pt>
                <c:pt idx="66">
                  <c:v>28.5</c:v>
                </c:pt>
                <c:pt idx="67">
                  <c:v>31</c:v>
                </c:pt>
                <c:pt idx="68">
                  <c:v>36.5</c:v>
                </c:pt>
                <c:pt idx="69">
                  <c:v>40</c:v>
                </c:pt>
                <c:pt idx="70">
                  <c:v>29.5</c:v>
                </c:pt>
                <c:pt idx="71">
                  <c:v>31</c:v>
                </c:pt>
                <c:pt idx="72">
                  <c:v>26.5</c:v>
                </c:pt>
                <c:pt idx="73">
                  <c:v>32</c:v>
                </c:pt>
                <c:pt idx="74">
                  <c:v>32.5</c:v>
                </c:pt>
                <c:pt idx="75">
                  <c:v>32</c:v>
                </c:pt>
                <c:pt idx="76">
                  <c:v>34.200000000000003</c:v>
                </c:pt>
                <c:pt idx="77">
                  <c:v>35.5</c:v>
                </c:pt>
                <c:pt idx="78">
                  <c:v>40.9</c:v>
                </c:pt>
                <c:pt idx="79">
                  <c:v>32</c:v>
                </c:pt>
                <c:pt idx="80">
                  <c:v>40</c:v>
                </c:pt>
                <c:pt idx="81">
                  <c:v>30.6</c:v>
                </c:pt>
                <c:pt idx="82">
                  <c:v>36.6</c:v>
                </c:pt>
                <c:pt idx="83">
                  <c:v>32.1</c:v>
                </c:pt>
                <c:pt idx="84">
                  <c:v>35.6</c:v>
                </c:pt>
                <c:pt idx="85">
                  <c:v>34.700000000000003</c:v>
                </c:pt>
                <c:pt idx="86">
                  <c:v>27</c:v>
                </c:pt>
                <c:pt idx="87">
                  <c:v>33.299999999999997</c:v>
                </c:pt>
                <c:pt idx="88">
                  <c:v>28.3</c:v>
                </c:pt>
                <c:pt idx="89">
                  <c:v>25.2</c:v>
                </c:pt>
                <c:pt idx="90">
                  <c:v>41</c:v>
                </c:pt>
                <c:pt idx="91">
                  <c:v>28.5</c:v>
                </c:pt>
                <c:pt idx="92">
                  <c:v>35.6</c:v>
                </c:pt>
                <c:pt idx="93">
                  <c:v>38.5</c:v>
                </c:pt>
                <c:pt idx="94">
                  <c:v>26.5</c:v>
                </c:pt>
                <c:pt idx="95">
                  <c:v>29.5</c:v>
                </c:pt>
                <c:pt idx="96">
                  <c:v>28.5</c:v>
                </c:pt>
                <c:pt idx="97">
                  <c:v>39.1</c:v>
                </c:pt>
                <c:pt idx="98">
                  <c:v>37.5</c:v>
                </c:pt>
                <c:pt idx="99">
                  <c:v>35.5</c:v>
                </c:pt>
              </c:numCache>
            </c:numRef>
          </c:xVal>
          <c:yVal>
            <c:numRef>
              <c:f>'Modelo de Schumacher-Hall'!$E$3:$E$102</c:f>
              <c:numCache>
                <c:formatCode>0.000</c:formatCode>
                <c:ptCount val="100"/>
                <c:pt idx="0">
                  <c:v>0.77367719536616997</c:v>
                </c:pt>
                <c:pt idx="1">
                  <c:v>1.3530145267034794</c:v>
                </c:pt>
                <c:pt idx="2">
                  <c:v>0.71280114080086654</c:v>
                </c:pt>
                <c:pt idx="3">
                  <c:v>0.94271793156539674</c:v>
                </c:pt>
                <c:pt idx="4">
                  <c:v>0.85045138427471978</c:v>
                </c:pt>
                <c:pt idx="5">
                  <c:v>0.75413086037400401</c:v>
                </c:pt>
                <c:pt idx="6">
                  <c:v>0.65420452114525274</c:v>
                </c:pt>
                <c:pt idx="7">
                  <c:v>0.76547013798784025</c:v>
                </c:pt>
                <c:pt idx="8">
                  <c:v>1.0931516035260334</c:v>
                </c:pt>
                <c:pt idx="9">
                  <c:v>1.2633416521276679</c:v>
                </c:pt>
                <c:pt idx="10">
                  <c:v>0.94084990130366419</c:v>
                </c:pt>
                <c:pt idx="11">
                  <c:v>0.85869649419406635</c:v>
                </c:pt>
                <c:pt idx="12">
                  <c:v>0.98497718295488434</c:v>
                </c:pt>
                <c:pt idx="13">
                  <c:v>0.64103386518397554</c:v>
                </c:pt>
                <c:pt idx="14">
                  <c:v>0.67049802492395338</c:v>
                </c:pt>
                <c:pt idx="15">
                  <c:v>0.91115770120694395</c:v>
                </c:pt>
                <c:pt idx="16">
                  <c:v>1.3887377338470819</c:v>
                </c:pt>
                <c:pt idx="17">
                  <c:v>0.78982407839773394</c:v>
                </c:pt>
                <c:pt idx="18">
                  <c:v>1.3871130199363699</c:v>
                </c:pt>
                <c:pt idx="19">
                  <c:v>1.640638840222719</c:v>
                </c:pt>
                <c:pt idx="20">
                  <c:v>1.0808129983790598</c:v>
                </c:pt>
                <c:pt idx="21">
                  <c:v>1.1637899609128264</c:v>
                </c:pt>
                <c:pt idx="22">
                  <c:v>0.98376810175224216</c:v>
                </c:pt>
                <c:pt idx="23">
                  <c:v>1.8908197937208222</c:v>
                </c:pt>
                <c:pt idx="24">
                  <c:v>0.98304262946871201</c:v>
                </c:pt>
                <c:pt idx="25">
                  <c:v>1.1464958206040494</c:v>
                </c:pt>
                <c:pt idx="26">
                  <c:v>0.70725582397822961</c:v>
                </c:pt>
                <c:pt idx="27">
                  <c:v>1.0323661315489085</c:v>
                </c:pt>
                <c:pt idx="28">
                  <c:v>0.97500046643478733</c:v>
                </c:pt>
                <c:pt idx="29">
                  <c:v>0.96529979118918596</c:v>
                </c:pt>
                <c:pt idx="30">
                  <c:v>0.94285491809506261</c:v>
                </c:pt>
                <c:pt idx="31">
                  <c:v>1.0061775141192881</c:v>
                </c:pt>
                <c:pt idx="32">
                  <c:v>0.60666972411228581</c:v>
                </c:pt>
                <c:pt idx="33">
                  <c:v>1.1416761331445753</c:v>
                </c:pt>
                <c:pt idx="34">
                  <c:v>0.96403685785247362</c:v>
                </c:pt>
                <c:pt idx="35">
                  <c:v>2.1557410475896908</c:v>
                </c:pt>
                <c:pt idx="36">
                  <c:v>0.9640518196874861</c:v>
                </c:pt>
                <c:pt idx="37">
                  <c:v>0.89648751071223065</c:v>
                </c:pt>
                <c:pt idx="38">
                  <c:v>0.82175204526625856</c:v>
                </c:pt>
                <c:pt idx="39">
                  <c:v>1.4750505572701549</c:v>
                </c:pt>
                <c:pt idx="40">
                  <c:v>1.0481869303529989</c:v>
                </c:pt>
                <c:pt idx="41">
                  <c:v>0.8895556650619012</c:v>
                </c:pt>
                <c:pt idx="42">
                  <c:v>1.0907976212406678</c:v>
                </c:pt>
                <c:pt idx="43">
                  <c:v>1.3644401064855045</c:v>
                </c:pt>
                <c:pt idx="44">
                  <c:v>2.026133464568598</c:v>
                </c:pt>
                <c:pt idx="45">
                  <c:v>1.0973942720448291</c:v>
                </c:pt>
                <c:pt idx="46">
                  <c:v>0.98562788533325907</c:v>
                </c:pt>
                <c:pt idx="47">
                  <c:v>1.4640373507938222</c:v>
                </c:pt>
                <c:pt idx="48">
                  <c:v>1.3809493853196291</c:v>
                </c:pt>
                <c:pt idx="49">
                  <c:v>1.4199563683643344</c:v>
                </c:pt>
                <c:pt idx="50">
                  <c:v>1.475522751735959</c:v>
                </c:pt>
                <c:pt idx="51">
                  <c:v>1.27309123149891</c:v>
                </c:pt>
                <c:pt idx="52">
                  <c:v>1.2469865469530179</c:v>
                </c:pt>
                <c:pt idx="53">
                  <c:v>1.1655129674036879</c:v>
                </c:pt>
                <c:pt idx="54">
                  <c:v>1.2531862182554896</c:v>
                </c:pt>
                <c:pt idx="55">
                  <c:v>1.5826823462502129</c:v>
                </c:pt>
                <c:pt idx="56">
                  <c:v>1.5544472691861053</c:v>
                </c:pt>
                <c:pt idx="57">
                  <c:v>1.442758204923722</c:v>
                </c:pt>
                <c:pt idx="58">
                  <c:v>1.4826497557399227</c:v>
                </c:pt>
                <c:pt idx="59">
                  <c:v>2.174974506133498</c:v>
                </c:pt>
                <c:pt idx="60">
                  <c:v>1.4972626514386165</c:v>
                </c:pt>
                <c:pt idx="61">
                  <c:v>1.3977258696989101</c:v>
                </c:pt>
                <c:pt idx="62">
                  <c:v>0.76258686279019194</c:v>
                </c:pt>
                <c:pt idx="63">
                  <c:v>1.1967874044604496</c:v>
                </c:pt>
                <c:pt idx="64">
                  <c:v>1.0722975413219025</c:v>
                </c:pt>
                <c:pt idx="65">
                  <c:v>1.5664594759463404</c:v>
                </c:pt>
                <c:pt idx="66">
                  <c:v>1.0255894805756665</c:v>
                </c:pt>
                <c:pt idx="67">
                  <c:v>1.1239610456001559</c:v>
                </c:pt>
                <c:pt idx="68">
                  <c:v>1.3659420233933688</c:v>
                </c:pt>
                <c:pt idx="69">
                  <c:v>2.0198896669793127</c:v>
                </c:pt>
                <c:pt idx="70">
                  <c:v>1.0073514880240264</c:v>
                </c:pt>
                <c:pt idx="71">
                  <c:v>1.2693717428766924</c:v>
                </c:pt>
                <c:pt idx="72">
                  <c:v>0.68899285576499358</c:v>
                </c:pt>
                <c:pt idx="73">
                  <c:v>1.238381829394591</c:v>
                </c:pt>
                <c:pt idx="74">
                  <c:v>1.1467110720606977</c:v>
                </c:pt>
                <c:pt idx="75">
                  <c:v>1.0965525084732386</c:v>
                </c:pt>
                <c:pt idx="76">
                  <c:v>1.1735595679372355</c:v>
                </c:pt>
                <c:pt idx="77">
                  <c:v>1.315048143865398</c:v>
                </c:pt>
                <c:pt idx="78">
                  <c:v>1.7861103665870106</c:v>
                </c:pt>
                <c:pt idx="79">
                  <c:v>1.2899035169444732</c:v>
                </c:pt>
                <c:pt idx="80">
                  <c:v>2.0423028492575432</c:v>
                </c:pt>
                <c:pt idx="81">
                  <c:v>1.064482371447169</c:v>
                </c:pt>
                <c:pt idx="82">
                  <c:v>1.544147452951556</c:v>
                </c:pt>
                <c:pt idx="83">
                  <c:v>1.1490528414046224</c:v>
                </c:pt>
                <c:pt idx="84">
                  <c:v>1.3884697167238225</c:v>
                </c:pt>
                <c:pt idx="85">
                  <c:v>1.4651136604369419</c:v>
                </c:pt>
                <c:pt idx="86">
                  <c:v>0.86001927487082974</c:v>
                </c:pt>
                <c:pt idx="87">
                  <c:v>1.2668917303660405</c:v>
                </c:pt>
                <c:pt idx="88">
                  <c:v>0.88165711208215403</c:v>
                </c:pt>
                <c:pt idx="89">
                  <c:v>0.71248800255312017</c:v>
                </c:pt>
                <c:pt idx="90">
                  <c:v>1.8266877925293377</c:v>
                </c:pt>
                <c:pt idx="91">
                  <c:v>0.91549919899463328</c:v>
                </c:pt>
                <c:pt idx="92">
                  <c:v>1.4183650862354442</c:v>
                </c:pt>
                <c:pt idx="93">
                  <c:v>1.7651692037265589</c:v>
                </c:pt>
                <c:pt idx="94">
                  <c:v>0.80150179717014747</c:v>
                </c:pt>
                <c:pt idx="95">
                  <c:v>0.98261533359791564</c:v>
                </c:pt>
                <c:pt idx="96">
                  <c:v>0.94511399810235086</c:v>
                </c:pt>
                <c:pt idx="97">
                  <c:v>1.8309820093475906</c:v>
                </c:pt>
                <c:pt idx="98">
                  <c:v>1.6166850732670459</c:v>
                </c:pt>
                <c:pt idx="99">
                  <c:v>1.3835696306723551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D-4F79-8995-3A4E90214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scatterChart>
        <c:scatterStyle val="smoothMarker"/>
        <c:varyColors val="0"/>
        <c:ser>
          <c:idx val="1"/>
          <c:order val="1"/>
          <c:tx>
            <c:v>H média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'Modelo de Schumacher-Hall'!$BP$3:$BP$33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Schumacher-Hall'!$BT$3:$BT$33</c:f>
              <c:numCache>
                <c:formatCode>General</c:formatCode>
                <c:ptCount val="31"/>
                <c:pt idx="0">
                  <c:v>0.4493724603996937</c:v>
                </c:pt>
                <c:pt idx="1">
                  <c:v>0.49581089059911942</c:v>
                </c:pt>
                <c:pt idx="2">
                  <c:v>0.54455085340745379</c:v>
                </c:pt>
                <c:pt idx="3">
                  <c:v>0.595594022589091</c:v>
                </c:pt>
                <c:pt idx="4">
                  <c:v>0.64894199858153134</c:v>
                </c:pt>
                <c:pt idx="5">
                  <c:v>0.70459631469810391</c:v>
                </c:pt>
                <c:pt idx="6">
                  <c:v>0.76255844257354011</c:v>
                </c:pt>
                <c:pt idx="7">
                  <c:v>0.82282979697098146</c:v>
                </c:pt>
                <c:pt idx="8">
                  <c:v>0.88541174004664858</c:v>
                </c:pt>
                <c:pt idx="9">
                  <c:v>0.95030558515091534</c:v>
                </c:pt>
                <c:pt idx="10">
                  <c:v>1.0175126002307213</c:v>
                </c:pt>
                <c:pt idx="11">
                  <c:v>1.0870340108872707</c:v>
                </c:pt>
                <c:pt idx="12">
                  <c:v>1.1588710031341212</c:v>
                </c:pt>
                <c:pt idx="13">
                  <c:v>1.2330247258936247</c:v>
                </c:pt>
                <c:pt idx="14">
                  <c:v>1.3094962932638388</c:v>
                </c:pt>
                <c:pt idx="15">
                  <c:v>1.3882867865832589</c:v>
                </c:pt>
                <c:pt idx="16">
                  <c:v>1.4693972563167437</c:v>
                </c:pt>
                <c:pt idx="17">
                  <c:v>1.5528287237827214</c:v>
                </c:pt>
                <c:pt idx="18">
                  <c:v>1.638582182739045</c:v>
                </c:pt>
                <c:pt idx="19">
                  <c:v>1.7266586008425098</c:v>
                </c:pt>
                <c:pt idx="20">
                  <c:v>1.8170589209951351</c:v>
                </c:pt>
                <c:pt idx="21">
                  <c:v>1.9097840625886422</c:v>
                </c:pt>
                <c:pt idx="22">
                  <c:v>2.0048349226571474</c:v>
                </c:pt>
                <c:pt idx="23">
                  <c:v>2.1022123769469085</c:v>
                </c:pt>
                <c:pt idx="24">
                  <c:v>2.2019172809108829</c:v>
                </c:pt>
                <c:pt idx="25">
                  <c:v>2.3039504706349994</c:v>
                </c:pt>
                <c:pt idx="26">
                  <c:v>2.4083127637022934</c:v>
                </c:pt>
                <c:pt idx="27">
                  <c:v>2.5150049600002822</c:v>
                </c:pt>
                <c:pt idx="28">
                  <c:v>2.6240278424765426</c:v>
                </c:pt>
                <c:pt idx="29">
                  <c:v>2.7353821778467182</c:v>
                </c:pt>
                <c:pt idx="30">
                  <c:v>2.8490687172590179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DD-4F79-8995-3A4E9021483F}"/>
            </c:ext>
          </c:extLst>
        </c:ser>
        <c:ser>
          <c:idx val="2"/>
          <c:order val="2"/>
          <c:tx>
            <c:v>H Mínima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'Modelo de Schumacher-Hall'!$BP$3:$BP$33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Schumacher-Hall'!$BU$3:$BU$33</c:f>
              <c:numCache>
                <c:formatCode>General</c:formatCode>
                <c:ptCount val="31"/>
                <c:pt idx="0">
                  <c:v>0.42748329603215912</c:v>
                </c:pt>
                <c:pt idx="1">
                  <c:v>0.47165968633999594</c:v>
                </c:pt>
                <c:pt idx="2">
                  <c:v>0.51802550041605111</c:v>
                </c:pt>
                <c:pt idx="3">
                  <c:v>0.56658233049479145</c:v>
                </c:pt>
                <c:pt idx="4">
                  <c:v>0.61733169905558105</c:v>
                </c:pt>
                <c:pt idx="5">
                  <c:v>0.6702750647232657</c:v>
                </c:pt>
                <c:pt idx="6">
                  <c:v>0.72541382744849003</c:v>
                </c:pt>
                <c:pt idx="7">
                  <c:v>0.78274933308055294</c:v>
                </c:pt>
                <c:pt idx="8">
                  <c:v>0.84228287742434282</c:v>
                </c:pt>
                <c:pt idx="9">
                  <c:v>0.90401570985625923</c:v>
                </c:pt>
                <c:pt idx="10">
                  <c:v>0.9679490365608926</c:v>
                </c:pt>
                <c:pt idx="11">
                  <c:v>1.0340840234397799</c:v>
                </c:pt>
                <c:pt idx="12">
                  <c:v>1.1024217987351463</c:v>
                </c:pt>
                <c:pt idx="13">
                  <c:v>1.1729634554047441</c:v>
                </c:pt>
                <c:pt idx="14">
                  <c:v>1.2457100532783389</c:v>
                </c:pt>
                <c:pt idx="15">
                  <c:v>1.3206626210218704</c:v>
                </c:pt>
                <c:pt idx="16">
                  <c:v>1.3978221579315122</c:v>
                </c:pt>
                <c:pt idx="17">
                  <c:v>1.4771896355767451</c:v>
                </c:pt>
                <c:pt idx="18">
                  <c:v>1.5587659993089644</c:v>
                </c:pt>
                <c:pt idx="19">
                  <c:v>1.6425521696499037</c:v>
                </c:pt>
                <c:pt idx="20">
                  <c:v>1.7285490435723381</c:v>
                </c:pt>
                <c:pt idx="21">
                  <c:v>1.8167574956839441</c:v>
                </c:pt>
                <c:pt idx="22">
                  <c:v>1.9071783793238442</c:v>
                </c:pt>
                <c:pt idx="23">
                  <c:v>1.999812527580243</c:v>
                </c:pt>
                <c:pt idx="24">
                  <c:v>2.0946607542365436</c:v>
                </c:pt>
                <c:pt idx="25">
                  <c:v>2.1917238546524977</c:v>
                </c:pt>
                <c:pt idx="26">
                  <c:v>2.2910026065862503</c:v>
                </c:pt>
                <c:pt idx="27">
                  <c:v>2.3924977709623834</c:v>
                </c:pt>
                <c:pt idx="28">
                  <c:v>2.4962100925906947</c:v>
                </c:pt>
                <c:pt idx="29">
                  <c:v>2.6021403008397126</c:v>
                </c:pt>
                <c:pt idx="30">
                  <c:v>2.7102891102688296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DD-4F79-8995-3A4E9021483F}"/>
            </c:ext>
          </c:extLst>
        </c:ser>
        <c:ser>
          <c:idx val="3"/>
          <c:order val="3"/>
          <c:tx>
            <c:v>H Máxima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'Modelo de Schumacher-Hall'!$BP$3:$BP$33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'Modelo de Schumacher-Hall'!$BV$3:$BV$33</c:f>
              <c:numCache>
                <c:formatCode>General</c:formatCode>
                <c:ptCount val="31"/>
                <c:pt idx="0">
                  <c:v>0.4621544548620698</c:v>
                </c:pt>
                <c:pt idx="1">
                  <c:v>0.50991378433761614</c:v>
                </c:pt>
                <c:pt idx="2">
                  <c:v>0.56004011144196997</c:v>
                </c:pt>
                <c:pt idx="3">
                  <c:v>0.6125351575482445</c:v>
                </c:pt>
                <c:pt idx="4">
                  <c:v>0.66740056861694175</c:v>
                </c:pt>
                <c:pt idx="5">
                  <c:v>0.72463792157510587</c:v>
                </c:pt>
                <c:pt idx="6">
                  <c:v>0.7842487299167914</c:v>
                </c:pt>
                <c:pt idx="7">
                  <c:v>0.84623444864680164</c:v>
                </c:pt>
                <c:pt idx="8">
                  <c:v>0.91059647866666293</c:v>
                </c:pt>
                <c:pt idx="9">
                  <c:v>0.97733617068381629</c:v>
                </c:pt>
                <c:pt idx="10">
                  <c:v>1.0464548287108089</c:v>
                </c:pt>
                <c:pt idx="11">
                  <c:v>1.1179537132099657</c:v>
                </c:pt>
                <c:pt idx="12">
                  <c:v>1.1918340439299309</c:v>
                </c:pt>
                <c:pt idx="13">
                  <c:v>1.2680970024731175</c:v>
                </c:pt>
                <c:pt idx="14">
                  <c:v>1.3467437346270965</c:v>
                </c:pt>
                <c:pt idx="15">
                  <c:v>1.427775352488063</c:v>
                </c:pt>
                <c:pt idx="16">
                  <c:v>1.5111929364004004</c:v>
                </c:pt>
                <c:pt idx="17">
                  <c:v>1.5969975367330196</c:v>
                </c:pt>
                <c:pt idx="18">
                  <c:v>1.6851901755103194</c:v>
                </c:pt>
                <c:pt idx="19">
                  <c:v>1.7757718479132201</c:v>
                </c:pt>
                <c:pt idx="20">
                  <c:v>1.8687435236637386</c:v>
                </c:pt>
                <c:pt idx="21">
                  <c:v>1.964106148304865</c:v>
                </c:pt>
                <c:pt idx="22">
                  <c:v>2.0618606443860426</c:v>
                </c:pt>
                <c:pt idx="23">
                  <c:v>2.1620079125633413</c:v>
                </c:pt>
                <c:pt idx="24">
                  <c:v>2.2645488326223067</c:v>
                </c:pt>
                <c:pt idx="25">
                  <c:v>2.3694842644305782</c:v>
                </c:pt>
                <c:pt idx="26">
                  <c:v>2.4768150488266034</c:v>
                </c:pt>
                <c:pt idx="27">
                  <c:v>2.5865420084499786</c:v>
                </c:pt>
                <c:pt idx="28">
                  <c:v>2.6986659485185185</c:v>
                </c:pt>
                <c:pt idx="29">
                  <c:v>2.8131876575564023</c:v>
                </c:pt>
                <c:pt idx="30">
                  <c:v>2.9301079080775718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DD-4F79-8995-3A4E90214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764911"/>
        <c:axId val="800765391"/>
      </c:scatterChart>
      <c:valAx>
        <c:axId val="800764911"/>
        <c:scaling>
          <c:orientation val="minMax"/>
          <c:max val="5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DAP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5391"/>
        <c:crosses val="autoZero"/>
        <c:crossBetween val="midCat"/>
      </c:valAx>
      <c:valAx>
        <c:axId val="80076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Volume 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764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776766300836871"/>
          <c:y val="0.18033929737656032"/>
          <c:w val="0.1711915493685652"/>
          <c:h val="0.26408635540275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 de Resíduos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pt-BR" sz="14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Histograma de Resíduos</a:t>
          </a:r>
        </a:p>
      </cx:txPr>
    </cx:title>
    <cx:plotArea>
      <cx:plotAreaRegion>
        <cx:series layoutId="clusteredColumn" uniqueId="{2642E3AB-6E48-4619-AC36-6AE4C3A2F3D0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Resíduos (m³)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pt-B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Resíduos (m³)</a:t>
              </a:r>
            </a:p>
          </cx:txPr>
        </cx:title>
        <cx:tickLabels/>
        <cx:numFmt formatCode="#.##0,0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t-BR">
              <a:solidFill>
                <a:sysClr val="windowText" lastClr="000000"/>
              </a:solidFill>
            </a:endParaRPr>
          </a:p>
        </cx:txPr>
      </cx:axis>
      <cx:axis id="1">
        <cx:valScaling/>
        <cx:title>
          <cx:tx>
            <cx:txData>
              <cx:v>Frequência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pt-B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Frequência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t-BR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de Resíduos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pt-BR" sz="14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Histograma de Resíduos</a:t>
          </a:r>
        </a:p>
      </cx:txPr>
    </cx:title>
    <cx:plotArea>
      <cx:plotAreaRegion>
        <cx:series layoutId="clusteredColumn" uniqueId="{2642E3AB-6E48-4619-AC36-6AE4C3A2F3D0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Resíduos (m³)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pt-B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Resíduos (m³)</a:t>
              </a:r>
            </a:p>
          </cx:txPr>
        </cx:title>
        <cx:tickLabels/>
        <cx:numFmt formatCode="#.##0,0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t-BR">
              <a:solidFill>
                <a:sysClr val="windowText" lastClr="000000"/>
              </a:solidFill>
            </a:endParaRPr>
          </a:p>
        </cx:txPr>
      </cx:axis>
      <cx:axis id="1">
        <cx:valScaling/>
        <cx:title>
          <cx:tx>
            <cx:txData>
              <cx:v>Frequência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pt-BR" sz="9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Frequência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pt-BR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microsoft.com/office/2014/relationships/chartEx" Target="../charts/chartEx2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1</xdr:row>
      <xdr:rowOff>61912</xdr:rowOff>
    </xdr:from>
    <xdr:ext cx="149040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A9C9DF9-1646-A02D-3E36-916901770894}"/>
                </a:ext>
              </a:extLst>
            </xdr:cNvPr>
            <xdr:cNvSpPr txBox="1"/>
          </xdr:nvSpPr>
          <xdr:spPr>
            <a:xfrm>
              <a:off x="790575" y="252412"/>
              <a:ext cx="149040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6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. 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t-BR" sz="1600" b="0" i="1">
                        <a:latin typeface="Cambria Math" panose="02040503050406030204" pitchFamily="18" charset="0"/>
                      </a:rPr>
                      <m:t>h</m:t>
                    </m:r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A9C9DF9-1646-A02D-3E36-916901770894}"/>
                </a:ext>
              </a:extLst>
            </xdr:cNvPr>
            <xdr:cNvSpPr txBox="1"/>
          </xdr:nvSpPr>
          <xdr:spPr>
            <a:xfrm>
              <a:off x="790575" y="252412"/>
              <a:ext cx="149040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600" b="0" i="0">
                  <a:latin typeface="Cambria Math" panose="02040503050406030204" pitchFamily="18" charset="0"/>
                </a:rPr>
                <a:t>𝑣=𝛽_0+𝛽_1. 𝑑^2 ℎ</a:t>
              </a:r>
              <a:endParaRPr lang="pt-BR" sz="1600"/>
            </a:p>
          </xdr:txBody>
        </xdr:sp>
      </mc:Fallback>
    </mc:AlternateContent>
    <xdr:clientData/>
  </xdr:oneCellAnchor>
  <xdr:twoCellAnchor>
    <xdr:from>
      <xdr:col>13</xdr:col>
      <xdr:colOff>167640</xdr:colOff>
      <xdr:row>21</xdr:row>
      <xdr:rowOff>95250</xdr:rowOff>
    </xdr:from>
    <xdr:to>
      <xdr:col>20</xdr:col>
      <xdr:colOff>472440</xdr:colOff>
      <xdr:row>36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99F0F02-18C4-0469-A47F-B37AECAB3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152400</xdr:colOff>
      <xdr:row>37</xdr:row>
      <xdr:rowOff>129540</xdr:rowOff>
    </xdr:from>
    <xdr:to>
      <xdr:col>20</xdr:col>
      <xdr:colOff>457200</xdr:colOff>
      <xdr:row>52</xdr:row>
      <xdr:rowOff>129540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98D95C8-99F8-42B4-915D-19736EEB6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54</xdr:row>
      <xdr:rowOff>7620</xdr:rowOff>
    </xdr:from>
    <xdr:to>
      <xdr:col>20</xdr:col>
      <xdr:colOff>495300</xdr:colOff>
      <xdr:row>69</xdr:row>
      <xdr:rowOff>7620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F10C838-05CE-4CCF-B14F-AAB1456E9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381000</xdr:colOff>
      <xdr:row>6</xdr:row>
      <xdr:rowOff>148590</xdr:rowOff>
    </xdr:from>
    <xdr:to>
      <xdr:col>38</xdr:col>
      <xdr:colOff>76200</xdr:colOff>
      <xdr:row>21</xdr:row>
      <xdr:rowOff>110490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6F7987B-E984-7A37-2BB4-24E2E1FC0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472440</xdr:colOff>
      <xdr:row>22</xdr:row>
      <xdr:rowOff>114300</xdr:rowOff>
    </xdr:from>
    <xdr:to>
      <xdr:col>38</xdr:col>
      <xdr:colOff>167640</xdr:colOff>
      <xdr:row>37</xdr:row>
      <xdr:rowOff>114300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ED67AD3-9DBF-4C62-A476-34D41F200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388620</xdr:colOff>
      <xdr:row>7</xdr:row>
      <xdr:rowOff>3810</xdr:rowOff>
    </xdr:from>
    <xdr:to>
      <xdr:col>47</xdr:col>
      <xdr:colOff>342900</xdr:colOff>
      <xdr:row>21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D11CE6F7-073D-439A-F6A2-775C27CCC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39145" y="1346835"/>
              <a:ext cx="5440680" cy="2859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58</xdr:col>
      <xdr:colOff>281940</xdr:colOff>
      <xdr:row>2</xdr:row>
      <xdr:rowOff>91440</xdr:rowOff>
    </xdr:from>
    <xdr:to>
      <xdr:col>67</xdr:col>
      <xdr:colOff>213360</xdr:colOff>
      <xdr:row>20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48C9933-38F3-488D-810A-2D2203C50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1</xdr:row>
      <xdr:rowOff>61912</xdr:rowOff>
    </xdr:from>
    <xdr:ext cx="1392689" cy="2700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612FFFD-0DF1-4B0C-82BA-F13911DEBA0D}"/>
                </a:ext>
              </a:extLst>
            </xdr:cNvPr>
            <xdr:cNvSpPr txBox="1"/>
          </xdr:nvSpPr>
          <xdr:spPr>
            <a:xfrm>
              <a:off x="3838575" y="244792"/>
              <a:ext cx="1392689" cy="270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6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. 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sSub>
                          <m:sSub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sup>
                    </m:sSup>
                    <m:r>
                      <a:rPr lang="pt-BR" sz="1600" b="0" i="1">
                        <a:latin typeface="Cambria Math" panose="02040503050406030204" pitchFamily="18" charset="0"/>
                      </a:rPr>
                      <m:t>.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sSub>
                          <m:sSub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612FFFD-0DF1-4B0C-82BA-F13911DEBA0D}"/>
                </a:ext>
              </a:extLst>
            </xdr:cNvPr>
            <xdr:cNvSpPr txBox="1"/>
          </xdr:nvSpPr>
          <xdr:spPr>
            <a:xfrm>
              <a:off x="3838575" y="244792"/>
              <a:ext cx="1392689" cy="270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600" b="0" i="0">
                  <a:latin typeface="Cambria Math" panose="02040503050406030204" pitchFamily="18" charset="0"/>
                </a:rPr>
                <a:t>𝑣=𝛽_0. 𝑑^(𝛽_1 ).ℎ^(𝛽_2 )</a:t>
              </a:r>
              <a:endParaRPr lang="pt-BR" sz="1600"/>
            </a:p>
          </xdr:txBody>
        </xdr:sp>
      </mc:Fallback>
    </mc:AlternateContent>
    <xdr:clientData/>
  </xdr:oneCellAnchor>
  <xdr:twoCellAnchor>
    <xdr:from>
      <xdr:col>14</xdr:col>
      <xdr:colOff>167640</xdr:colOff>
      <xdr:row>21</xdr:row>
      <xdr:rowOff>95250</xdr:rowOff>
    </xdr:from>
    <xdr:to>
      <xdr:col>21</xdr:col>
      <xdr:colOff>472440</xdr:colOff>
      <xdr:row>36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11B5C1-1AAA-45E7-9488-D31191C1A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37</xdr:row>
      <xdr:rowOff>129540</xdr:rowOff>
    </xdr:from>
    <xdr:to>
      <xdr:col>21</xdr:col>
      <xdr:colOff>457200</xdr:colOff>
      <xdr:row>52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4AFC6E-F282-45C7-9F55-EEE76D2F0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381000</xdr:colOff>
      <xdr:row>6</xdr:row>
      <xdr:rowOff>148590</xdr:rowOff>
    </xdr:from>
    <xdr:to>
      <xdr:col>39</xdr:col>
      <xdr:colOff>76200</xdr:colOff>
      <xdr:row>21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9F19322-05F1-481D-9553-30AE773E8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472440</xdr:colOff>
      <xdr:row>22</xdr:row>
      <xdr:rowOff>114300</xdr:rowOff>
    </xdr:from>
    <xdr:to>
      <xdr:col>39</xdr:col>
      <xdr:colOff>167640</xdr:colOff>
      <xdr:row>37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890035-72E4-4124-9B6C-D1D02E7B2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388620</xdr:colOff>
      <xdr:row>7</xdr:row>
      <xdr:rowOff>3810</xdr:rowOff>
    </xdr:from>
    <xdr:to>
      <xdr:col>48</xdr:col>
      <xdr:colOff>342900</xdr:colOff>
      <xdr:row>21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25167352-D62C-4173-A1FF-6FD4DCEC98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20195" y="1346835"/>
              <a:ext cx="5440680" cy="2859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75</xdr:col>
      <xdr:colOff>281940</xdr:colOff>
      <xdr:row>2</xdr:row>
      <xdr:rowOff>91440</xdr:rowOff>
    </xdr:from>
    <xdr:to>
      <xdr:col>84</xdr:col>
      <xdr:colOff>213360</xdr:colOff>
      <xdr:row>20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62841CF-7249-4F96-BA2C-181FF11B1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</xdr:col>
      <xdr:colOff>592455</xdr:colOff>
      <xdr:row>5</xdr:row>
      <xdr:rowOff>92392</xdr:rowOff>
    </xdr:from>
    <xdr:ext cx="2207847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419EB255-E453-4D6B-9293-6AC22EA696C9}"/>
                </a:ext>
              </a:extLst>
            </xdr:cNvPr>
            <xdr:cNvSpPr txBox="1"/>
          </xdr:nvSpPr>
          <xdr:spPr>
            <a:xfrm>
              <a:off x="3640455" y="1014412"/>
              <a:ext cx="220784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2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t-BR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</m:d>
                      </m:e>
                    </m:func>
                    <m:r>
                      <a:rPr lang="pt-BR" sz="1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2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200" b="0" i="1">
                        <a:latin typeface="Cambria Math" panose="02040503050406030204" pitchFamily="18" charset="0"/>
                      </a:rPr>
                      <m:t>.</m:t>
                    </m:r>
                    <m:func>
                      <m:funcPr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2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t-BR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</m:d>
                      </m:e>
                    </m:func>
                    <m:r>
                      <a:rPr lang="pt-BR" sz="12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pt-BR" sz="1200" b="0" i="1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pt-BR" sz="12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pt-BR" sz="1200" b="0" i="1">
                        <a:latin typeface="Cambria Math" panose="02040503050406030204" pitchFamily="18" charset="0"/>
                      </a:rPr>
                      <m:t>⁡(</m:t>
                    </m:r>
                    <m:r>
                      <a:rPr lang="pt-BR" sz="12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pt-BR" sz="12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12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419EB255-E453-4D6B-9293-6AC22EA696C9}"/>
                </a:ext>
              </a:extLst>
            </xdr:cNvPr>
            <xdr:cNvSpPr txBox="1"/>
          </xdr:nvSpPr>
          <xdr:spPr>
            <a:xfrm>
              <a:off x="3640455" y="1014412"/>
              <a:ext cx="220784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200" b="0" i="0">
                  <a:latin typeface="Cambria Math" panose="02040503050406030204" pitchFamily="18" charset="0"/>
                </a:rPr>
                <a:t>ln⁡(𝑣)=𝛽_0+𝛽_1.ln⁡(𝑑)+𝛽_2.ln⁡(ℎ)</a:t>
              </a:r>
              <a:endParaRPr lang="pt-BR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B3DA-B066-4EFA-82B4-DDE2EB84E4D4}">
  <dimension ref="B2:H102"/>
  <sheetViews>
    <sheetView showGridLines="0" workbookViewId="0">
      <selection activeCell="B2" sqref="B2:E102"/>
    </sheetView>
  </sheetViews>
  <sheetFormatPr defaultRowHeight="15" x14ac:dyDescent="0.25"/>
  <sheetData>
    <row r="2" spans="2:8" x14ac:dyDescent="0.25">
      <c r="B2" s="1" t="s">
        <v>0</v>
      </c>
      <c r="C2" s="2" t="s">
        <v>2</v>
      </c>
      <c r="D2" s="1" t="s">
        <v>3</v>
      </c>
      <c r="E2" s="1" t="s">
        <v>1</v>
      </c>
    </row>
    <row r="3" spans="2:8" x14ac:dyDescent="0.25">
      <c r="B3" s="3">
        <v>1</v>
      </c>
      <c r="C3" s="5">
        <v>27.6</v>
      </c>
      <c r="D3" s="5">
        <v>27</v>
      </c>
      <c r="E3" s="4">
        <v>0.77367719536616997</v>
      </c>
    </row>
    <row r="4" spans="2:8" x14ac:dyDescent="0.25">
      <c r="B4" s="3">
        <v>2</v>
      </c>
      <c r="C4" s="5">
        <v>37</v>
      </c>
      <c r="D4" s="5">
        <v>27.95</v>
      </c>
      <c r="E4" s="4">
        <v>1.3530145267034794</v>
      </c>
    </row>
    <row r="5" spans="2:8" x14ac:dyDescent="0.25">
      <c r="B5" s="3">
        <v>3</v>
      </c>
      <c r="C5" s="5">
        <v>27.5</v>
      </c>
      <c r="D5" s="5">
        <v>26.349999999999998</v>
      </c>
      <c r="E5" s="4">
        <v>0.71280114080086654</v>
      </c>
    </row>
    <row r="6" spans="2:8" x14ac:dyDescent="0.25">
      <c r="B6" s="3">
        <v>4</v>
      </c>
      <c r="C6" s="5">
        <v>29.5</v>
      </c>
      <c r="D6" s="5">
        <v>27.15</v>
      </c>
      <c r="E6" s="4">
        <v>0.94271793156539674</v>
      </c>
    </row>
    <row r="7" spans="2:8" x14ac:dyDescent="0.25">
      <c r="B7" s="3">
        <v>5</v>
      </c>
      <c r="C7" s="5">
        <v>28</v>
      </c>
      <c r="D7" s="5">
        <v>26.2</v>
      </c>
      <c r="E7" s="4">
        <v>0.85045138427471978</v>
      </c>
    </row>
    <row r="8" spans="2:8" x14ac:dyDescent="0.25">
      <c r="B8" s="3">
        <v>6</v>
      </c>
      <c r="C8" s="5">
        <v>26</v>
      </c>
      <c r="D8" s="5">
        <v>27.099999999999998</v>
      </c>
      <c r="E8" s="4">
        <v>0.75413086037400401</v>
      </c>
    </row>
    <row r="9" spans="2:8" x14ac:dyDescent="0.25">
      <c r="B9" s="3">
        <v>7</v>
      </c>
      <c r="C9" s="5">
        <v>26.9</v>
      </c>
      <c r="D9" s="5">
        <v>25.400000000000002</v>
      </c>
      <c r="E9" s="4">
        <v>0.65420452114525274</v>
      </c>
      <c r="H9" s="6"/>
    </row>
    <row r="10" spans="2:8" x14ac:dyDescent="0.25">
      <c r="B10" s="3">
        <v>8</v>
      </c>
      <c r="C10" s="5">
        <v>27.8</v>
      </c>
      <c r="D10" s="5">
        <v>25.5</v>
      </c>
      <c r="E10" s="4">
        <v>0.76547013798784025</v>
      </c>
    </row>
    <row r="11" spans="2:8" x14ac:dyDescent="0.25">
      <c r="B11" s="3">
        <v>9</v>
      </c>
      <c r="C11" s="5">
        <v>29.8</v>
      </c>
      <c r="D11" s="5">
        <v>27</v>
      </c>
      <c r="E11" s="4">
        <v>1.0931516035260334</v>
      </c>
    </row>
    <row r="12" spans="2:8" x14ac:dyDescent="0.25">
      <c r="B12" s="3">
        <v>10</v>
      </c>
      <c r="C12" s="5">
        <v>33.9</v>
      </c>
      <c r="D12" s="5">
        <v>26.7</v>
      </c>
      <c r="E12" s="4">
        <v>1.2633416521276679</v>
      </c>
    </row>
    <row r="13" spans="2:8" x14ac:dyDescent="0.25">
      <c r="B13" s="3">
        <v>11</v>
      </c>
      <c r="C13" s="5">
        <v>29.6</v>
      </c>
      <c r="D13" s="5">
        <v>26.65</v>
      </c>
      <c r="E13" s="4">
        <v>0.94084990130366419</v>
      </c>
    </row>
    <row r="14" spans="2:8" x14ac:dyDescent="0.25">
      <c r="B14" s="3">
        <v>12</v>
      </c>
      <c r="C14" s="5">
        <v>28.1</v>
      </c>
      <c r="D14" s="5">
        <v>25.75</v>
      </c>
      <c r="E14" s="4">
        <v>0.85869649419406635</v>
      </c>
    </row>
    <row r="15" spans="2:8" x14ac:dyDescent="0.25">
      <c r="B15" s="3">
        <v>13</v>
      </c>
      <c r="C15" s="5">
        <v>29.5</v>
      </c>
      <c r="D15" s="5">
        <v>27.7</v>
      </c>
      <c r="E15" s="4">
        <v>0.98497718295488434</v>
      </c>
    </row>
    <row r="16" spans="2:8" x14ac:dyDescent="0.25">
      <c r="B16" s="3">
        <v>14</v>
      </c>
      <c r="C16" s="5">
        <v>26</v>
      </c>
      <c r="D16" s="5">
        <v>23.6</v>
      </c>
      <c r="E16" s="4">
        <v>0.64103386518397554</v>
      </c>
    </row>
    <row r="17" spans="2:5" x14ac:dyDescent="0.25">
      <c r="B17" s="3">
        <v>15</v>
      </c>
      <c r="C17" s="5">
        <v>27.8</v>
      </c>
      <c r="D17" s="5">
        <v>24.75</v>
      </c>
      <c r="E17" s="4">
        <v>0.67049802492395338</v>
      </c>
    </row>
    <row r="18" spans="2:5" x14ac:dyDescent="0.25">
      <c r="B18" s="3">
        <v>16</v>
      </c>
      <c r="C18" s="5">
        <v>31.5</v>
      </c>
      <c r="D18" s="5">
        <v>24.35</v>
      </c>
      <c r="E18" s="4">
        <v>0.91115770120694395</v>
      </c>
    </row>
    <row r="19" spans="2:5" x14ac:dyDescent="0.25">
      <c r="B19" s="3">
        <v>17</v>
      </c>
      <c r="C19" s="5">
        <v>35</v>
      </c>
      <c r="D19" s="5">
        <v>26.95</v>
      </c>
      <c r="E19" s="4">
        <v>1.3887377338470819</v>
      </c>
    </row>
    <row r="20" spans="2:5" x14ac:dyDescent="0.25">
      <c r="B20" s="3">
        <v>18</v>
      </c>
      <c r="C20" s="5">
        <v>28.3</v>
      </c>
      <c r="D20" s="5">
        <v>25.1</v>
      </c>
      <c r="E20" s="4">
        <v>0.78982407839773394</v>
      </c>
    </row>
    <row r="21" spans="2:5" x14ac:dyDescent="0.25">
      <c r="B21" s="3">
        <v>19</v>
      </c>
      <c r="C21" s="5">
        <v>33.9</v>
      </c>
      <c r="D21" s="5">
        <v>27.95</v>
      </c>
      <c r="E21" s="4">
        <v>1.3871130199363699</v>
      </c>
    </row>
    <row r="22" spans="2:5" x14ac:dyDescent="0.25">
      <c r="B22" s="3">
        <v>20</v>
      </c>
      <c r="C22" s="5">
        <v>40.700000000000003</v>
      </c>
      <c r="D22" s="5">
        <v>27.7</v>
      </c>
      <c r="E22" s="4">
        <v>1.640638840222719</v>
      </c>
    </row>
    <row r="23" spans="2:5" x14ac:dyDescent="0.25">
      <c r="B23" s="3">
        <v>21</v>
      </c>
      <c r="C23" s="5">
        <v>31.6</v>
      </c>
      <c r="D23" s="5">
        <v>27.3</v>
      </c>
      <c r="E23" s="4">
        <v>1.0808129983790598</v>
      </c>
    </row>
    <row r="24" spans="2:5" x14ac:dyDescent="0.25">
      <c r="B24" s="3">
        <v>22</v>
      </c>
      <c r="C24" s="5">
        <v>31.5</v>
      </c>
      <c r="D24" s="5">
        <v>27.349999999999998</v>
      </c>
      <c r="E24" s="4">
        <v>1.1637899609128264</v>
      </c>
    </row>
    <row r="25" spans="2:5" x14ac:dyDescent="0.25">
      <c r="B25" s="3">
        <v>23</v>
      </c>
      <c r="C25" s="5">
        <v>29.5</v>
      </c>
      <c r="D25" s="5">
        <v>24.700000000000003</v>
      </c>
      <c r="E25" s="4">
        <v>0.98376810175224216</v>
      </c>
    </row>
    <row r="26" spans="2:5" x14ac:dyDescent="0.25">
      <c r="B26" s="3">
        <v>24</v>
      </c>
      <c r="C26" s="5">
        <v>37.5</v>
      </c>
      <c r="D26" s="5">
        <v>26.5</v>
      </c>
      <c r="E26" s="4">
        <v>1.8908197937208222</v>
      </c>
    </row>
    <row r="27" spans="2:5" x14ac:dyDescent="0.25">
      <c r="B27" s="3">
        <v>25</v>
      </c>
      <c r="C27" s="5">
        <v>28.5</v>
      </c>
      <c r="D27" s="5">
        <v>27.099999999999998</v>
      </c>
      <c r="E27" s="4">
        <v>0.98304262946871201</v>
      </c>
    </row>
    <row r="28" spans="2:5" x14ac:dyDescent="0.25">
      <c r="B28" s="3">
        <v>26</v>
      </c>
      <c r="C28" s="5">
        <v>33.5</v>
      </c>
      <c r="D28" s="5">
        <v>27.5</v>
      </c>
      <c r="E28" s="4">
        <v>1.1464958206040494</v>
      </c>
    </row>
    <row r="29" spans="2:5" x14ac:dyDescent="0.25">
      <c r="B29" s="3">
        <v>27</v>
      </c>
      <c r="C29" s="5">
        <v>24.5</v>
      </c>
      <c r="D29" s="5">
        <v>25.75</v>
      </c>
      <c r="E29" s="4">
        <v>0.70725582397822961</v>
      </c>
    </row>
    <row r="30" spans="2:5" x14ac:dyDescent="0.25">
      <c r="B30" s="3">
        <v>28</v>
      </c>
      <c r="C30" s="5">
        <v>30</v>
      </c>
      <c r="D30" s="5">
        <v>27.7</v>
      </c>
      <c r="E30" s="4">
        <v>1.0323661315489085</v>
      </c>
    </row>
    <row r="31" spans="2:5" x14ac:dyDescent="0.25">
      <c r="B31" s="3">
        <v>29</v>
      </c>
      <c r="C31" s="5">
        <v>28.1</v>
      </c>
      <c r="D31" s="5">
        <v>26.9</v>
      </c>
      <c r="E31" s="4">
        <v>0.97500046643478733</v>
      </c>
    </row>
    <row r="32" spans="2:5" x14ac:dyDescent="0.25">
      <c r="B32" s="3">
        <v>30</v>
      </c>
      <c r="C32" s="5">
        <v>28</v>
      </c>
      <c r="D32" s="5">
        <v>25.700000000000003</v>
      </c>
      <c r="E32" s="4">
        <v>0.96529979118918596</v>
      </c>
    </row>
    <row r="33" spans="2:5" x14ac:dyDescent="0.25">
      <c r="B33" s="3">
        <v>31</v>
      </c>
      <c r="C33" s="5">
        <v>29.5</v>
      </c>
      <c r="D33" s="5">
        <v>25.55</v>
      </c>
      <c r="E33" s="4">
        <v>0.94285491809506261</v>
      </c>
    </row>
    <row r="34" spans="2:5" x14ac:dyDescent="0.25">
      <c r="B34" s="3">
        <v>32</v>
      </c>
      <c r="C34" s="5">
        <v>30.3</v>
      </c>
      <c r="D34" s="5">
        <v>25.700000000000003</v>
      </c>
      <c r="E34" s="4">
        <v>1.0061775141192881</v>
      </c>
    </row>
    <row r="35" spans="2:5" x14ac:dyDescent="0.25">
      <c r="B35" s="3">
        <v>33</v>
      </c>
      <c r="C35" s="5">
        <v>23.5</v>
      </c>
      <c r="D35" s="5">
        <v>25.3</v>
      </c>
      <c r="E35" s="4">
        <v>0.60666972411228581</v>
      </c>
    </row>
    <row r="36" spans="2:5" x14ac:dyDescent="0.25">
      <c r="B36" s="3">
        <v>34</v>
      </c>
      <c r="C36" s="5">
        <v>29.8</v>
      </c>
      <c r="D36" s="5">
        <v>26.9</v>
      </c>
      <c r="E36" s="4">
        <v>1.1416761331445753</v>
      </c>
    </row>
    <row r="37" spans="2:5" x14ac:dyDescent="0.25">
      <c r="B37" s="3">
        <v>35</v>
      </c>
      <c r="C37" s="5">
        <v>30.5</v>
      </c>
      <c r="D37" s="5">
        <v>26.4</v>
      </c>
      <c r="E37" s="4">
        <v>0.96403685785247362</v>
      </c>
    </row>
    <row r="38" spans="2:5" x14ac:dyDescent="0.25">
      <c r="B38" s="3">
        <v>36</v>
      </c>
      <c r="C38" s="5">
        <v>43.7</v>
      </c>
      <c r="D38" s="5">
        <v>27.599999999999998</v>
      </c>
      <c r="E38" s="4">
        <v>2.1557410475896908</v>
      </c>
    </row>
    <row r="39" spans="2:5" x14ac:dyDescent="0.25">
      <c r="B39" s="3">
        <v>37</v>
      </c>
      <c r="C39" s="5">
        <v>28.5</v>
      </c>
      <c r="D39" s="5">
        <v>27.3</v>
      </c>
      <c r="E39" s="4">
        <v>0.9640518196874861</v>
      </c>
    </row>
    <row r="40" spans="2:5" x14ac:dyDescent="0.25">
      <c r="B40" s="3">
        <v>38</v>
      </c>
      <c r="C40" s="5">
        <v>26.5</v>
      </c>
      <c r="D40" s="5">
        <v>27.15</v>
      </c>
      <c r="E40" s="4">
        <v>0.89648751071223065</v>
      </c>
    </row>
    <row r="41" spans="2:5" x14ac:dyDescent="0.25">
      <c r="B41" s="3">
        <v>39</v>
      </c>
      <c r="C41" s="5">
        <v>26.5</v>
      </c>
      <c r="D41" s="5">
        <v>27.599999999999998</v>
      </c>
      <c r="E41" s="4">
        <v>0.82175204526625856</v>
      </c>
    </row>
    <row r="42" spans="2:5" x14ac:dyDescent="0.25">
      <c r="B42" s="3">
        <v>40</v>
      </c>
      <c r="C42" s="5">
        <v>35.5</v>
      </c>
      <c r="D42" s="5">
        <v>27.9</v>
      </c>
      <c r="E42" s="4">
        <v>1.4750505572701549</v>
      </c>
    </row>
    <row r="43" spans="2:5" x14ac:dyDescent="0.25">
      <c r="B43" s="3">
        <v>41</v>
      </c>
      <c r="C43" s="5">
        <v>31.6</v>
      </c>
      <c r="D43" s="5">
        <v>23.9</v>
      </c>
      <c r="E43" s="4">
        <v>1.0481869303529989</v>
      </c>
    </row>
    <row r="44" spans="2:5" x14ac:dyDescent="0.25">
      <c r="B44" s="3">
        <v>42</v>
      </c>
      <c r="C44" s="5">
        <v>28.1</v>
      </c>
      <c r="D44" s="5">
        <v>25.650000000000002</v>
      </c>
      <c r="E44" s="4">
        <v>0.8895556650619012</v>
      </c>
    </row>
    <row r="45" spans="2:5" x14ac:dyDescent="0.25">
      <c r="B45" s="3">
        <v>43</v>
      </c>
      <c r="C45" s="5">
        <v>33.200000000000003</v>
      </c>
      <c r="D45" s="5">
        <v>26.599999999999998</v>
      </c>
      <c r="E45" s="4">
        <v>1.0907976212406678</v>
      </c>
    </row>
    <row r="46" spans="2:5" x14ac:dyDescent="0.25">
      <c r="B46" s="3">
        <v>44</v>
      </c>
      <c r="C46" s="5">
        <v>35</v>
      </c>
      <c r="D46" s="5">
        <v>24.6</v>
      </c>
      <c r="E46" s="4">
        <v>1.3644401064855045</v>
      </c>
    </row>
    <row r="47" spans="2:5" x14ac:dyDescent="0.25">
      <c r="B47" s="3">
        <v>45</v>
      </c>
      <c r="C47" s="5">
        <v>43.6</v>
      </c>
      <c r="D47" s="5">
        <v>26.849999999999998</v>
      </c>
      <c r="E47" s="4">
        <v>2.026133464568598</v>
      </c>
    </row>
    <row r="48" spans="2:5" x14ac:dyDescent="0.25">
      <c r="B48" s="3">
        <v>46</v>
      </c>
      <c r="C48" s="5">
        <v>29</v>
      </c>
      <c r="D48" s="5">
        <v>24.400000000000002</v>
      </c>
      <c r="E48" s="4">
        <v>1.0973942720448291</v>
      </c>
    </row>
    <row r="49" spans="2:5" x14ac:dyDescent="0.25">
      <c r="B49" s="3">
        <v>47</v>
      </c>
      <c r="C49" s="5">
        <v>28.5</v>
      </c>
      <c r="D49" s="5">
        <v>26.7</v>
      </c>
      <c r="E49" s="4">
        <v>0.98562788533325907</v>
      </c>
    </row>
    <row r="50" spans="2:5" x14ac:dyDescent="0.25">
      <c r="B50" s="3">
        <v>48</v>
      </c>
      <c r="C50" s="5">
        <v>34</v>
      </c>
      <c r="D50" s="5">
        <v>24.85</v>
      </c>
      <c r="E50" s="4">
        <v>1.4640373507938222</v>
      </c>
    </row>
    <row r="51" spans="2:5" x14ac:dyDescent="0.25">
      <c r="B51" s="3">
        <v>49</v>
      </c>
      <c r="C51" s="5">
        <v>34</v>
      </c>
      <c r="D51" s="5">
        <v>28.4</v>
      </c>
      <c r="E51" s="4">
        <v>1.3809493853196291</v>
      </c>
    </row>
    <row r="52" spans="2:5" x14ac:dyDescent="0.25">
      <c r="B52" s="3">
        <v>50</v>
      </c>
      <c r="C52" s="5">
        <v>35</v>
      </c>
      <c r="D52" s="5">
        <v>28.349999999999998</v>
      </c>
      <c r="E52" s="4">
        <v>1.4199563683643344</v>
      </c>
    </row>
    <row r="53" spans="2:5" x14ac:dyDescent="0.25">
      <c r="B53" s="3">
        <v>51</v>
      </c>
      <c r="C53" s="5">
        <v>35.5</v>
      </c>
      <c r="D53" s="5">
        <v>27.8</v>
      </c>
      <c r="E53" s="4">
        <v>1.475522751735959</v>
      </c>
    </row>
    <row r="54" spans="2:5" x14ac:dyDescent="0.25">
      <c r="B54" s="3">
        <v>52</v>
      </c>
      <c r="C54" s="5">
        <v>32</v>
      </c>
      <c r="D54" s="5">
        <v>25.35</v>
      </c>
      <c r="E54" s="4">
        <v>1.27309123149891</v>
      </c>
    </row>
    <row r="55" spans="2:5" x14ac:dyDescent="0.25">
      <c r="B55" s="3">
        <v>53</v>
      </c>
      <c r="C55" s="5">
        <v>34</v>
      </c>
      <c r="D55" s="5">
        <v>26.95</v>
      </c>
      <c r="E55" s="4">
        <v>1.2469865469530179</v>
      </c>
    </row>
    <row r="56" spans="2:5" x14ac:dyDescent="0.25">
      <c r="B56" s="3">
        <v>54</v>
      </c>
      <c r="C56" s="5">
        <v>31</v>
      </c>
      <c r="D56" s="5">
        <v>25.05</v>
      </c>
      <c r="E56" s="4">
        <v>1.1655129674036879</v>
      </c>
    </row>
    <row r="57" spans="2:5" x14ac:dyDescent="0.25">
      <c r="B57" s="3">
        <v>55</v>
      </c>
      <c r="C57" s="5">
        <v>33</v>
      </c>
      <c r="D57" s="5">
        <v>26.95</v>
      </c>
      <c r="E57" s="4">
        <v>1.2531862182554896</v>
      </c>
    </row>
    <row r="58" spans="2:5" x14ac:dyDescent="0.25">
      <c r="B58" s="3">
        <v>56</v>
      </c>
      <c r="C58" s="5">
        <v>34.200000000000003</v>
      </c>
      <c r="D58" s="5">
        <v>25.200000000000003</v>
      </c>
      <c r="E58" s="4">
        <v>1.5826823462502129</v>
      </c>
    </row>
    <row r="59" spans="2:5" x14ac:dyDescent="0.25">
      <c r="B59" s="3">
        <v>57</v>
      </c>
      <c r="C59" s="5">
        <v>38</v>
      </c>
      <c r="D59" s="5">
        <v>26.95</v>
      </c>
      <c r="E59" s="4">
        <v>1.5544472691861053</v>
      </c>
    </row>
    <row r="60" spans="2:5" x14ac:dyDescent="0.25">
      <c r="B60" s="3">
        <v>58</v>
      </c>
      <c r="C60" s="5">
        <v>34.5</v>
      </c>
      <c r="D60" s="5">
        <v>25.5</v>
      </c>
      <c r="E60" s="4">
        <v>1.442758204923722</v>
      </c>
    </row>
    <row r="61" spans="2:5" x14ac:dyDescent="0.25">
      <c r="B61" s="3">
        <v>59</v>
      </c>
      <c r="C61" s="5">
        <v>34.5</v>
      </c>
      <c r="D61" s="5">
        <v>26.3</v>
      </c>
      <c r="E61" s="4">
        <v>1.4826497557399227</v>
      </c>
    </row>
    <row r="62" spans="2:5" x14ac:dyDescent="0.25">
      <c r="B62" s="3">
        <v>60</v>
      </c>
      <c r="C62" s="5">
        <v>42.5</v>
      </c>
      <c r="D62" s="5">
        <v>24.8</v>
      </c>
      <c r="E62" s="4">
        <v>2.174974506133498</v>
      </c>
    </row>
    <row r="63" spans="2:5" x14ac:dyDescent="0.25">
      <c r="B63" s="3">
        <v>61</v>
      </c>
      <c r="C63" s="5">
        <v>37.700000000000003</v>
      </c>
      <c r="D63" s="5">
        <v>26.9</v>
      </c>
      <c r="E63" s="4">
        <v>1.4972626514386165</v>
      </c>
    </row>
    <row r="64" spans="2:5" x14ac:dyDescent="0.25">
      <c r="B64" s="3">
        <v>62</v>
      </c>
      <c r="C64" s="5">
        <v>37</v>
      </c>
      <c r="D64" s="5">
        <v>26.4</v>
      </c>
      <c r="E64" s="4">
        <v>1.3977258696989101</v>
      </c>
    </row>
    <row r="65" spans="2:5" x14ac:dyDescent="0.25">
      <c r="B65" s="3">
        <v>63</v>
      </c>
      <c r="C65" s="5">
        <v>25.5</v>
      </c>
      <c r="D65" s="5">
        <v>25.5</v>
      </c>
      <c r="E65" s="4">
        <v>0.76258686279019194</v>
      </c>
    </row>
    <row r="66" spans="2:5" x14ac:dyDescent="0.25">
      <c r="B66" s="3">
        <v>64</v>
      </c>
      <c r="C66" s="5">
        <v>32.5</v>
      </c>
      <c r="D66" s="5">
        <v>27</v>
      </c>
      <c r="E66" s="4">
        <v>1.1967874044604496</v>
      </c>
    </row>
    <row r="67" spans="2:5" x14ac:dyDescent="0.25">
      <c r="B67" s="3">
        <v>65</v>
      </c>
      <c r="C67" s="5">
        <v>29</v>
      </c>
      <c r="D67" s="5">
        <v>27.55</v>
      </c>
      <c r="E67" s="4">
        <v>1.0722975413219025</v>
      </c>
    </row>
    <row r="68" spans="2:5" x14ac:dyDescent="0.25">
      <c r="B68" s="3">
        <v>66</v>
      </c>
      <c r="C68" s="5">
        <v>38</v>
      </c>
      <c r="D68" s="5">
        <v>26.349999999999998</v>
      </c>
      <c r="E68" s="4">
        <v>1.5664594759463404</v>
      </c>
    </row>
    <row r="69" spans="2:5" x14ac:dyDescent="0.25">
      <c r="B69" s="3">
        <v>67</v>
      </c>
      <c r="C69" s="5">
        <v>28.5</v>
      </c>
      <c r="D69" s="5">
        <v>25.6</v>
      </c>
      <c r="E69" s="4">
        <v>1.0255894805756665</v>
      </c>
    </row>
    <row r="70" spans="2:5" x14ac:dyDescent="0.25">
      <c r="B70" s="3">
        <v>68</v>
      </c>
      <c r="C70" s="5">
        <v>31</v>
      </c>
      <c r="D70" s="5">
        <v>26.849999999999998</v>
      </c>
      <c r="E70" s="4">
        <v>1.1239610456001559</v>
      </c>
    </row>
    <row r="71" spans="2:5" x14ac:dyDescent="0.25">
      <c r="B71" s="3">
        <v>69</v>
      </c>
      <c r="C71" s="5">
        <v>36.5</v>
      </c>
      <c r="D71" s="5">
        <v>26.4</v>
      </c>
      <c r="E71" s="4">
        <v>1.3659420233933688</v>
      </c>
    </row>
    <row r="72" spans="2:5" x14ac:dyDescent="0.25">
      <c r="B72" s="3">
        <v>70</v>
      </c>
      <c r="C72" s="5">
        <v>40</v>
      </c>
      <c r="D72" s="5">
        <v>24.700000000000003</v>
      </c>
      <c r="E72" s="4">
        <v>2.0198896669793127</v>
      </c>
    </row>
    <row r="73" spans="2:5" x14ac:dyDescent="0.25">
      <c r="B73" s="3">
        <v>71</v>
      </c>
      <c r="C73" s="5">
        <v>29.5</v>
      </c>
      <c r="D73" s="5">
        <v>24.200000000000003</v>
      </c>
      <c r="E73" s="4">
        <v>1.0073514880240264</v>
      </c>
    </row>
    <row r="74" spans="2:5" x14ac:dyDescent="0.25">
      <c r="B74" s="3">
        <v>72</v>
      </c>
      <c r="C74" s="5">
        <v>31</v>
      </c>
      <c r="D74" s="5">
        <v>27.9</v>
      </c>
      <c r="E74" s="4">
        <v>1.2693717428766924</v>
      </c>
    </row>
    <row r="75" spans="2:5" x14ac:dyDescent="0.25">
      <c r="B75" s="3">
        <v>73</v>
      </c>
      <c r="C75" s="5">
        <v>26.5</v>
      </c>
      <c r="D75" s="5">
        <v>22.8</v>
      </c>
      <c r="E75" s="4">
        <v>0.68899285576499358</v>
      </c>
    </row>
    <row r="76" spans="2:5" x14ac:dyDescent="0.25">
      <c r="B76" s="3">
        <v>74</v>
      </c>
      <c r="C76" s="5">
        <v>32</v>
      </c>
      <c r="D76" s="5">
        <v>26</v>
      </c>
      <c r="E76" s="4">
        <v>1.238381829394591</v>
      </c>
    </row>
    <row r="77" spans="2:5" x14ac:dyDescent="0.25">
      <c r="B77" s="3">
        <v>75</v>
      </c>
      <c r="C77" s="5">
        <v>32.5</v>
      </c>
      <c r="D77" s="5">
        <v>24.1</v>
      </c>
      <c r="E77" s="4">
        <v>1.1467110720606977</v>
      </c>
    </row>
    <row r="78" spans="2:5" x14ac:dyDescent="0.25">
      <c r="B78" s="3">
        <v>76</v>
      </c>
      <c r="C78" s="5">
        <v>32</v>
      </c>
      <c r="D78" s="5">
        <v>25.700000000000003</v>
      </c>
      <c r="E78" s="4">
        <v>1.0965525084732386</v>
      </c>
    </row>
    <row r="79" spans="2:5" x14ac:dyDescent="0.25">
      <c r="B79" s="3">
        <v>77</v>
      </c>
      <c r="C79" s="5">
        <v>34.200000000000003</v>
      </c>
      <c r="D79" s="5">
        <v>25.55</v>
      </c>
      <c r="E79" s="4">
        <v>1.1735595679372355</v>
      </c>
    </row>
    <row r="80" spans="2:5" x14ac:dyDescent="0.25">
      <c r="B80" s="3">
        <v>78</v>
      </c>
      <c r="C80" s="5">
        <v>35.5</v>
      </c>
      <c r="D80" s="5">
        <v>25.5</v>
      </c>
      <c r="E80" s="4">
        <v>1.315048143865398</v>
      </c>
    </row>
    <row r="81" spans="2:5" x14ac:dyDescent="0.25">
      <c r="B81" s="3">
        <v>79</v>
      </c>
      <c r="C81" s="5">
        <v>40.9</v>
      </c>
      <c r="D81" s="5">
        <v>25.200000000000003</v>
      </c>
      <c r="E81" s="4">
        <v>1.7861103665870106</v>
      </c>
    </row>
    <row r="82" spans="2:5" x14ac:dyDescent="0.25">
      <c r="B82" s="3">
        <v>80</v>
      </c>
      <c r="C82" s="5">
        <v>32</v>
      </c>
      <c r="D82" s="5">
        <v>27.5</v>
      </c>
      <c r="E82" s="4">
        <v>1.2899035169444732</v>
      </c>
    </row>
    <row r="83" spans="2:5" x14ac:dyDescent="0.25">
      <c r="B83" s="3">
        <v>81</v>
      </c>
      <c r="C83" s="5">
        <v>40</v>
      </c>
      <c r="D83" s="5">
        <v>26.05</v>
      </c>
      <c r="E83" s="4">
        <v>2.0423028492575432</v>
      </c>
    </row>
    <row r="84" spans="2:5" x14ac:dyDescent="0.25">
      <c r="B84" s="3">
        <v>82</v>
      </c>
      <c r="C84" s="5">
        <v>30.6</v>
      </c>
      <c r="D84" s="5">
        <v>25.200000000000003</v>
      </c>
      <c r="E84" s="4">
        <v>1.064482371447169</v>
      </c>
    </row>
    <row r="85" spans="2:5" x14ac:dyDescent="0.25">
      <c r="B85" s="3">
        <v>83</v>
      </c>
      <c r="C85" s="5">
        <v>36.6</v>
      </c>
      <c r="D85" s="5">
        <v>26.1</v>
      </c>
      <c r="E85" s="4">
        <v>1.544147452951556</v>
      </c>
    </row>
    <row r="86" spans="2:5" x14ac:dyDescent="0.25">
      <c r="B86" s="3">
        <v>84</v>
      </c>
      <c r="C86" s="5">
        <v>32.1</v>
      </c>
      <c r="D86" s="5">
        <v>27.5</v>
      </c>
      <c r="E86" s="4">
        <v>1.1490528414046224</v>
      </c>
    </row>
    <row r="87" spans="2:5" x14ac:dyDescent="0.25">
      <c r="B87" s="3">
        <v>85</v>
      </c>
      <c r="C87" s="5">
        <v>35.6</v>
      </c>
      <c r="D87" s="5">
        <v>27.15</v>
      </c>
      <c r="E87" s="4">
        <v>1.3884697167238225</v>
      </c>
    </row>
    <row r="88" spans="2:5" x14ac:dyDescent="0.25">
      <c r="B88" s="3">
        <v>86</v>
      </c>
      <c r="C88" s="5">
        <v>34.700000000000003</v>
      </c>
      <c r="D88" s="5">
        <v>26.7</v>
      </c>
      <c r="E88" s="4">
        <v>1.4651136604369419</v>
      </c>
    </row>
    <row r="89" spans="2:5" x14ac:dyDescent="0.25">
      <c r="B89" s="3">
        <v>87</v>
      </c>
      <c r="C89" s="5">
        <v>27</v>
      </c>
      <c r="D89" s="5">
        <v>25.5</v>
      </c>
      <c r="E89" s="4">
        <v>0.86001927487082974</v>
      </c>
    </row>
    <row r="90" spans="2:5" x14ac:dyDescent="0.25">
      <c r="B90" s="3">
        <v>88</v>
      </c>
      <c r="C90" s="5">
        <v>33.299999999999997</v>
      </c>
      <c r="D90" s="5">
        <v>27.8</v>
      </c>
      <c r="E90" s="4">
        <v>1.2668917303660405</v>
      </c>
    </row>
    <row r="91" spans="2:5" x14ac:dyDescent="0.25">
      <c r="B91" s="3">
        <v>89</v>
      </c>
      <c r="C91" s="5">
        <v>28.3</v>
      </c>
      <c r="D91" s="5">
        <v>25.5</v>
      </c>
      <c r="E91" s="4">
        <v>0.88165711208215403</v>
      </c>
    </row>
    <row r="92" spans="2:5" x14ac:dyDescent="0.25">
      <c r="B92" s="3">
        <v>90</v>
      </c>
      <c r="C92" s="5">
        <v>25.2</v>
      </c>
      <c r="D92" s="5">
        <v>25.35</v>
      </c>
      <c r="E92" s="4">
        <v>0.71248800255312017</v>
      </c>
    </row>
    <row r="93" spans="2:5" x14ac:dyDescent="0.25">
      <c r="B93" s="3">
        <v>91</v>
      </c>
      <c r="C93" s="5">
        <v>41</v>
      </c>
      <c r="D93" s="5">
        <v>26.5</v>
      </c>
      <c r="E93" s="4">
        <v>1.8266877925293377</v>
      </c>
    </row>
    <row r="94" spans="2:5" x14ac:dyDescent="0.25">
      <c r="B94" s="3">
        <v>92</v>
      </c>
      <c r="C94" s="5">
        <v>28.5</v>
      </c>
      <c r="D94" s="5">
        <v>27.55</v>
      </c>
      <c r="E94" s="4">
        <v>0.91549919899463328</v>
      </c>
    </row>
    <row r="95" spans="2:5" x14ac:dyDescent="0.25">
      <c r="B95" s="3">
        <v>93</v>
      </c>
      <c r="C95" s="5">
        <v>35.6</v>
      </c>
      <c r="D95" s="5">
        <v>26</v>
      </c>
      <c r="E95" s="4">
        <v>1.4183650862354442</v>
      </c>
    </row>
    <row r="96" spans="2:5" x14ac:dyDescent="0.25">
      <c r="B96" s="3">
        <v>94</v>
      </c>
      <c r="C96" s="5">
        <v>38.5</v>
      </c>
      <c r="D96" s="5">
        <v>27.099999999999998</v>
      </c>
      <c r="E96" s="4">
        <v>1.7651692037265589</v>
      </c>
    </row>
    <row r="97" spans="2:5" x14ac:dyDescent="0.25">
      <c r="B97" s="3">
        <v>95</v>
      </c>
      <c r="C97" s="5">
        <v>26.5</v>
      </c>
      <c r="D97" s="5">
        <v>23.5</v>
      </c>
      <c r="E97" s="4">
        <v>0.80150179717014747</v>
      </c>
    </row>
    <row r="98" spans="2:5" x14ac:dyDescent="0.25">
      <c r="B98" s="3">
        <v>96</v>
      </c>
      <c r="C98" s="5">
        <v>29.5</v>
      </c>
      <c r="D98" s="5">
        <v>25.75</v>
      </c>
      <c r="E98" s="4">
        <v>0.98261533359791564</v>
      </c>
    </row>
    <row r="99" spans="2:5" x14ac:dyDescent="0.25">
      <c r="B99" s="3">
        <v>97</v>
      </c>
      <c r="C99" s="5">
        <v>28.5</v>
      </c>
      <c r="D99" s="5">
        <v>25.700000000000003</v>
      </c>
      <c r="E99" s="4">
        <v>0.94511399810235086</v>
      </c>
    </row>
    <row r="100" spans="2:5" x14ac:dyDescent="0.25">
      <c r="B100" s="3">
        <v>98</v>
      </c>
      <c r="C100" s="5">
        <v>39.1</v>
      </c>
      <c r="D100" s="5">
        <v>27.9</v>
      </c>
      <c r="E100" s="4">
        <v>1.8309820093475906</v>
      </c>
    </row>
    <row r="101" spans="2:5" x14ac:dyDescent="0.25">
      <c r="B101" s="3">
        <v>99</v>
      </c>
      <c r="C101" s="5">
        <v>37.5</v>
      </c>
      <c r="D101" s="5">
        <v>24.200000000000003</v>
      </c>
      <c r="E101" s="4">
        <v>1.6166850732670459</v>
      </c>
    </row>
    <row r="102" spans="2:5" x14ac:dyDescent="0.25">
      <c r="B102" s="3">
        <v>100</v>
      </c>
      <c r="C102" s="5">
        <v>35.5</v>
      </c>
      <c r="D102" s="5">
        <v>27.65</v>
      </c>
      <c r="E102" s="4">
        <v>1.3835696306723551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4B4E-36B4-4212-970B-C715352E2D2D}">
  <dimension ref="B2:BE102"/>
  <sheetViews>
    <sheetView showGridLines="0" topLeftCell="B1" workbookViewId="0">
      <selection activeCell="K3" sqref="K3:L102"/>
    </sheetView>
  </sheetViews>
  <sheetFormatPr defaultRowHeight="15" x14ac:dyDescent="0.25"/>
  <cols>
    <col min="30" max="30" width="10.42578125" customWidth="1"/>
  </cols>
  <sheetData>
    <row r="2" spans="2:57" x14ac:dyDescent="0.25">
      <c r="B2" s="10" t="s">
        <v>0</v>
      </c>
      <c r="C2" s="11" t="s">
        <v>2</v>
      </c>
      <c r="D2" s="10" t="s">
        <v>3</v>
      </c>
      <c r="E2" s="10" t="s">
        <v>1</v>
      </c>
      <c r="G2" s="43"/>
      <c r="H2" s="43"/>
      <c r="I2" s="43"/>
      <c r="K2" s="12" t="s">
        <v>5</v>
      </c>
      <c r="L2" s="12" t="s">
        <v>4</v>
      </c>
      <c r="N2" s="15" t="s">
        <v>6</v>
      </c>
      <c r="O2" s="15"/>
      <c r="P2" s="15"/>
      <c r="Q2" s="15"/>
      <c r="R2" s="15"/>
      <c r="S2" s="15"/>
      <c r="T2" s="15"/>
      <c r="U2" s="15"/>
      <c r="V2" s="15"/>
      <c r="X2" s="22" t="s">
        <v>30</v>
      </c>
      <c r="Y2" s="24">
        <f>O18</f>
        <v>5.4266287537824143E-2</v>
      </c>
      <c r="AA2" s="20" t="s">
        <v>32</v>
      </c>
      <c r="AC2" s="25" t="s">
        <v>15</v>
      </c>
      <c r="AD2" s="26" t="s">
        <v>39</v>
      </c>
      <c r="AE2" s="25" t="s">
        <v>33</v>
      </c>
      <c r="AF2" s="25" t="s">
        <v>34</v>
      </c>
      <c r="AH2" s="25" t="s">
        <v>37</v>
      </c>
      <c r="AI2" s="25" t="s">
        <v>38</v>
      </c>
      <c r="AY2" s="29" t="s">
        <v>40</v>
      </c>
      <c r="AZ2" s="29" t="s">
        <v>42</v>
      </c>
      <c r="BA2" s="29" t="s">
        <v>43</v>
      </c>
      <c r="BB2" s="29" t="s">
        <v>44</v>
      </c>
      <c r="BC2" s="30" t="s">
        <v>45</v>
      </c>
      <c r="BD2" s="30" t="s">
        <v>46</v>
      </c>
      <c r="BE2" s="30" t="s">
        <v>47</v>
      </c>
    </row>
    <row r="3" spans="2:57" ht="15.75" thickBot="1" x14ac:dyDescent="0.3">
      <c r="B3" s="7">
        <v>1</v>
      </c>
      <c r="C3" s="8">
        <v>27.6</v>
      </c>
      <c r="D3" s="8">
        <v>27</v>
      </c>
      <c r="E3" s="9">
        <v>0.77367719536616997</v>
      </c>
      <c r="G3" s="43"/>
      <c r="H3" s="43"/>
      <c r="I3" s="43"/>
      <c r="K3" s="14">
        <f t="shared" ref="K3:K34" si="0">C3^2*D3</f>
        <v>20567.520000000004</v>
      </c>
      <c r="L3" s="13">
        <f t="shared" ref="L3:L34" si="1">E3</f>
        <v>0.77367719536616997</v>
      </c>
      <c r="N3" s="15"/>
      <c r="O3" s="15"/>
      <c r="P3" s="15"/>
      <c r="Q3" s="15"/>
      <c r="R3" s="15"/>
      <c r="S3" s="15"/>
      <c r="T3" s="15"/>
      <c r="U3" s="15"/>
      <c r="V3" s="15"/>
      <c r="X3" s="22" t="s">
        <v>31</v>
      </c>
      <c r="Y3" s="24">
        <f>O19</f>
        <v>4.1080707415694165E-5</v>
      </c>
      <c r="AA3" s="15">
        <f t="shared" ref="AA3:AA34" si="2">$Y$2 + $Y$3*K3</f>
        <v>0.89919455892426237</v>
      </c>
      <c r="AC3" s="21">
        <f t="shared" ref="AC3:AC34" si="3">L3-AA3</f>
        <v>-0.1255173635580924</v>
      </c>
      <c r="AD3" s="27">
        <f>AC3/L3</f>
        <v>-0.16223479806547339</v>
      </c>
      <c r="AE3" s="21">
        <f>SUMSQ(AC3:AC102)</f>
        <v>1.3361827788956175</v>
      </c>
      <c r="AF3" s="21">
        <f>SQRT(AE3/(Y4-Y5))</f>
        <v>0.11676693946488491</v>
      </c>
      <c r="AH3">
        <f>1-(P14/P15)</f>
        <v>0.89679891036791459</v>
      </c>
      <c r="AI3">
        <f>1-(P14/P15)*(O15/O14)</f>
        <v>0.89574583802473007</v>
      </c>
      <c r="AY3" s="14">
        <v>20</v>
      </c>
      <c r="AZ3" s="31">
        <f>AVERAGE(D3:D102)</f>
        <v>26.242999999999999</v>
      </c>
      <c r="BA3" s="31">
        <f>SMALL(D3:D102, 1)</f>
        <v>22.8</v>
      </c>
      <c r="BB3" s="31">
        <f>LARGE(D3:D102, 1)</f>
        <v>28.4</v>
      </c>
      <c r="BC3" s="32">
        <f t="shared" ref="BC3:BC33" si="4">beta0+beta1*$AY3^2*AZ$3</f>
        <v>0.48549868942184887</v>
      </c>
      <c r="BD3" s="32">
        <f t="shared" ref="BD3:BD33" si="5">beta0+beta1*$AY3^2*BA$3</f>
        <v>0.42892233916895489</v>
      </c>
      <c r="BE3" s="32">
        <f t="shared" ref="BE3:BE33" si="6">beta0+beta1*$AY3^2*BB$3</f>
        <v>0.52094312378010987</v>
      </c>
    </row>
    <row r="4" spans="2:57" x14ac:dyDescent="0.25">
      <c r="B4" s="7">
        <v>2</v>
      </c>
      <c r="C4" s="8">
        <v>37</v>
      </c>
      <c r="D4" s="8">
        <v>27.95</v>
      </c>
      <c r="E4" s="9">
        <v>1.3530145267034794</v>
      </c>
      <c r="K4" s="14">
        <f t="shared" si="0"/>
        <v>38263.549999999996</v>
      </c>
      <c r="L4" s="13">
        <f t="shared" si="1"/>
        <v>1.3530145267034794</v>
      </c>
      <c r="N4" s="19" t="s">
        <v>7</v>
      </c>
      <c r="O4" s="16"/>
      <c r="P4" s="15"/>
      <c r="Q4" s="15"/>
      <c r="R4" s="15"/>
      <c r="S4" s="15"/>
      <c r="T4" s="15"/>
      <c r="U4" s="15"/>
      <c r="V4" s="15"/>
      <c r="X4" s="23" t="s">
        <v>35</v>
      </c>
      <c r="Y4" s="24">
        <v>100</v>
      </c>
      <c r="AA4" s="15">
        <f t="shared" si="2"/>
        <v>1.6261599897736085</v>
      </c>
      <c r="AC4" s="21">
        <f t="shared" si="3"/>
        <v>-0.2731454630701291</v>
      </c>
      <c r="AD4" s="27">
        <f t="shared" ref="AD4:AD67" si="7">AC4/L4</f>
        <v>-0.20187917991954452</v>
      </c>
      <c r="AY4" s="14">
        <v>21</v>
      </c>
      <c r="AZ4" s="28"/>
      <c r="BA4" s="28"/>
      <c r="BB4" s="28"/>
      <c r="BC4" s="32">
        <f t="shared" si="4"/>
        <v>0.52970001061496141</v>
      </c>
      <c r="BD4" s="32">
        <f t="shared" si="5"/>
        <v>0.46732458446114583</v>
      </c>
      <c r="BE4" s="32">
        <f t="shared" si="6"/>
        <v>0.56877749949494416</v>
      </c>
    </row>
    <row r="5" spans="2:57" x14ac:dyDescent="0.25">
      <c r="B5" s="7">
        <v>3</v>
      </c>
      <c r="C5" s="8">
        <v>27.5</v>
      </c>
      <c r="D5" s="8">
        <v>26.349999999999998</v>
      </c>
      <c r="E5" s="9">
        <v>0.71280114080086654</v>
      </c>
      <c r="K5" s="14">
        <f t="shared" si="0"/>
        <v>19927.1875</v>
      </c>
      <c r="L5" s="13">
        <f t="shared" si="1"/>
        <v>0.71280114080086654</v>
      </c>
      <c r="N5" s="15" t="s">
        <v>8</v>
      </c>
      <c r="O5" s="15">
        <v>0.94699467282974437</v>
      </c>
      <c r="P5" s="15"/>
      <c r="Q5" s="15"/>
      <c r="R5" s="15"/>
      <c r="S5" s="15"/>
      <c r="T5" s="15"/>
      <c r="U5" s="15"/>
      <c r="V5" s="15"/>
      <c r="X5" s="23" t="s">
        <v>36</v>
      </c>
      <c r="Y5" s="24">
        <v>2</v>
      </c>
      <c r="AA5" s="15">
        <f t="shared" si="2"/>
        <v>0.87288924684300218</v>
      </c>
      <c r="AC5" s="21">
        <f t="shared" si="3"/>
        <v>-0.16008810604213564</v>
      </c>
      <c r="AD5" s="27">
        <f t="shared" si="7"/>
        <v>-0.22459013724679075</v>
      </c>
      <c r="AY5" s="14">
        <v>22</v>
      </c>
      <c r="AZ5" s="28"/>
      <c r="BA5" s="28"/>
      <c r="BB5" s="28"/>
      <c r="BC5" s="32">
        <f t="shared" si="4"/>
        <v>0.57605749381749416</v>
      </c>
      <c r="BD5" s="32">
        <f t="shared" si="5"/>
        <v>0.50760011001149241</v>
      </c>
      <c r="BE5" s="32">
        <f t="shared" si="6"/>
        <v>0.61894525939098988</v>
      </c>
    </row>
    <row r="6" spans="2:57" x14ac:dyDescent="0.25">
      <c r="B6" s="7">
        <v>4</v>
      </c>
      <c r="C6" s="8">
        <v>29.5</v>
      </c>
      <c r="D6" s="8">
        <v>27.15</v>
      </c>
      <c r="E6" s="9">
        <v>0.94271793156539674</v>
      </c>
      <c r="K6" s="14">
        <f t="shared" si="0"/>
        <v>23627.287499999999</v>
      </c>
      <c r="L6" s="13">
        <f t="shared" si="1"/>
        <v>0.94271793156539674</v>
      </c>
      <c r="N6" s="15" t="s">
        <v>9</v>
      </c>
      <c r="O6" s="15">
        <v>0.89679891036791459</v>
      </c>
      <c r="P6" s="15"/>
      <c r="Q6" s="15"/>
      <c r="R6" s="15"/>
      <c r="S6" s="15"/>
      <c r="T6" s="15"/>
      <c r="U6" s="15"/>
      <c r="V6" s="15"/>
      <c r="AA6" s="15">
        <f t="shared" si="2"/>
        <v>1.0248919723518122</v>
      </c>
      <c r="AC6" s="21">
        <f t="shared" si="3"/>
        <v>-8.2174040786415437E-2</v>
      </c>
      <c r="AD6" s="27">
        <f t="shared" si="7"/>
        <v>-8.7167155768390084E-2</v>
      </c>
      <c r="AY6" s="14">
        <v>23</v>
      </c>
      <c r="AZ6" s="28"/>
      <c r="BA6" s="28"/>
      <c r="BB6" s="28"/>
      <c r="BC6" s="32">
        <f t="shared" si="4"/>
        <v>0.62457113902944694</v>
      </c>
      <c r="BD6" s="32">
        <f t="shared" si="5"/>
        <v>0.54974891581999463</v>
      </c>
      <c r="BE6" s="32">
        <f t="shared" si="6"/>
        <v>0.67144640346824702</v>
      </c>
    </row>
    <row r="7" spans="2:57" x14ac:dyDescent="0.25">
      <c r="B7" s="7">
        <v>5</v>
      </c>
      <c r="C7" s="8">
        <v>28</v>
      </c>
      <c r="D7" s="8">
        <v>26.2</v>
      </c>
      <c r="E7" s="9">
        <v>0.85045138427471978</v>
      </c>
      <c r="K7" s="14">
        <f t="shared" si="0"/>
        <v>20540.8</v>
      </c>
      <c r="L7" s="13">
        <f t="shared" si="1"/>
        <v>0.85045138427471978</v>
      </c>
      <c r="N7" s="15" t="s">
        <v>10</v>
      </c>
      <c r="O7" s="15">
        <v>0.89574583802472996</v>
      </c>
      <c r="P7" s="15"/>
      <c r="Q7" s="15"/>
      <c r="R7" s="15"/>
      <c r="S7" s="15"/>
      <c r="T7" s="15"/>
      <c r="U7" s="15"/>
      <c r="V7" s="15"/>
      <c r="AA7" s="15">
        <f t="shared" si="2"/>
        <v>0.89809688242211483</v>
      </c>
      <c r="AC7" s="21">
        <f t="shared" si="3"/>
        <v>-4.7645498147395049E-2</v>
      </c>
      <c r="AD7" s="27">
        <f t="shared" si="7"/>
        <v>-5.6023776347930793E-2</v>
      </c>
      <c r="AY7" s="14">
        <v>24</v>
      </c>
      <c r="AZ7" s="28"/>
      <c r="BA7" s="28"/>
      <c r="BB7" s="28"/>
      <c r="BC7" s="32">
        <f t="shared" si="4"/>
        <v>0.67524094625081976</v>
      </c>
      <c r="BD7" s="32">
        <f t="shared" si="5"/>
        <v>0.59377100188665244</v>
      </c>
      <c r="BE7" s="32">
        <f t="shared" si="6"/>
        <v>0.72628093172671548</v>
      </c>
    </row>
    <row r="8" spans="2:57" x14ac:dyDescent="0.25">
      <c r="B8" s="7">
        <v>6</v>
      </c>
      <c r="C8" s="8">
        <v>26</v>
      </c>
      <c r="D8" s="8">
        <v>27.099999999999998</v>
      </c>
      <c r="E8" s="9">
        <v>0.75413086037400401</v>
      </c>
      <c r="K8" s="14">
        <f t="shared" si="0"/>
        <v>18319.599999999999</v>
      </c>
      <c r="L8" s="13">
        <f t="shared" si="1"/>
        <v>0.75413086037400401</v>
      </c>
      <c r="N8" s="15" t="s">
        <v>11</v>
      </c>
      <c r="O8" s="15">
        <v>0.11676693946488498</v>
      </c>
      <c r="P8" s="15"/>
      <c r="Q8" s="15"/>
      <c r="R8" s="15"/>
      <c r="S8" s="15"/>
      <c r="T8" s="15"/>
      <c r="U8" s="15"/>
      <c r="V8" s="15"/>
      <c r="AA8" s="15">
        <f t="shared" si="2"/>
        <v>0.80684841511037486</v>
      </c>
      <c r="AC8" s="21">
        <f t="shared" si="3"/>
        <v>-5.2717554736370853E-2</v>
      </c>
      <c r="AD8" s="27">
        <f t="shared" si="7"/>
        <v>-6.9905048986095175E-2</v>
      </c>
      <c r="AY8" s="14">
        <v>25</v>
      </c>
      <c r="AZ8" s="28"/>
      <c r="BA8" s="28"/>
      <c r="BB8" s="28"/>
      <c r="BC8" s="32">
        <f t="shared" si="4"/>
        <v>0.72806691548161284</v>
      </c>
      <c r="BD8" s="32">
        <f t="shared" si="5"/>
        <v>0.63966636821146605</v>
      </c>
      <c r="BE8" s="32">
        <f t="shared" si="6"/>
        <v>0.7834488441663956</v>
      </c>
    </row>
    <row r="9" spans="2:57" ht="15.75" thickBot="1" x14ac:dyDescent="0.3">
      <c r="B9" s="7">
        <v>7</v>
      </c>
      <c r="C9" s="8">
        <v>26.9</v>
      </c>
      <c r="D9" s="8">
        <v>25.400000000000002</v>
      </c>
      <c r="E9" s="9">
        <v>0.65420452114525274</v>
      </c>
      <c r="K9" s="14">
        <f t="shared" si="0"/>
        <v>18379.694</v>
      </c>
      <c r="L9" s="13">
        <f t="shared" si="1"/>
        <v>0.65420452114525274</v>
      </c>
      <c r="N9" s="17" t="s">
        <v>12</v>
      </c>
      <c r="O9" s="17">
        <v>100</v>
      </c>
      <c r="P9" s="15"/>
      <c r="Q9" s="15"/>
      <c r="R9" s="15"/>
      <c r="S9" s="15"/>
      <c r="T9" s="15"/>
      <c r="U9" s="15"/>
      <c r="V9" s="15"/>
      <c r="AA9" s="15">
        <f t="shared" si="2"/>
        <v>0.8093171191418137</v>
      </c>
      <c r="AC9" s="21">
        <f t="shared" si="3"/>
        <v>-0.15511259799656096</v>
      </c>
      <c r="AD9" s="27">
        <f t="shared" si="7"/>
        <v>-0.23710107922369644</v>
      </c>
      <c r="AY9" s="14">
        <v>26</v>
      </c>
      <c r="AZ9" s="28"/>
      <c r="BA9" s="28"/>
      <c r="BB9" s="28"/>
      <c r="BC9" s="32">
        <f t="shared" si="4"/>
        <v>0.78304904672182607</v>
      </c>
      <c r="BD9" s="32">
        <f t="shared" si="5"/>
        <v>0.68743501479443525</v>
      </c>
      <c r="BE9" s="32">
        <f t="shared" si="6"/>
        <v>0.84295014078728703</v>
      </c>
    </row>
    <row r="10" spans="2:57" x14ac:dyDescent="0.25">
      <c r="B10" s="7">
        <v>8</v>
      </c>
      <c r="C10" s="8">
        <v>27.8</v>
      </c>
      <c r="D10" s="8">
        <v>25.5</v>
      </c>
      <c r="E10" s="9">
        <v>0.76547013798784025</v>
      </c>
      <c r="K10" s="14">
        <f t="shared" si="0"/>
        <v>19707.420000000002</v>
      </c>
      <c r="L10" s="13">
        <f t="shared" si="1"/>
        <v>0.76547013798784025</v>
      </c>
      <c r="N10" s="15"/>
      <c r="O10" s="15"/>
      <c r="P10" s="15"/>
      <c r="Q10" s="15"/>
      <c r="R10" s="15"/>
      <c r="S10" s="15"/>
      <c r="T10" s="15"/>
      <c r="U10" s="15"/>
      <c r="V10" s="15"/>
      <c r="AA10" s="15">
        <f t="shared" si="2"/>
        <v>0.86386104247602369</v>
      </c>
      <c r="AC10" s="21">
        <f t="shared" si="3"/>
        <v>-9.8390904488183439E-2</v>
      </c>
      <c r="AD10" s="27">
        <f t="shared" si="7"/>
        <v>-0.12853656805844776</v>
      </c>
      <c r="AY10" s="14">
        <v>27</v>
      </c>
      <c r="AZ10" s="28"/>
      <c r="BA10" s="28"/>
      <c r="BB10" s="28"/>
      <c r="BC10" s="32">
        <f t="shared" si="4"/>
        <v>0.84018733997145933</v>
      </c>
      <c r="BD10" s="32">
        <f t="shared" si="5"/>
        <v>0.73707694163556003</v>
      </c>
      <c r="BE10" s="32">
        <f t="shared" si="6"/>
        <v>0.90478482158938989</v>
      </c>
    </row>
    <row r="11" spans="2:57" ht="15.75" thickBot="1" x14ac:dyDescent="0.3">
      <c r="B11" s="7">
        <v>9</v>
      </c>
      <c r="C11" s="8">
        <v>29.8</v>
      </c>
      <c r="D11" s="8">
        <v>27</v>
      </c>
      <c r="E11" s="9">
        <v>1.0931516035260334</v>
      </c>
      <c r="K11" s="14">
        <f t="shared" si="0"/>
        <v>23977.08</v>
      </c>
      <c r="L11" s="13">
        <f t="shared" si="1"/>
        <v>1.0931516035260334</v>
      </c>
      <c r="N11" s="15" t="s">
        <v>13</v>
      </c>
      <c r="O11" s="15"/>
      <c r="P11" s="15"/>
      <c r="Q11" s="15"/>
      <c r="R11" s="15"/>
      <c r="S11" s="15"/>
      <c r="T11" s="15"/>
      <c r="U11" s="15"/>
      <c r="V11" s="15"/>
      <c r="AA11" s="15">
        <f t="shared" si="2"/>
        <v>1.0392616957005165</v>
      </c>
      <c r="AC11" s="21">
        <f t="shared" si="3"/>
        <v>5.3889907825516836E-2</v>
      </c>
      <c r="AD11" s="27">
        <f t="shared" si="7"/>
        <v>4.9297743928373106E-2</v>
      </c>
      <c r="AY11" s="14">
        <v>28</v>
      </c>
      <c r="AZ11" s="28"/>
      <c r="BA11" s="28"/>
      <c r="BB11" s="28"/>
      <c r="BC11" s="32">
        <f t="shared" si="4"/>
        <v>0.89948179523051275</v>
      </c>
      <c r="BD11" s="32">
        <f t="shared" si="5"/>
        <v>0.78859214873484051</v>
      </c>
      <c r="BE11" s="32">
        <f t="shared" si="6"/>
        <v>0.96895288657270418</v>
      </c>
    </row>
    <row r="12" spans="2:57" x14ac:dyDescent="0.25">
      <c r="B12" s="7">
        <v>10</v>
      </c>
      <c r="C12" s="8">
        <v>33.9</v>
      </c>
      <c r="D12" s="8">
        <v>26.7</v>
      </c>
      <c r="E12" s="9">
        <v>1.2633416521276679</v>
      </c>
      <c r="K12" s="14">
        <f t="shared" si="0"/>
        <v>30683.906999999996</v>
      </c>
      <c r="L12" s="13">
        <f t="shared" si="1"/>
        <v>1.2633416521276679</v>
      </c>
      <c r="N12" s="18"/>
      <c r="O12" s="18" t="s">
        <v>18</v>
      </c>
      <c r="P12" s="18" t="s">
        <v>19</v>
      </c>
      <c r="Q12" s="18" t="s">
        <v>20</v>
      </c>
      <c r="R12" s="18" t="s">
        <v>21</v>
      </c>
      <c r="S12" s="18" t="s">
        <v>22</v>
      </c>
      <c r="T12" s="15"/>
      <c r="U12" s="15"/>
      <c r="V12" s="15"/>
      <c r="AA12" s="15">
        <f t="shared" si="2"/>
        <v>1.3147828933751942</v>
      </c>
      <c r="AC12" s="21">
        <f t="shared" si="3"/>
        <v>-5.1441241247526248E-2</v>
      </c>
      <c r="AD12" s="27">
        <f t="shared" si="7"/>
        <v>-4.0718392495720401E-2</v>
      </c>
      <c r="AY12" s="14">
        <v>29</v>
      </c>
      <c r="AZ12" s="28"/>
      <c r="BA12" s="28"/>
      <c r="BB12" s="28"/>
      <c r="BC12" s="32">
        <f t="shared" si="4"/>
        <v>0.9609324124989862</v>
      </c>
      <c r="BD12" s="32">
        <f t="shared" si="5"/>
        <v>0.84198063609227658</v>
      </c>
      <c r="BE12" s="32">
        <f t="shared" si="6"/>
        <v>1.0354543357372297</v>
      </c>
    </row>
    <row r="13" spans="2:57" x14ac:dyDescent="0.25">
      <c r="B13" s="7">
        <v>11</v>
      </c>
      <c r="C13" s="8">
        <v>29.6</v>
      </c>
      <c r="D13" s="8">
        <v>26.65</v>
      </c>
      <c r="E13" s="9">
        <v>0.94084990130366419</v>
      </c>
      <c r="K13" s="14">
        <f t="shared" si="0"/>
        <v>23349.664000000001</v>
      </c>
      <c r="L13" s="13">
        <f t="shared" si="1"/>
        <v>0.94084990130366419</v>
      </c>
      <c r="N13" s="15" t="s">
        <v>14</v>
      </c>
      <c r="O13" s="15">
        <v>1</v>
      </c>
      <c r="P13" s="15">
        <v>11.611188064369177</v>
      </c>
      <c r="Q13" s="15">
        <v>11.611188064369177</v>
      </c>
      <c r="R13" s="15">
        <v>851.60237677114253</v>
      </c>
      <c r="S13" s="15">
        <v>3.9710292848244122E-50</v>
      </c>
      <c r="T13" s="15"/>
      <c r="U13" s="15"/>
      <c r="V13" s="15"/>
      <c r="AA13" s="15">
        <f t="shared" si="2"/>
        <v>1.0134870025765914</v>
      </c>
      <c r="AC13" s="21">
        <f t="shared" si="3"/>
        <v>-7.2637101272927218E-2</v>
      </c>
      <c r="AD13" s="27">
        <f t="shared" si="7"/>
        <v>-7.7203708234734894E-2</v>
      </c>
      <c r="AY13" s="14">
        <v>30</v>
      </c>
      <c r="AZ13" s="28"/>
      <c r="BA13" s="28"/>
      <c r="BB13" s="28"/>
      <c r="BC13" s="32">
        <f t="shared" si="4"/>
        <v>1.02453919177688</v>
      </c>
      <c r="BD13" s="32">
        <f t="shared" si="5"/>
        <v>0.89724240370786856</v>
      </c>
      <c r="BE13" s="32">
        <f t="shared" si="6"/>
        <v>1.104289169082967</v>
      </c>
    </row>
    <row r="14" spans="2:57" x14ac:dyDescent="0.25">
      <c r="B14" s="7">
        <v>12</v>
      </c>
      <c r="C14" s="8">
        <v>28.1</v>
      </c>
      <c r="D14" s="8">
        <v>25.75</v>
      </c>
      <c r="E14" s="9">
        <v>0.85869649419406635</v>
      </c>
      <c r="K14" s="14">
        <f t="shared" si="0"/>
        <v>20332.457500000004</v>
      </c>
      <c r="L14" s="13">
        <f t="shared" si="1"/>
        <v>0.85869649419406635</v>
      </c>
      <c r="N14" s="15" t="s">
        <v>15</v>
      </c>
      <c r="O14" s="15">
        <v>98</v>
      </c>
      <c r="P14" s="15">
        <v>1.3361827788956191</v>
      </c>
      <c r="Q14" s="15">
        <v>1.3634518151996114E-2</v>
      </c>
      <c r="R14" s="15"/>
      <c r="S14" s="15"/>
      <c r="T14" s="15"/>
      <c r="U14" s="15"/>
      <c r="V14" s="15"/>
      <c r="AA14" s="15">
        <f t="shared" si="2"/>
        <v>0.8895380251373608</v>
      </c>
      <c r="AC14" s="21">
        <f t="shared" si="3"/>
        <v>-3.0841530943294448E-2</v>
      </c>
      <c r="AD14" s="27">
        <f t="shared" si="7"/>
        <v>-3.5916684360334919E-2</v>
      </c>
      <c r="AY14" s="14">
        <v>31</v>
      </c>
      <c r="AZ14" s="28"/>
      <c r="BA14" s="28"/>
      <c r="BB14" s="28"/>
      <c r="BC14" s="32">
        <f t="shared" si="4"/>
        <v>1.0903021330641938</v>
      </c>
      <c r="BD14" s="32">
        <f t="shared" si="5"/>
        <v>0.95437745158161591</v>
      </c>
      <c r="BE14" s="32">
        <f t="shared" si="6"/>
        <v>1.1754573866099156</v>
      </c>
    </row>
    <row r="15" spans="2:57" ht="15.75" thickBot="1" x14ac:dyDescent="0.3">
      <c r="B15" s="7">
        <v>13</v>
      </c>
      <c r="C15" s="8">
        <v>29.5</v>
      </c>
      <c r="D15" s="8">
        <v>27.7</v>
      </c>
      <c r="E15" s="9">
        <v>0.98497718295488434</v>
      </c>
      <c r="K15" s="14">
        <f t="shared" si="0"/>
        <v>24105.924999999999</v>
      </c>
      <c r="L15" s="13">
        <f t="shared" si="1"/>
        <v>0.98497718295488434</v>
      </c>
      <c r="N15" s="17" t="s">
        <v>16</v>
      </c>
      <c r="O15" s="17">
        <v>99</v>
      </c>
      <c r="P15" s="17">
        <v>12.947370843264796</v>
      </c>
      <c r="Q15" s="17"/>
      <c r="R15" s="17"/>
      <c r="S15" s="17"/>
      <c r="T15" s="15"/>
      <c r="U15" s="15"/>
      <c r="V15" s="15"/>
      <c r="AA15" s="15">
        <f t="shared" si="2"/>
        <v>1.0445547394474914</v>
      </c>
      <c r="AC15" s="21">
        <f t="shared" si="3"/>
        <v>-5.9577556492607098E-2</v>
      </c>
      <c r="AD15" s="27">
        <f t="shared" si="7"/>
        <v>-6.0486230060555597E-2</v>
      </c>
      <c r="AY15" s="14">
        <v>32</v>
      </c>
      <c r="AZ15" s="28"/>
      <c r="BA15" s="28"/>
      <c r="BB15" s="28"/>
      <c r="BC15" s="32">
        <f t="shared" si="4"/>
        <v>1.1582212363609274</v>
      </c>
      <c r="BD15" s="32">
        <f t="shared" si="5"/>
        <v>1.0133857797135191</v>
      </c>
      <c r="BE15" s="32">
        <f t="shared" si="6"/>
        <v>1.2489589883180756</v>
      </c>
    </row>
    <row r="16" spans="2:57" ht="15.75" thickBot="1" x14ac:dyDescent="0.3">
      <c r="B16" s="7">
        <v>14</v>
      </c>
      <c r="C16" s="8">
        <v>26</v>
      </c>
      <c r="D16" s="8">
        <v>23.6</v>
      </c>
      <c r="E16" s="9">
        <v>0.64103386518397554</v>
      </c>
      <c r="K16" s="14">
        <f t="shared" si="0"/>
        <v>15953.6</v>
      </c>
      <c r="L16" s="13">
        <f t="shared" si="1"/>
        <v>0.64103386518397554</v>
      </c>
      <c r="N16" s="15"/>
      <c r="O16" s="15"/>
      <c r="P16" s="15"/>
      <c r="Q16" s="15"/>
      <c r="R16" s="15"/>
      <c r="S16" s="15"/>
      <c r="T16" s="15"/>
      <c r="U16" s="15"/>
      <c r="V16" s="15"/>
      <c r="AA16" s="15">
        <f t="shared" si="2"/>
        <v>0.70965146136484258</v>
      </c>
      <c r="AC16" s="21">
        <f t="shared" si="3"/>
        <v>-6.8617596180867046E-2</v>
      </c>
      <c r="AD16" s="27">
        <f t="shared" si="7"/>
        <v>-0.10704207672581217</v>
      </c>
      <c r="AY16" s="14">
        <v>33</v>
      </c>
      <c r="AZ16" s="28"/>
      <c r="BA16" s="28"/>
      <c r="BB16" s="28"/>
      <c r="BC16" s="32">
        <f t="shared" si="4"/>
        <v>1.2282965016670815</v>
      </c>
      <c r="BD16" s="32">
        <f t="shared" si="5"/>
        <v>1.0742673881035778</v>
      </c>
      <c r="BE16" s="32">
        <f t="shared" si="6"/>
        <v>1.3247939742074468</v>
      </c>
    </row>
    <row r="17" spans="2:57" x14ac:dyDescent="0.25">
      <c r="B17" s="7">
        <v>15</v>
      </c>
      <c r="C17" s="8">
        <v>27.8</v>
      </c>
      <c r="D17" s="8">
        <v>24.75</v>
      </c>
      <c r="E17" s="9">
        <v>0.67049802492395338</v>
      </c>
      <c r="K17" s="14">
        <f t="shared" si="0"/>
        <v>19127.79</v>
      </c>
      <c r="L17" s="13">
        <f t="shared" si="1"/>
        <v>0.67049802492395338</v>
      </c>
      <c r="N17" s="18"/>
      <c r="O17" s="18" t="s">
        <v>23</v>
      </c>
      <c r="P17" s="18" t="s">
        <v>11</v>
      </c>
      <c r="Q17" s="18" t="s">
        <v>24</v>
      </c>
      <c r="R17" s="18" t="s">
        <v>25</v>
      </c>
      <c r="S17" s="18" t="s">
        <v>26</v>
      </c>
      <c r="T17" s="18" t="s">
        <v>27</v>
      </c>
      <c r="U17" s="18" t="s">
        <v>28</v>
      </c>
      <c r="V17" s="18" t="s">
        <v>29</v>
      </c>
      <c r="AA17" s="15">
        <f t="shared" si="2"/>
        <v>0.84004943203666493</v>
      </c>
      <c r="AC17" s="21">
        <f t="shared" si="3"/>
        <v>-0.16955140711271155</v>
      </c>
      <c r="AD17" s="27">
        <f t="shared" si="7"/>
        <v>-0.252873835283768</v>
      </c>
      <c r="AY17" s="14">
        <v>34</v>
      </c>
      <c r="AZ17" s="28"/>
      <c r="BA17" s="28"/>
      <c r="BB17" s="28"/>
      <c r="BC17" s="32">
        <f t="shared" si="4"/>
        <v>1.3005279289826557</v>
      </c>
      <c r="BD17" s="32">
        <f t="shared" si="5"/>
        <v>1.1370222767517921</v>
      </c>
      <c r="BE17" s="32">
        <f t="shared" si="6"/>
        <v>1.4029623442780297</v>
      </c>
    </row>
    <row r="18" spans="2:57" x14ac:dyDescent="0.25">
      <c r="B18" s="7">
        <v>16</v>
      </c>
      <c r="C18" s="8">
        <v>31.5</v>
      </c>
      <c r="D18" s="8">
        <v>24.35</v>
      </c>
      <c r="E18" s="9">
        <v>0.91115770120694395</v>
      </c>
      <c r="K18" s="14">
        <f t="shared" si="0"/>
        <v>24161.287500000002</v>
      </c>
      <c r="L18" s="13">
        <f t="shared" si="1"/>
        <v>0.91115770120694395</v>
      </c>
      <c r="N18" s="15" t="s">
        <v>17</v>
      </c>
      <c r="O18" s="15">
        <v>5.4266287537824143E-2</v>
      </c>
      <c r="P18" s="15">
        <v>4.0829524646187554E-2</v>
      </c>
      <c r="Q18" s="15">
        <v>1.3290942769496887</v>
      </c>
      <c r="R18" s="15">
        <v>0.18690291492344249</v>
      </c>
      <c r="S18" s="15">
        <v>-2.6758575305586868E-2</v>
      </c>
      <c r="T18" s="15">
        <v>0.13529115038123515</v>
      </c>
      <c r="U18" s="15">
        <v>-2.6758575305586868E-2</v>
      </c>
      <c r="V18" s="15">
        <v>0.13529115038123515</v>
      </c>
      <c r="AA18" s="15">
        <f t="shared" si="2"/>
        <v>1.046829070111793</v>
      </c>
      <c r="AC18" s="21">
        <f t="shared" si="3"/>
        <v>-0.1356713689048491</v>
      </c>
      <c r="AD18" s="27">
        <f t="shared" si="7"/>
        <v>-0.14889998594659867</v>
      </c>
      <c r="AY18" s="14">
        <v>35</v>
      </c>
      <c r="AZ18" s="28"/>
      <c r="BA18" s="28"/>
      <c r="BB18" s="28"/>
      <c r="BC18" s="32">
        <f t="shared" si="4"/>
        <v>1.37491551830765</v>
      </c>
      <c r="BD18" s="32">
        <f t="shared" si="5"/>
        <v>1.2016504456581623</v>
      </c>
      <c r="BE18" s="32">
        <f t="shared" si="6"/>
        <v>1.483464098529824</v>
      </c>
    </row>
    <row r="19" spans="2:57" ht="15.75" thickBot="1" x14ac:dyDescent="0.3">
      <c r="B19" s="7">
        <v>17</v>
      </c>
      <c r="C19" s="8">
        <v>35</v>
      </c>
      <c r="D19" s="8">
        <v>26.95</v>
      </c>
      <c r="E19" s="9">
        <v>1.3887377338470819</v>
      </c>
      <c r="K19" s="14">
        <f t="shared" si="0"/>
        <v>33013.75</v>
      </c>
      <c r="L19" s="13">
        <f t="shared" si="1"/>
        <v>1.3887377338470819</v>
      </c>
      <c r="N19" s="17" t="s">
        <v>5</v>
      </c>
      <c r="O19" s="17">
        <v>4.1080707415694165E-5</v>
      </c>
      <c r="P19" s="17">
        <v>1.4077303735936907E-6</v>
      </c>
      <c r="Q19" s="17">
        <v>29.182227070104531</v>
      </c>
      <c r="R19" s="17">
        <v>3.9710292848245247E-50</v>
      </c>
      <c r="S19" s="17">
        <v>3.8287112304574421E-5</v>
      </c>
      <c r="T19" s="17">
        <v>4.387430252681391E-5</v>
      </c>
      <c r="U19" s="17">
        <v>3.8287112304574421E-5</v>
      </c>
      <c r="V19" s="17">
        <v>4.387430252681391E-5</v>
      </c>
      <c r="AA19" s="15">
        <f t="shared" si="2"/>
        <v>1.4104944919826974</v>
      </c>
      <c r="AC19" s="21">
        <f t="shared" si="3"/>
        <v>-2.1756758135615506E-2</v>
      </c>
      <c r="AD19" s="27">
        <f t="shared" si="7"/>
        <v>-1.5666570876089702E-2</v>
      </c>
      <c r="AY19" s="14">
        <v>36</v>
      </c>
      <c r="AZ19" s="28"/>
      <c r="BA19" s="28"/>
      <c r="BB19" s="28"/>
      <c r="BC19" s="32">
        <f t="shared" si="4"/>
        <v>1.4514592696420643</v>
      </c>
      <c r="BD19" s="32">
        <f t="shared" si="5"/>
        <v>1.268151894822688</v>
      </c>
      <c r="BE19" s="32">
        <f t="shared" si="6"/>
        <v>1.5662992369628297</v>
      </c>
    </row>
    <row r="20" spans="2:57" x14ac:dyDescent="0.25">
      <c r="B20" s="7">
        <v>18</v>
      </c>
      <c r="C20" s="8">
        <v>28.3</v>
      </c>
      <c r="D20" s="8">
        <v>25.1</v>
      </c>
      <c r="E20" s="9">
        <v>0.78982407839773394</v>
      </c>
      <c r="K20" s="14">
        <f t="shared" si="0"/>
        <v>20102.339</v>
      </c>
      <c r="L20" s="13">
        <f t="shared" si="1"/>
        <v>0.78982407839773394</v>
      </c>
      <c r="AA20" s="15">
        <f t="shared" si="2"/>
        <v>0.88008459436792219</v>
      </c>
      <c r="AC20" s="21">
        <f t="shared" si="3"/>
        <v>-9.0260515970188249E-2</v>
      </c>
      <c r="AD20" s="27">
        <f t="shared" si="7"/>
        <v>-0.11427926602756153</v>
      </c>
      <c r="AY20" s="14">
        <v>37</v>
      </c>
      <c r="AZ20" s="28"/>
      <c r="BA20" s="28"/>
      <c r="BB20" s="28"/>
      <c r="BC20" s="32">
        <f t="shared" si="4"/>
        <v>1.5301591829858989</v>
      </c>
      <c r="BD20" s="32">
        <f t="shared" si="5"/>
        <v>1.3365266242453693</v>
      </c>
      <c r="BE20" s="32">
        <f t="shared" si="6"/>
        <v>1.6514677595770468</v>
      </c>
    </row>
    <row r="21" spans="2:57" x14ac:dyDescent="0.25">
      <c r="B21" s="7">
        <v>19</v>
      </c>
      <c r="C21" s="8">
        <v>33.9</v>
      </c>
      <c r="D21" s="8">
        <v>27.95</v>
      </c>
      <c r="E21" s="9">
        <v>1.3871130199363699</v>
      </c>
      <c r="K21" s="14">
        <f t="shared" si="0"/>
        <v>32120.419499999993</v>
      </c>
      <c r="L21" s="13">
        <f t="shared" si="1"/>
        <v>1.3871130199363699</v>
      </c>
      <c r="AA21" s="15">
        <f t="shared" si="2"/>
        <v>1.3737958430866812</v>
      </c>
      <c r="AC21" s="21">
        <f t="shared" si="3"/>
        <v>1.3317176849688694E-2</v>
      </c>
      <c r="AD21" s="27">
        <f t="shared" si="7"/>
        <v>9.6006429600809205E-3</v>
      </c>
      <c r="AY21" s="14">
        <v>38</v>
      </c>
      <c r="AZ21" s="28"/>
      <c r="BA21" s="28"/>
      <c r="BB21" s="28"/>
      <c r="BC21" s="32">
        <f t="shared" si="4"/>
        <v>1.6110152583391535</v>
      </c>
      <c r="BD21" s="32">
        <f t="shared" si="5"/>
        <v>1.4067746339262064</v>
      </c>
      <c r="BE21" s="32">
        <f t="shared" si="6"/>
        <v>1.7389696663724754</v>
      </c>
    </row>
    <row r="22" spans="2:57" x14ac:dyDescent="0.25">
      <c r="B22" s="7">
        <v>20</v>
      </c>
      <c r="C22" s="8">
        <v>40.700000000000003</v>
      </c>
      <c r="D22" s="8">
        <v>27.7</v>
      </c>
      <c r="E22" s="9">
        <v>1.640638840222719</v>
      </c>
      <c r="K22" s="14">
        <f t="shared" si="0"/>
        <v>45884.773000000008</v>
      </c>
      <c r="L22" s="13">
        <f t="shared" si="1"/>
        <v>1.640638840222719</v>
      </c>
      <c r="AA22" s="15">
        <f t="shared" si="2"/>
        <v>1.9392452219863678</v>
      </c>
      <c r="AC22" s="21">
        <f t="shared" si="3"/>
        <v>-0.29860638176364884</v>
      </c>
      <c r="AD22" s="27">
        <f t="shared" si="7"/>
        <v>-0.18200616396666106</v>
      </c>
      <c r="AY22" s="14">
        <v>39</v>
      </c>
      <c r="AZ22" s="28"/>
      <c r="BA22" s="28"/>
      <c r="BB22" s="28"/>
      <c r="BC22" s="32">
        <f t="shared" si="4"/>
        <v>1.6940274957018284</v>
      </c>
      <c r="BD22" s="32">
        <f t="shared" si="5"/>
        <v>1.4788959238651991</v>
      </c>
      <c r="BE22" s="32">
        <f t="shared" si="6"/>
        <v>1.8288049573491154</v>
      </c>
    </row>
    <row r="23" spans="2:57" x14ac:dyDescent="0.25">
      <c r="B23" s="7">
        <v>21</v>
      </c>
      <c r="C23" s="8">
        <v>31.6</v>
      </c>
      <c r="D23" s="8">
        <v>27.3</v>
      </c>
      <c r="E23" s="9">
        <v>1.0808129983790598</v>
      </c>
      <c r="K23" s="14">
        <f t="shared" si="0"/>
        <v>27260.688000000002</v>
      </c>
      <c r="L23" s="13">
        <f t="shared" si="1"/>
        <v>1.0808129983790598</v>
      </c>
      <c r="AA23" s="15">
        <f t="shared" si="2"/>
        <v>1.1741546352163492</v>
      </c>
      <c r="AC23" s="21">
        <f t="shared" si="3"/>
        <v>-9.3341636837289466E-2</v>
      </c>
      <c r="AD23" s="27">
        <f t="shared" si="7"/>
        <v>-8.6362429927543255E-2</v>
      </c>
      <c r="AY23" s="14">
        <v>40</v>
      </c>
      <c r="AZ23" s="28"/>
      <c r="BA23" s="28"/>
      <c r="BB23" s="28"/>
      <c r="BC23" s="32">
        <f t="shared" si="4"/>
        <v>1.7791958950739231</v>
      </c>
      <c r="BD23" s="32">
        <f t="shared" si="5"/>
        <v>1.5528904940623471</v>
      </c>
      <c r="BE23" s="32">
        <f t="shared" si="6"/>
        <v>1.9209736325069668</v>
      </c>
    </row>
    <row r="24" spans="2:57" x14ac:dyDescent="0.25">
      <c r="B24" s="7">
        <v>22</v>
      </c>
      <c r="C24" s="8">
        <v>31.5</v>
      </c>
      <c r="D24" s="8">
        <v>27.349999999999998</v>
      </c>
      <c r="E24" s="9">
        <v>1.1637899609128264</v>
      </c>
      <c r="K24" s="14">
        <f t="shared" si="0"/>
        <v>27138.037499999999</v>
      </c>
      <c r="L24" s="13">
        <f t="shared" si="1"/>
        <v>1.1637899609128264</v>
      </c>
      <c r="AA24" s="15">
        <f t="shared" si="2"/>
        <v>1.1691160659114603</v>
      </c>
      <c r="AC24" s="21">
        <f t="shared" si="3"/>
        <v>-5.3261049986339515E-3</v>
      </c>
      <c r="AD24" s="27">
        <f t="shared" si="7"/>
        <v>-4.5765173936166163E-3</v>
      </c>
      <c r="AY24" s="14">
        <v>41</v>
      </c>
      <c r="AZ24" s="28"/>
      <c r="BA24" s="28"/>
      <c r="BB24" s="28"/>
      <c r="BC24" s="32">
        <f t="shared" si="4"/>
        <v>1.8665204564554381</v>
      </c>
      <c r="BD24" s="32">
        <f t="shared" si="5"/>
        <v>1.6287583445176512</v>
      </c>
      <c r="BE24" s="32">
        <f t="shared" si="6"/>
        <v>2.0154756918460297</v>
      </c>
    </row>
    <row r="25" spans="2:57" x14ac:dyDescent="0.25">
      <c r="B25" s="7">
        <v>23</v>
      </c>
      <c r="C25" s="8">
        <v>29.5</v>
      </c>
      <c r="D25" s="8">
        <v>24.700000000000003</v>
      </c>
      <c r="E25" s="9">
        <v>0.98376810175224216</v>
      </c>
      <c r="K25" s="14">
        <f t="shared" si="0"/>
        <v>21495.175000000003</v>
      </c>
      <c r="L25" s="13">
        <f t="shared" si="1"/>
        <v>0.98376810175224216</v>
      </c>
      <c r="AA25" s="15">
        <f t="shared" si="2"/>
        <v>0.93730328256196804</v>
      </c>
      <c r="AC25" s="21">
        <f t="shared" si="3"/>
        <v>4.646481919027412E-2</v>
      </c>
      <c r="AD25" s="27">
        <f t="shared" si="7"/>
        <v>4.7231475697893779E-2</v>
      </c>
      <c r="AY25" s="14">
        <v>42</v>
      </c>
      <c r="AZ25" s="28"/>
      <c r="BA25" s="28"/>
      <c r="BB25" s="28"/>
      <c r="BC25" s="32">
        <f t="shared" si="4"/>
        <v>1.9560011798463735</v>
      </c>
      <c r="BD25" s="32">
        <f t="shared" si="5"/>
        <v>1.7064994752311109</v>
      </c>
      <c r="BE25" s="32">
        <f t="shared" si="6"/>
        <v>2.112311135366304</v>
      </c>
    </row>
    <row r="26" spans="2:57" x14ac:dyDescent="0.25">
      <c r="B26" s="7">
        <v>24</v>
      </c>
      <c r="C26" s="8">
        <v>37.5</v>
      </c>
      <c r="D26" s="8">
        <v>26.5</v>
      </c>
      <c r="E26" s="9">
        <v>1.8908197937208222</v>
      </c>
      <c r="K26" s="14">
        <f t="shared" si="0"/>
        <v>37265.625</v>
      </c>
      <c r="L26" s="13">
        <f t="shared" si="1"/>
        <v>1.8908197937208222</v>
      </c>
      <c r="AA26" s="15">
        <f t="shared" si="2"/>
        <v>1.5851645248258019</v>
      </c>
      <c r="AC26" s="21">
        <f t="shared" si="3"/>
        <v>0.30565526889502026</v>
      </c>
      <c r="AD26" s="27">
        <f t="shared" si="7"/>
        <v>0.16165224730038444</v>
      </c>
      <c r="AY26" s="14">
        <v>43</v>
      </c>
      <c r="AZ26" s="28"/>
      <c r="BA26" s="28"/>
      <c r="BB26" s="28"/>
      <c r="BC26" s="32">
        <f t="shared" si="4"/>
        <v>2.047638065246729</v>
      </c>
      <c r="BD26" s="32">
        <f t="shared" si="5"/>
        <v>1.7861138862027264</v>
      </c>
      <c r="BE26" s="32">
        <f t="shared" si="6"/>
        <v>2.2114799630677897</v>
      </c>
    </row>
    <row r="27" spans="2:57" x14ac:dyDescent="0.25">
      <c r="B27" s="7">
        <v>25</v>
      </c>
      <c r="C27" s="8">
        <v>28.5</v>
      </c>
      <c r="D27" s="8">
        <v>27.099999999999998</v>
      </c>
      <c r="E27" s="9">
        <v>0.98304262946871201</v>
      </c>
      <c r="K27" s="14">
        <f t="shared" si="0"/>
        <v>22011.974999999999</v>
      </c>
      <c r="L27" s="13">
        <f t="shared" si="1"/>
        <v>0.98304262946871201</v>
      </c>
      <c r="AA27" s="15">
        <f t="shared" si="2"/>
        <v>0.95853379215439871</v>
      </c>
      <c r="AC27" s="21">
        <f t="shared" si="3"/>
        <v>2.4508837314313303E-2</v>
      </c>
      <c r="AD27" s="27">
        <f t="shared" si="7"/>
        <v>2.4931611895161829E-2</v>
      </c>
      <c r="AY27" s="14">
        <v>44</v>
      </c>
      <c r="AZ27" s="28"/>
      <c r="BA27" s="28"/>
      <c r="BB27" s="28"/>
      <c r="BC27" s="32">
        <f t="shared" si="4"/>
        <v>2.1414311126565044</v>
      </c>
      <c r="BD27" s="32">
        <f t="shared" si="5"/>
        <v>1.8676015774324974</v>
      </c>
      <c r="BE27" s="32">
        <f t="shared" si="6"/>
        <v>2.3129821749504869</v>
      </c>
    </row>
    <row r="28" spans="2:57" x14ac:dyDescent="0.25">
      <c r="B28" s="7">
        <v>26</v>
      </c>
      <c r="C28" s="8">
        <v>33.5</v>
      </c>
      <c r="D28" s="8">
        <v>27.5</v>
      </c>
      <c r="E28" s="9">
        <v>1.1464958206040494</v>
      </c>
      <c r="K28" s="14">
        <f t="shared" si="0"/>
        <v>30861.875</v>
      </c>
      <c r="L28" s="13">
        <f t="shared" si="1"/>
        <v>1.1464958206040494</v>
      </c>
      <c r="AA28" s="15">
        <f t="shared" si="2"/>
        <v>1.3220939447125506</v>
      </c>
      <c r="AC28" s="21">
        <f t="shared" si="3"/>
        <v>-0.17559812410850117</v>
      </c>
      <c r="AD28" s="27">
        <f t="shared" si="7"/>
        <v>-0.15316071890779726</v>
      </c>
      <c r="AY28" s="14">
        <v>45</v>
      </c>
      <c r="AZ28" s="28"/>
      <c r="BA28" s="28"/>
      <c r="BB28" s="28"/>
      <c r="BC28" s="32">
        <f t="shared" si="4"/>
        <v>2.2373803220756994</v>
      </c>
      <c r="BD28" s="32">
        <f t="shared" si="5"/>
        <v>1.9509625489204236</v>
      </c>
      <c r="BE28" s="32">
        <f t="shared" si="6"/>
        <v>2.4168177710143954</v>
      </c>
    </row>
    <row r="29" spans="2:57" x14ac:dyDescent="0.25">
      <c r="B29" s="7">
        <v>27</v>
      </c>
      <c r="C29" s="8">
        <v>24.5</v>
      </c>
      <c r="D29" s="8">
        <v>25.75</v>
      </c>
      <c r="E29" s="9">
        <v>0.70725582397822961</v>
      </c>
      <c r="K29" s="14">
        <f t="shared" si="0"/>
        <v>15456.4375</v>
      </c>
      <c r="L29" s="13">
        <f t="shared" si="1"/>
        <v>0.70725582397822961</v>
      </c>
      <c r="AA29" s="15">
        <f t="shared" si="2"/>
        <v>0.68922767416428754</v>
      </c>
      <c r="AC29" s="21">
        <f t="shared" si="3"/>
        <v>1.8028149813942074E-2</v>
      </c>
      <c r="AD29" s="27">
        <f t="shared" si="7"/>
        <v>2.5490281172286262E-2</v>
      </c>
      <c r="AY29" s="14">
        <v>46</v>
      </c>
      <c r="AZ29" s="28"/>
      <c r="BA29" s="28"/>
      <c r="BB29" s="28"/>
      <c r="BC29" s="32">
        <f t="shared" si="4"/>
        <v>2.3354856935043156</v>
      </c>
      <c r="BD29" s="32">
        <f t="shared" si="5"/>
        <v>2.0361968006665059</v>
      </c>
      <c r="BE29" s="32">
        <f t="shared" si="6"/>
        <v>2.5229867512595154</v>
      </c>
    </row>
    <row r="30" spans="2:57" x14ac:dyDescent="0.25">
      <c r="B30" s="7">
        <v>28</v>
      </c>
      <c r="C30" s="8">
        <v>30</v>
      </c>
      <c r="D30" s="8">
        <v>27.7</v>
      </c>
      <c r="E30" s="9">
        <v>1.0323661315489085</v>
      </c>
      <c r="K30" s="14">
        <f t="shared" si="0"/>
        <v>24930</v>
      </c>
      <c r="L30" s="13">
        <f t="shared" si="1"/>
        <v>1.0323661315489085</v>
      </c>
      <c r="AA30" s="15">
        <f t="shared" si="2"/>
        <v>1.0784083234110797</v>
      </c>
      <c r="AC30" s="21">
        <f t="shared" si="3"/>
        <v>-4.6042191862171178E-2</v>
      </c>
      <c r="AD30" s="27">
        <f t="shared" si="7"/>
        <v>-4.4598704330886821E-2</v>
      </c>
      <c r="AY30" s="14">
        <v>47</v>
      </c>
      <c r="AZ30" s="28"/>
      <c r="BA30" s="28"/>
      <c r="BB30" s="28"/>
      <c r="BC30" s="32">
        <f t="shared" si="4"/>
        <v>2.4357472269423512</v>
      </c>
      <c r="BD30" s="32">
        <f t="shared" si="5"/>
        <v>2.1233043326707444</v>
      </c>
      <c r="BE30" s="32">
        <f t="shared" si="6"/>
        <v>2.6314891156858469</v>
      </c>
    </row>
    <row r="31" spans="2:57" x14ac:dyDescent="0.25">
      <c r="B31" s="7">
        <v>29</v>
      </c>
      <c r="C31" s="8">
        <v>28.1</v>
      </c>
      <c r="D31" s="8">
        <v>26.9</v>
      </c>
      <c r="E31" s="9">
        <v>0.97500046643478733</v>
      </c>
      <c r="K31" s="14">
        <f t="shared" si="0"/>
        <v>21240.509000000002</v>
      </c>
      <c r="L31" s="13">
        <f t="shared" si="1"/>
        <v>0.97500046643478733</v>
      </c>
      <c r="AA31" s="15">
        <f t="shared" si="2"/>
        <v>0.92684142312724282</v>
      </c>
      <c r="AC31" s="21">
        <f t="shared" si="3"/>
        <v>4.8159043307544502E-2</v>
      </c>
      <c r="AD31" s="27">
        <f t="shared" si="7"/>
        <v>4.9393866942078646E-2</v>
      </c>
      <c r="AY31" s="14">
        <v>48</v>
      </c>
      <c r="AZ31" s="28"/>
      <c r="BA31" s="28"/>
      <c r="BB31" s="28"/>
      <c r="BC31" s="32">
        <f t="shared" si="4"/>
        <v>2.5381649223898064</v>
      </c>
      <c r="BD31" s="32">
        <f t="shared" si="5"/>
        <v>2.2122851449331371</v>
      </c>
      <c r="BE31" s="32">
        <f t="shared" si="6"/>
        <v>2.7423248642933897</v>
      </c>
    </row>
    <row r="32" spans="2:57" x14ac:dyDescent="0.25">
      <c r="B32" s="7">
        <v>30</v>
      </c>
      <c r="C32" s="8">
        <v>28</v>
      </c>
      <c r="D32" s="8">
        <v>25.700000000000003</v>
      </c>
      <c r="E32" s="9">
        <v>0.96529979118918596</v>
      </c>
      <c r="K32" s="14">
        <f t="shared" si="0"/>
        <v>20148.800000000003</v>
      </c>
      <c r="L32" s="13">
        <f t="shared" si="1"/>
        <v>0.96529979118918596</v>
      </c>
      <c r="AA32" s="15">
        <f t="shared" si="2"/>
        <v>0.88199324511516286</v>
      </c>
      <c r="AC32" s="21">
        <f t="shared" si="3"/>
        <v>8.3306546074023102E-2</v>
      </c>
      <c r="AD32" s="27">
        <f t="shared" si="7"/>
        <v>8.6301216300269684E-2</v>
      </c>
      <c r="AY32" s="14">
        <v>49</v>
      </c>
      <c r="AZ32" s="28"/>
      <c r="BA32" s="28"/>
      <c r="BB32" s="28"/>
      <c r="BC32" s="32">
        <f t="shared" si="4"/>
        <v>2.6427387798466828</v>
      </c>
      <c r="BD32" s="32">
        <f t="shared" si="5"/>
        <v>2.3031392374536868</v>
      </c>
      <c r="BE32" s="32">
        <f t="shared" si="6"/>
        <v>2.855493997082144</v>
      </c>
    </row>
    <row r="33" spans="2:57" x14ac:dyDescent="0.25">
      <c r="B33" s="7">
        <v>31</v>
      </c>
      <c r="C33" s="8">
        <v>29.5</v>
      </c>
      <c r="D33" s="8">
        <v>25.55</v>
      </c>
      <c r="E33" s="9">
        <v>0.94285491809506261</v>
      </c>
      <c r="K33" s="14">
        <f t="shared" si="0"/>
        <v>22234.887500000001</v>
      </c>
      <c r="L33" s="13">
        <f t="shared" si="1"/>
        <v>0.94285491809506261</v>
      </c>
      <c r="AA33" s="15">
        <f t="shared" si="2"/>
        <v>0.96769119534619963</v>
      </c>
      <c r="AC33" s="21">
        <f t="shared" si="3"/>
        <v>-2.4836277251137018E-2</v>
      </c>
      <c r="AD33" s="27">
        <f t="shared" si="7"/>
        <v>-2.6341568330911457E-2</v>
      </c>
      <c r="AY33" s="14">
        <v>50</v>
      </c>
      <c r="AZ33" s="28"/>
      <c r="BA33" s="28"/>
      <c r="BB33" s="28"/>
      <c r="BC33" s="32">
        <f t="shared" si="4"/>
        <v>2.7494687993129787</v>
      </c>
      <c r="BD33" s="32">
        <f t="shared" si="5"/>
        <v>2.3958666102323916</v>
      </c>
      <c r="BE33" s="32">
        <f t="shared" si="6"/>
        <v>2.9709965140521097</v>
      </c>
    </row>
    <row r="34" spans="2:57" x14ac:dyDescent="0.25">
      <c r="B34" s="7">
        <v>32</v>
      </c>
      <c r="C34" s="8">
        <v>30.3</v>
      </c>
      <c r="D34" s="8">
        <v>25.700000000000003</v>
      </c>
      <c r="E34" s="9">
        <v>1.0061775141192881</v>
      </c>
      <c r="K34" s="14">
        <f t="shared" si="0"/>
        <v>23594.913000000004</v>
      </c>
      <c r="L34" s="13">
        <f t="shared" si="1"/>
        <v>1.0061775141192881</v>
      </c>
      <c r="AA34" s="15">
        <f t="shared" si="2"/>
        <v>1.0235620049895831</v>
      </c>
      <c r="AC34" s="21">
        <f t="shared" si="3"/>
        <v>-1.7384490870294922E-2</v>
      </c>
      <c r="AD34" s="27">
        <f t="shared" si="7"/>
        <v>-1.7277757280743496E-2</v>
      </c>
    </row>
    <row r="35" spans="2:57" x14ac:dyDescent="0.25">
      <c r="B35" s="7">
        <v>33</v>
      </c>
      <c r="C35" s="8">
        <v>23.5</v>
      </c>
      <c r="D35" s="8">
        <v>25.3</v>
      </c>
      <c r="E35" s="9">
        <v>0.60666972411228581</v>
      </c>
      <c r="K35" s="14">
        <f t="shared" ref="K35:K66" si="8">C35^2*D35</f>
        <v>13971.925000000001</v>
      </c>
      <c r="L35" s="13">
        <f t="shared" ref="L35:L66" si="9">E35</f>
        <v>0.60666972411228581</v>
      </c>
      <c r="AA35" s="15">
        <f t="shared" ref="AA35:AA66" si="10">$Y$2 + $Y$3*K35</f>
        <v>0.62824285049684692</v>
      </c>
      <c r="AC35" s="21">
        <f t="shared" ref="AC35:AC66" si="11">L35-AA35</f>
        <v>-2.1573126384561103E-2</v>
      </c>
      <c r="AD35" s="27">
        <f t="shared" si="7"/>
        <v>-3.5559919223145921E-2</v>
      </c>
    </row>
    <row r="36" spans="2:57" x14ac:dyDescent="0.25">
      <c r="B36" s="7">
        <v>34</v>
      </c>
      <c r="C36" s="8">
        <v>29.8</v>
      </c>
      <c r="D36" s="8">
        <v>26.9</v>
      </c>
      <c r="E36" s="9">
        <v>1.1416761331445753</v>
      </c>
      <c r="K36" s="14">
        <f t="shared" si="8"/>
        <v>23888.276000000002</v>
      </c>
      <c r="L36" s="13">
        <f t="shared" si="9"/>
        <v>1.1416761331445753</v>
      </c>
      <c r="AA36" s="15">
        <f t="shared" si="10"/>
        <v>1.0356135645591733</v>
      </c>
      <c r="AC36" s="21">
        <f t="shared" si="11"/>
        <v>0.10606256858540197</v>
      </c>
      <c r="AD36" s="27">
        <f t="shared" si="7"/>
        <v>9.2900749613875677E-2</v>
      </c>
    </row>
    <row r="37" spans="2:57" x14ac:dyDescent="0.25">
      <c r="B37" s="7">
        <v>35</v>
      </c>
      <c r="C37" s="8">
        <v>30.5</v>
      </c>
      <c r="D37" s="8">
        <v>26.4</v>
      </c>
      <c r="E37" s="9">
        <v>0.96403685785247362</v>
      </c>
      <c r="K37" s="14">
        <f t="shared" si="8"/>
        <v>24558.6</v>
      </c>
      <c r="L37" s="13">
        <f t="shared" si="9"/>
        <v>0.96403685785247362</v>
      </c>
      <c r="AA37" s="15">
        <f t="shared" si="10"/>
        <v>1.0631509486768909</v>
      </c>
      <c r="AC37" s="21">
        <f t="shared" si="11"/>
        <v>-9.9114090824417245E-2</v>
      </c>
      <c r="AD37" s="27">
        <f t="shared" si="7"/>
        <v>-0.10281151598830743</v>
      </c>
    </row>
    <row r="38" spans="2:57" x14ac:dyDescent="0.25">
      <c r="B38" s="7">
        <v>36</v>
      </c>
      <c r="C38" s="8">
        <v>43.7</v>
      </c>
      <c r="D38" s="8">
        <v>27.599999999999998</v>
      </c>
      <c r="E38" s="9">
        <v>2.1557410475896908</v>
      </c>
      <c r="K38" s="14">
        <f t="shared" si="8"/>
        <v>52707.444000000003</v>
      </c>
      <c r="L38" s="13">
        <f t="shared" si="9"/>
        <v>2.1557410475896908</v>
      </c>
      <c r="AA38" s="15">
        <f t="shared" si="10"/>
        <v>2.2195253731309093</v>
      </c>
      <c r="AC38" s="21">
        <f t="shared" si="11"/>
        <v>-6.378432554121849E-2</v>
      </c>
      <c r="AD38" s="27">
        <f t="shared" si="7"/>
        <v>-2.9588120341510874E-2</v>
      </c>
    </row>
    <row r="39" spans="2:57" x14ac:dyDescent="0.25">
      <c r="B39" s="7">
        <v>37</v>
      </c>
      <c r="C39" s="8">
        <v>28.5</v>
      </c>
      <c r="D39" s="8">
        <v>27.3</v>
      </c>
      <c r="E39" s="9">
        <v>0.9640518196874861</v>
      </c>
      <c r="K39" s="14">
        <f t="shared" si="8"/>
        <v>22174.424999999999</v>
      </c>
      <c r="L39" s="13">
        <f t="shared" si="9"/>
        <v>0.9640518196874861</v>
      </c>
      <c r="AA39" s="15">
        <f t="shared" si="10"/>
        <v>0.96520735307407823</v>
      </c>
      <c r="AC39" s="21">
        <f t="shared" si="11"/>
        <v>-1.1555333865921336E-3</v>
      </c>
      <c r="AD39" s="27">
        <f t="shared" si="7"/>
        <v>-1.1986216539342455E-3</v>
      </c>
    </row>
    <row r="40" spans="2:57" x14ac:dyDescent="0.25">
      <c r="B40" s="7">
        <v>38</v>
      </c>
      <c r="C40" s="8">
        <v>26.5</v>
      </c>
      <c r="D40" s="8">
        <v>27.15</v>
      </c>
      <c r="E40" s="9">
        <v>0.89648751071223065</v>
      </c>
      <c r="K40" s="14">
        <f t="shared" si="8"/>
        <v>19066.087499999998</v>
      </c>
      <c r="L40" s="13">
        <f t="shared" si="9"/>
        <v>0.89648751071223065</v>
      </c>
      <c r="AA40" s="15">
        <f t="shared" si="10"/>
        <v>0.8375146496873479</v>
      </c>
      <c r="AC40" s="21">
        <f t="shared" si="11"/>
        <v>5.897286102488275E-2</v>
      </c>
      <c r="AD40" s="27">
        <f t="shared" si="7"/>
        <v>6.5782133404212961E-2</v>
      </c>
    </row>
    <row r="41" spans="2:57" x14ac:dyDescent="0.25">
      <c r="B41" s="7">
        <v>39</v>
      </c>
      <c r="C41" s="8">
        <v>26.5</v>
      </c>
      <c r="D41" s="8">
        <v>27.599999999999998</v>
      </c>
      <c r="E41" s="9">
        <v>0.82175204526625856</v>
      </c>
      <c r="K41" s="14">
        <f t="shared" si="8"/>
        <v>19382.099999999999</v>
      </c>
      <c r="L41" s="13">
        <f t="shared" si="9"/>
        <v>0.82175204526625856</v>
      </c>
      <c r="AA41" s="15">
        <f t="shared" si="10"/>
        <v>0.85049666673954993</v>
      </c>
      <c r="AC41" s="21">
        <f t="shared" si="11"/>
        <v>-2.8744621473291376E-2</v>
      </c>
      <c r="AD41" s="27">
        <f t="shared" si="7"/>
        <v>-3.4979677432963048E-2</v>
      </c>
    </row>
    <row r="42" spans="2:57" x14ac:dyDescent="0.25">
      <c r="B42" s="7">
        <v>40</v>
      </c>
      <c r="C42" s="8">
        <v>35.5</v>
      </c>
      <c r="D42" s="8">
        <v>27.9</v>
      </c>
      <c r="E42" s="9">
        <v>1.4750505572701549</v>
      </c>
      <c r="K42" s="14">
        <f t="shared" si="8"/>
        <v>35160.974999999999</v>
      </c>
      <c r="L42" s="13">
        <f t="shared" si="9"/>
        <v>1.4750505572701549</v>
      </c>
      <c r="AA42" s="15">
        <f t="shared" si="10"/>
        <v>1.4987040139633612</v>
      </c>
      <c r="AC42" s="21">
        <f t="shared" si="11"/>
        <v>-2.3653456693206287E-2</v>
      </c>
      <c r="AD42" s="27">
        <f t="shared" si="7"/>
        <v>-1.6035692184667379E-2</v>
      </c>
    </row>
    <row r="43" spans="2:57" x14ac:dyDescent="0.25">
      <c r="B43" s="7">
        <v>41</v>
      </c>
      <c r="C43" s="8">
        <v>31.6</v>
      </c>
      <c r="D43" s="8">
        <v>23.9</v>
      </c>
      <c r="E43" s="9">
        <v>1.0481869303529989</v>
      </c>
      <c r="K43" s="14">
        <f t="shared" si="8"/>
        <v>23865.583999999999</v>
      </c>
      <c r="L43" s="13">
        <f t="shared" si="9"/>
        <v>1.0481869303529989</v>
      </c>
      <c r="AA43" s="15">
        <f t="shared" si="10"/>
        <v>1.0346813611464962</v>
      </c>
      <c r="AC43" s="21">
        <f t="shared" si="11"/>
        <v>1.3505569206502699E-2</v>
      </c>
      <c r="AD43" s="27">
        <f t="shared" si="7"/>
        <v>1.2884695291854494E-2</v>
      </c>
    </row>
    <row r="44" spans="2:57" x14ac:dyDescent="0.25">
      <c r="B44" s="7">
        <v>42</v>
      </c>
      <c r="C44" s="8">
        <v>28.1</v>
      </c>
      <c r="D44" s="8">
        <v>25.650000000000002</v>
      </c>
      <c r="E44" s="9">
        <v>0.8895556650619012</v>
      </c>
      <c r="K44" s="14">
        <f t="shared" si="8"/>
        <v>20253.496500000005</v>
      </c>
      <c r="L44" s="13">
        <f t="shared" si="9"/>
        <v>0.8895556650619012</v>
      </c>
      <c r="AA44" s="15">
        <f t="shared" si="10"/>
        <v>0.88629425139911011</v>
      </c>
      <c r="AC44" s="21">
        <f t="shared" si="11"/>
        <v>3.2614136627910906E-3</v>
      </c>
      <c r="AD44" s="27">
        <f t="shared" si="7"/>
        <v>3.6663401638436419E-3</v>
      </c>
    </row>
    <row r="45" spans="2:57" x14ac:dyDescent="0.25">
      <c r="B45" s="7">
        <v>43</v>
      </c>
      <c r="C45" s="8">
        <v>33.200000000000003</v>
      </c>
      <c r="D45" s="8">
        <v>26.599999999999998</v>
      </c>
      <c r="E45" s="9">
        <v>1.0907976212406678</v>
      </c>
      <c r="K45" s="14">
        <f t="shared" si="8"/>
        <v>29319.584000000003</v>
      </c>
      <c r="L45" s="13">
        <f t="shared" si="9"/>
        <v>1.0907976212406678</v>
      </c>
      <c r="AA45" s="15">
        <f t="shared" si="10"/>
        <v>1.2587355393916921</v>
      </c>
      <c r="AC45" s="21">
        <f t="shared" si="11"/>
        <v>-0.16793791815102432</v>
      </c>
      <c r="AD45" s="27">
        <f t="shared" si="7"/>
        <v>-0.15395882323250079</v>
      </c>
    </row>
    <row r="46" spans="2:57" x14ac:dyDescent="0.25">
      <c r="B46" s="7">
        <v>44</v>
      </c>
      <c r="C46" s="8">
        <v>35</v>
      </c>
      <c r="D46" s="8">
        <v>24.6</v>
      </c>
      <c r="E46" s="9">
        <v>1.3644401064855045</v>
      </c>
      <c r="K46" s="14">
        <f t="shared" si="8"/>
        <v>30135</v>
      </c>
      <c r="L46" s="13">
        <f t="shared" si="9"/>
        <v>1.3644401064855045</v>
      </c>
      <c r="AA46" s="15">
        <f t="shared" si="10"/>
        <v>1.2922334055097677</v>
      </c>
      <c r="AC46" s="21">
        <f t="shared" si="11"/>
        <v>7.2206700975736782E-2</v>
      </c>
      <c r="AD46" s="27">
        <f t="shared" si="7"/>
        <v>5.2920388833867724E-2</v>
      </c>
    </row>
    <row r="47" spans="2:57" x14ac:dyDescent="0.25">
      <c r="B47" s="7">
        <v>45</v>
      </c>
      <c r="C47" s="8">
        <v>43.6</v>
      </c>
      <c r="D47" s="8">
        <v>26.849999999999998</v>
      </c>
      <c r="E47" s="9">
        <v>2.026133464568598</v>
      </c>
      <c r="K47" s="14">
        <f t="shared" si="8"/>
        <v>51040.775999999998</v>
      </c>
      <c r="L47" s="13">
        <f t="shared" si="9"/>
        <v>2.026133464568598</v>
      </c>
      <c r="AA47" s="15">
        <f t="shared" si="10"/>
        <v>2.1510574726638092</v>
      </c>
      <c r="AC47" s="21">
        <f t="shared" si="11"/>
        <v>-0.1249240080952112</v>
      </c>
      <c r="AD47" s="27">
        <f t="shared" si="7"/>
        <v>-6.1656356937873233E-2</v>
      </c>
    </row>
    <row r="48" spans="2:57" x14ac:dyDescent="0.25">
      <c r="B48" s="7">
        <v>46</v>
      </c>
      <c r="C48" s="8">
        <v>29</v>
      </c>
      <c r="D48" s="8">
        <v>24.400000000000002</v>
      </c>
      <c r="E48" s="9">
        <v>1.0973942720448291</v>
      </c>
      <c r="K48" s="14">
        <f t="shared" si="8"/>
        <v>20520.400000000001</v>
      </c>
      <c r="L48" s="13">
        <f t="shared" si="9"/>
        <v>1.0973942720448291</v>
      </c>
      <c r="AA48" s="15">
        <f t="shared" si="10"/>
        <v>0.89725883599083478</v>
      </c>
      <c r="AC48" s="21">
        <f t="shared" si="11"/>
        <v>0.20013543605399431</v>
      </c>
      <c r="AD48" s="27">
        <f t="shared" si="7"/>
        <v>0.18237331937323861</v>
      </c>
    </row>
    <row r="49" spans="2:30" x14ac:dyDescent="0.25">
      <c r="B49" s="7">
        <v>47</v>
      </c>
      <c r="C49" s="8">
        <v>28.5</v>
      </c>
      <c r="D49" s="8">
        <v>26.7</v>
      </c>
      <c r="E49" s="9">
        <v>0.98562788533325907</v>
      </c>
      <c r="K49" s="14">
        <f t="shared" si="8"/>
        <v>21687.075000000001</v>
      </c>
      <c r="L49" s="13">
        <f t="shared" si="9"/>
        <v>0.98562788533325907</v>
      </c>
      <c r="AA49" s="15">
        <f t="shared" si="10"/>
        <v>0.94518667031503967</v>
      </c>
      <c r="AC49" s="21">
        <f t="shared" si="11"/>
        <v>4.0441215018219401E-2</v>
      </c>
      <c r="AD49" s="27">
        <f t="shared" si="7"/>
        <v>4.1030916048550588E-2</v>
      </c>
    </row>
    <row r="50" spans="2:30" x14ac:dyDescent="0.25">
      <c r="B50" s="7">
        <v>48</v>
      </c>
      <c r="C50" s="8">
        <v>34</v>
      </c>
      <c r="D50" s="8">
        <v>24.85</v>
      </c>
      <c r="E50" s="9">
        <v>1.4640373507938222</v>
      </c>
      <c r="K50" s="14">
        <f t="shared" si="8"/>
        <v>28726.600000000002</v>
      </c>
      <c r="L50" s="13">
        <f t="shared" si="9"/>
        <v>1.4640373507938222</v>
      </c>
      <c r="AA50" s="15">
        <f t="shared" si="10"/>
        <v>1.2343753371855042</v>
      </c>
      <c r="AC50" s="21">
        <f t="shared" si="11"/>
        <v>0.22966201360831806</v>
      </c>
      <c r="AD50" s="27">
        <f t="shared" si="7"/>
        <v>0.15686895794276834</v>
      </c>
    </row>
    <row r="51" spans="2:30" x14ac:dyDescent="0.25">
      <c r="B51" s="7">
        <v>49</v>
      </c>
      <c r="C51" s="8">
        <v>34</v>
      </c>
      <c r="D51" s="8">
        <v>28.4</v>
      </c>
      <c r="E51" s="9">
        <v>1.3809493853196291</v>
      </c>
      <c r="K51" s="14">
        <f t="shared" si="8"/>
        <v>32830.400000000001</v>
      </c>
      <c r="L51" s="13">
        <f t="shared" si="9"/>
        <v>1.3809493853196291</v>
      </c>
      <c r="AA51" s="15">
        <f t="shared" si="10"/>
        <v>1.4029623442780299</v>
      </c>
      <c r="AC51" s="21">
        <f t="shared" si="11"/>
        <v>-2.201295895840083E-2</v>
      </c>
      <c r="AD51" s="27">
        <f t="shared" si="7"/>
        <v>-1.5940453134932094E-2</v>
      </c>
    </row>
    <row r="52" spans="2:30" x14ac:dyDescent="0.25">
      <c r="B52" s="7">
        <v>50</v>
      </c>
      <c r="C52" s="8">
        <v>35</v>
      </c>
      <c r="D52" s="8">
        <v>28.349999999999998</v>
      </c>
      <c r="E52" s="9">
        <v>1.4199563683643344</v>
      </c>
      <c r="K52" s="14">
        <f t="shared" si="8"/>
        <v>34728.75</v>
      </c>
      <c r="L52" s="13">
        <f t="shared" si="9"/>
        <v>1.4199563683643344</v>
      </c>
      <c r="AA52" s="15">
        <f t="shared" si="10"/>
        <v>1.4809479052006129</v>
      </c>
      <c r="AC52" s="21">
        <f t="shared" si="11"/>
        <v>-6.0991536836278559E-2</v>
      </c>
      <c r="AD52" s="27">
        <f t="shared" si="7"/>
        <v>-4.2953106303213723E-2</v>
      </c>
    </row>
    <row r="53" spans="2:30" x14ac:dyDescent="0.25">
      <c r="B53" s="7">
        <v>51</v>
      </c>
      <c r="C53" s="8">
        <v>35.5</v>
      </c>
      <c r="D53" s="8">
        <v>27.8</v>
      </c>
      <c r="E53" s="9">
        <v>1.475522751735959</v>
      </c>
      <c r="K53" s="14">
        <f t="shared" si="8"/>
        <v>35034.950000000004</v>
      </c>
      <c r="L53" s="13">
        <f t="shared" si="9"/>
        <v>1.475522751735959</v>
      </c>
      <c r="AA53" s="15">
        <f t="shared" si="10"/>
        <v>1.4935268178112986</v>
      </c>
      <c r="AC53" s="21">
        <f t="shared" si="11"/>
        <v>-1.8004066075339553E-2</v>
      </c>
      <c r="AD53" s="27">
        <f t="shared" si="7"/>
        <v>-1.2201822068929597E-2</v>
      </c>
    </row>
    <row r="54" spans="2:30" x14ac:dyDescent="0.25">
      <c r="B54" s="7">
        <v>52</v>
      </c>
      <c r="C54" s="8">
        <v>32</v>
      </c>
      <c r="D54" s="8">
        <v>25.35</v>
      </c>
      <c r="E54" s="9">
        <v>1.27309123149891</v>
      </c>
      <c r="K54" s="14">
        <f t="shared" si="8"/>
        <v>25958.400000000001</v>
      </c>
      <c r="L54" s="13">
        <f t="shared" si="9"/>
        <v>1.27309123149891</v>
      </c>
      <c r="AA54" s="15">
        <f t="shared" si="10"/>
        <v>1.1206557229173797</v>
      </c>
      <c r="AC54" s="21">
        <f t="shared" si="11"/>
        <v>0.15243550858153032</v>
      </c>
      <c r="AD54" s="27">
        <f t="shared" si="7"/>
        <v>0.11973651597777173</v>
      </c>
    </row>
    <row r="55" spans="2:30" x14ac:dyDescent="0.25">
      <c r="B55" s="7">
        <v>53</v>
      </c>
      <c r="C55" s="8">
        <v>34</v>
      </c>
      <c r="D55" s="8">
        <v>26.95</v>
      </c>
      <c r="E55" s="9">
        <v>1.2469865469530179</v>
      </c>
      <c r="K55" s="14">
        <f t="shared" si="8"/>
        <v>31154.2</v>
      </c>
      <c r="L55" s="13">
        <f t="shared" si="9"/>
        <v>1.2469865469530179</v>
      </c>
      <c r="AA55" s="15">
        <f t="shared" si="10"/>
        <v>1.3341028625078433</v>
      </c>
      <c r="AC55" s="21">
        <f t="shared" si="11"/>
        <v>-8.7116315554825352E-2</v>
      </c>
      <c r="AD55" s="27">
        <f t="shared" si="7"/>
        <v>-6.9861471856045285E-2</v>
      </c>
    </row>
    <row r="56" spans="2:30" x14ac:dyDescent="0.25">
      <c r="B56" s="7">
        <v>54</v>
      </c>
      <c r="C56" s="8">
        <v>31</v>
      </c>
      <c r="D56" s="8">
        <v>25.05</v>
      </c>
      <c r="E56" s="9">
        <v>1.1655129674036879</v>
      </c>
      <c r="K56" s="14">
        <f t="shared" si="8"/>
        <v>24073.05</v>
      </c>
      <c r="L56" s="13">
        <f t="shared" si="9"/>
        <v>1.1655129674036879</v>
      </c>
      <c r="AA56" s="15">
        <f t="shared" si="10"/>
        <v>1.0432042111912005</v>
      </c>
      <c r="AC56" s="21">
        <f t="shared" si="11"/>
        <v>0.12230875621248738</v>
      </c>
      <c r="AD56" s="27">
        <f t="shared" si="7"/>
        <v>0.10493985020599468</v>
      </c>
    </row>
    <row r="57" spans="2:30" x14ac:dyDescent="0.25">
      <c r="B57" s="7">
        <v>55</v>
      </c>
      <c r="C57" s="8">
        <v>33</v>
      </c>
      <c r="D57" s="8">
        <v>26.95</v>
      </c>
      <c r="E57" s="9">
        <v>1.2531862182554896</v>
      </c>
      <c r="K57" s="14">
        <f t="shared" si="8"/>
        <v>29348.55</v>
      </c>
      <c r="L57" s="13">
        <f t="shared" si="9"/>
        <v>1.2531862182554896</v>
      </c>
      <c r="AA57" s="15">
        <f t="shared" si="10"/>
        <v>1.2599254831626951</v>
      </c>
      <c r="AC57" s="21">
        <f t="shared" si="11"/>
        <v>-6.7392649072055555E-3</v>
      </c>
      <c r="AD57" s="27">
        <f t="shared" si="7"/>
        <v>-5.377704294088884E-3</v>
      </c>
    </row>
    <row r="58" spans="2:30" x14ac:dyDescent="0.25">
      <c r="B58" s="7">
        <v>56</v>
      </c>
      <c r="C58" s="8">
        <v>34.200000000000003</v>
      </c>
      <c r="D58" s="8">
        <v>25.200000000000003</v>
      </c>
      <c r="E58" s="9">
        <v>1.5826823462502129</v>
      </c>
      <c r="K58" s="14">
        <f t="shared" si="8"/>
        <v>29474.928000000007</v>
      </c>
      <c r="L58" s="13">
        <f t="shared" si="9"/>
        <v>1.5826823462502129</v>
      </c>
      <c r="AA58" s="15">
        <f t="shared" si="10"/>
        <v>1.2651171808044761</v>
      </c>
      <c r="AC58" s="21">
        <f t="shared" si="11"/>
        <v>0.31756516544573676</v>
      </c>
      <c r="AD58" s="27">
        <f t="shared" si="7"/>
        <v>0.20064997009547206</v>
      </c>
    </row>
    <row r="59" spans="2:30" x14ac:dyDescent="0.25">
      <c r="B59" s="7">
        <v>57</v>
      </c>
      <c r="C59" s="8">
        <v>38</v>
      </c>
      <c r="D59" s="8">
        <v>26.95</v>
      </c>
      <c r="E59" s="9">
        <v>1.5544472691861053</v>
      </c>
      <c r="K59" s="14">
        <f t="shared" si="8"/>
        <v>38915.799999999996</v>
      </c>
      <c r="L59" s="13">
        <f t="shared" si="9"/>
        <v>1.5544472691861053</v>
      </c>
      <c r="AA59" s="15">
        <f t="shared" si="10"/>
        <v>1.6529548811854951</v>
      </c>
      <c r="AC59" s="21">
        <f t="shared" si="11"/>
        <v>-9.8507611999389733E-2</v>
      </c>
      <c r="AD59" s="27">
        <f t="shared" si="7"/>
        <v>-6.3371472260340775E-2</v>
      </c>
    </row>
    <row r="60" spans="2:30" x14ac:dyDescent="0.25">
      <c r="B60" s="7">
        <v>58</v>
      </c>
      <c r="C60" s="8">
        <v>34.5</v>
      </c>
      <c r="D60" s="8">
        <v>25.5</v>
      </c>
      <c r="E60" s="9">
        <v>1.442758204923722</v>
      </c>
      <c r="K60" s="14">
        <f t="shared" si="8"/>
        <v>30351.375</v>
      </c>
      <c r="L60" s="13">
        <f t="shared" si="9"/>
        <v>1.442758204923722</v>
      </c>
      <c r="AA60" s="15">
        <f t="shared" si="10"/>
        <v>1.3011222435768386</v>
      </c>
      <c r="AC60" s="21">
        <f t="shared" si="11"/>
        <v>0.14163596134688339</v>
      </c>
      <c r="AD60" s="27">
        <f t="shared" si="7"/>
        <v>9.8170269185453449E-2</v>
      </c>
    </row>
    <row r="61" spans="2:30" x14ac:dyDescent="0.25">
      <c r="B61" s="7">
        <v>59</v>
      </c>
      <c r="C61" s="8">
        <v>34.5</v>
      </c>
      <c r="D61" s="8">
        <v>26.3</v>
      </c>
      <c r="E61" s="9">
        <v>1.4826497557399227</v>
      </c>
      <c r="K61" s="14">
        <f t="shared" si="8"/>
        <v>31303.575000000001</v>
      </c>
      <c r="L61" s="13">
        <f t="shared" si="9"/>
        <v>1.4826497557399227</v>
      </c>
      <c r="AA61" s="15">
        <f t="shared" si="10"/>
        <v>1.3402392931780627</v>
      </c>
      <c r="AC61" s="21">
        <f t="shared" si="11"/>
        <v>0.14241046256186007</v>
      </c>
      <c r="AD61" s="27">
        <f t="shared" si="7"/>
        <v>9.6051317589021232E-2</v>
      </c>
    </row>
    <row r="62" spans="2:30" x14ac:dyDescent="0.25">
      <c r="B62" s="7">
        <v>60</v>
      </c>
      <c r="C62" s="8">
        <v>42.5</v>
      </c>
      <c r="D62" s="8">
        <v>24.8</v>
      </c>
      <c r="E62" s="9">
        <v>2.174974506133498</v>
      </c>
      <c r="K62" s="14">
        <f t="shared" si="8"/>
        <v>44795</v>
      </c>
      <c r="L62" s="13">
        <f t="shared" si="9"/>
        <v>2.174974506133498</v>
      </c>
      <c r="AA62" s="15">
        <f t="shared" si="10"/>
        <v>1.8944765762238442</v>
      </c>
      <c r="AC62" s="21">
        <f t="shared" si="11"/>
        <v>0.28049792990965372</v>
      </c>
      <c r="AD62" s="27">
        <f t="shared" si="7"/>
        <v>0.12896607712809532</v>
      </c>
    </row>
    <row r="63" spans="2:30" x14ac:dyDescent="0.25">
      <c r="B63" s="7">
        <v>61</v>
      </c>
      <c r="C63" s="8">
        <v>37.700000000000003</v>
      </c>
      <c r="D63" s="8">
        <v>26.9</v>
      </c>
      <c r="E63" s="9">
        <v>1.4972626514386165</v>
      </c>
      <c r="K63" s="14">
        <f t="shared" si="8"/>
        <v>38232.701000000001</v>
      </c>
      <c r="L63" s="13">
        <f t="shared" si="9"/>
        <v>1.4972626514386165</v>
      </c>
      <c r="AA63" s="15">
        <f t="shared" si="10"/>
        <v>1.6248926910305419</v>
      </c>
      <c r="AC63" s="21">
        <f t="shared" si="11"/>
        <v>-0.12763003959192543</v>
      </c>
      <c r="AD63" s="27">
        <f t="shared" si="7"/>
        <v>-8.5242251564409566E-2</v>
      </c>
    </row>
    <row r="64" spans="2:30" x14ac:dyDescent="0.25">
      <c r="B64" s="7">
        <v>62</v>
      </c>
      <c r="C64" s="8">
        <v>37</v>
      </c>
      <c r="D64" s="8">
        <v>26.4</v>
      </c>
      <c r="E64" s="9">
        <v>1.3977258696989101</v>
      </c>
      <c r="K64" s="14">
        <f t="shared" si="8"/>
        <v>36141.599999999999</v>
      </c>
      <c r="L64" s="13">
        <f t="shared" si="9"/>
        <v>1.3977258696989101</v>
      </c>
      <c r="AA64" s="15">
        <f t="shared" si="10"/>
        <v>1.5389887826728763</v>
      </c>
      <c r="AC64" s="21">
        <f t="shared" si="11"/>
        <v>-0.1412629129739662</v>
      </c>
      <c r="AD64" s="27">
        <f t="shared" si="7"/>
        <v>-0.10106625056914503</v>
      </c>
    </row>
    <row r="65" spans="2:30" x14ac:dyDescent="0.25">
      <c r="B65" s="7">
        <v>63</v>
      </c>
      <c r="C65" s="8">
        <v>25.5</v>
      </c>
      <c r="D65" s="8">
        <v>25.5</v>
      </c>
      <c r="E65" s="9">
        <v>0.76258686279019194</v>
      </c>
      <c r="K65" s="14">
        <f t="shared" si="8"/>
        <v>16581.375</v>
      </c>
      <c r="L65" s="13">
        <f t="shared" si="9"/>
        <v>0.76258686279019194</v>
      </c>
      <c r="AA65" s="15">
        <f t="shared" si="10"/>
        <v>0.73544090246272997</v>
      </c>
      <c r="AC65" s="21">
        <f t="shared" si="11"/>
        <v>2.7145960327461971E-2</v>
      </c>
      <c r="AD65" s="27">
        <f t="shared" si="7"/>
        <v>3.5597204268821181E-2</v>
      </c>
    </row>
    <row r="66" spans="2:30" x14ac:dyDescent="0.25">
      <c r="B66" s="7">
        <v>64</v>
      </c>
      <c r="C66" s="8">
        <v>32.5</v>
      </c>
      <c r="D66" s="8">
        <v>27</v>
      </c>
      <c r="E66" s="9">
        <v>1.1967874044604496</v>
      </c>
      <c r="K66" s="14">
        <f t="shared" si="8"/>
        <v>28518.75</v>
      </c>
      <c r="L66" s="13">
        <f t="shared" si="9"/>
        <v>1.1967874044604496</v>
      </c>
      <c r="AA66" s="15">
        <f t="shared" si="10"/>
        <v>1.225836712149152</v>
      </c>
      <c r="AC66" s="21">
        <f t="shared" si="11"/>
        <v>-2.9049307688702397E-2</v>
      </c>
      <c r="AD66" s="27">
        <f t="shared" si="7"/>
        <v>-2.4272738483405717E-2</v>
      </c>
    </row>
    <row r="67" spans="2:30" x14ac:dyDescent="0.25">
      <c r="B67" s="7">
        <v>65</v>
      </c>
      <c r="C67" s="8">
        <v>29</v>
      </c>
      <c r="D67" s="8">
        <v>27.55</v>
      </c>
      <c r="E67" s="9">
        <v>1.0722975413219025</v>
      </c>
      <c r="K67" s="14">
        <f t="shared" ref="K67:K102" si="12">C67^2*D67</f>
        <v>23169.55</v>
      </c>
      <c r="L67" s="13">
        <f t="shared" ref="L67:L102" si="13">E67</f>
        <v>1.0722975413219025</v>
      </c>
      <c r="AA67" s="15">
        <f t="shared" ref="AA67:AA102" si="14">$Y$2 + $Y$3*K67</f>
        <v>1.0060877920411209</v>
      </c>
      <c r="AC67" s="21">
        <f t="shared" ref="AC67:AC102" si="15">L67-AA67</f>
        <v>6.6209749280781605E-2</v>
      </c>
      <c r="AD67" s="27">
        <f t="shared" si="7"/>
        <v>6.1745687861188066E-2</v>
      </c>
    </row>
    <row r="68" spans="2:30" x14ac:dyDescent="0.25">
      <c r="B68" s="7">
        <v>66</v>
      </c>
      <c r="C68" s="8">
        <v>38</v>
      </c>
      <c r="D68" s="8">
        <v>26.349999999999998</v>
      </c>
      <c r="E68" s="9">
        <v>1.5664594759463404</v>
      </c>
      <c r="K68" s="14">
        <f t="shared" si="12"/>
        <v>38049.399999999994</v>
      </c>
      <c r="L68" s="13">
        <f t="shared" si="13"/>
        <v>1.5664594759463404</v>
      </c>
      <c r="AA68" s="15">
        <f t="shared" si="14"/>
        <v>1.6173625562805374</v>
      </c>
      <c r="AC68" s="21">
        <f t="shared" si="15"/>
        <v>-5.0903080334196993E-2</v>
      </c>
      <c r="AD68" s="27">
        <f t="shared" ref="AD68:AD102" si="16">AC68/L68</f>
        <v>-3.2495625399721922E-2</v>
      </c>
    </row>
    <row r="69" spans="2:30" x14ac:dyDescent="0.25">
      <c r="B69" s="7">
        <v>67</v>
      </c>
      <c r="C69" s="8">
        <v>28.5</v>
      </c>
      <c r="D69" s="8">
        <v>25.6</v>
      </c>
      <c r="E69" s="9">
        <v>1.0255894805756665</v>
      </c>
      <c r="K69" s="14">
        <f t="shared" si="12"/>
        <v>20793.600000000002</v>
      </c>
      <c r="L69" s="13">
        <f t="shared" si="13"/>
        <v>1.0255894805756665</v>
      </c>
      <c r="AA69" s="15">
        <f t="shared" si="14"/>
        <v>0.90848208525680241</v>
      </c>
      <c r="AC69" s="21">
        <f t="shared" si="15"/>
        <v>0.11710739531886405</v>
      </c>
      <c r="AD69" s="27">
        <f t="shared" si="16"/>
        <v>0.11418544898991292</v>
      </c>
    </row>
    <row r="70" spans="2:30" x14ac:dyDescent="0.25">
      <c r="B70" s="7">
        <v>68</v>
      </c>
      <c r="C70" s="8">
        <v>31</v>
      </c>
      <c r="D70" s="8">
        <v>26.849999999999998</v>
      </c>
      <c r="E70" s="9">
        <v>1.1239610456001559</v>
      </c>
      <c r="K70" s="14">
        <f t="shared" si="12"/>
        <v>25802.85</v>
      </c>
      <c r="L70" s="13">
        <f t="shared" si="13"/>
        <v>1.1239610456001559</v>
      </c>
      <c r="AA70" s="15">
        <f t="shared" si="14"/>
        <v>1.1142656188788682</v>
      </c>
      <c r="AC70" s="21">
        <f t="shared" si="15"/>
        <v>9.6954267212876477E-3</v>
      </c>
      <c r="AD70" s="27">
        <f t="shared" si="16"/>
        <v>8.626123440168363E-3</v>
      </c>
    </row>
    <row r="71" spans="2:30" x14ac:dyDescent="0.25">
      <c r="B71" s="7">
        <v>69</v>
      </c>
      <c r="C71" s="8">
        <v>36.5</v>
      </c>
      <c r="D71" s="8">
        <v>26.4</v>
      </c>
      <c r="E71" s="9">
        <v>1.3659420233933688</v>
      </c>
      <c r="K71" s="14">
        <f t="shared" si="12"/>
        <v>35171.4</v>
      </c>
      <c r="L71" s="13">
        <f t="shared" si="13"/>
        <v>1.3659420233933688</v>
      </c>
      <c r="AA71" s="15">
        <f t="shared" si="14"/>
        <v>1.4991322803381699</v>
      </c>
      <c r="AC71" s="21">
        <f t="shared" si="15"/>
        <v>-0.13319025694480113</v>
      </c>
      <c r="AD71" s="27">
        <f t="shared" si="16"/>
        <v>-9.7507986915814027E-2</v>
      </c>
    </row>
    <row r="72" spans="2:30" x14ac:dyDescent="0.25">
      <c r="B72" s="7">
        <v>70</v>
      </c>
      <c r="C72" s="8">
        <v>40</v>
      </c>
      <c r="D72" s="8">
        <v>24.700000000000003</v>
      </c>
      <c r="E72" s="9">
        <v>2.0198896669793127</v>
      </c>
      <c r="K72" s="14">
        <f t="shared" si="12"/>
        <v>39520.000000000007</v>
      </c>
      <c r="L72" s="13">
        <f t="shared" si="13"/>
        <v>2.0198896669793127</v>
      </c>
      <c r="AA72" s="15">
        <f t="shared" si="14"/>
        <v>1.6777758446060578</v>
      </c>
      <c r="AC72" s="21">
        <f t="shared" si="15"/>
        <v>0.34211382237325494</v>
      </c>
      <c r="AD72" s="27">
        <f t="shared" si="16"/>
        <v>0.1693725295822105</v>
      </c>
    </row>
    <row r="73" spans="2:30" x14ac:dyDescent="0.25">
      <c r="B73" s="7">
        <v>71</v>
      </c>
      <c r="C73" s="8">
        <v>29.5</v>
      </c>
      <c r="D73" s="8">
        <v>24.200000000000003</v>
      </c>
      <c r="E73" s="9">
        <v>1.0073514880240264</v>
      </c>
      <c r="K73" s="14">
        <f t="shared" si="12"/>
        <v>21060.050000000003</v>
      </c>
      <c r="L73" s="13">
        <f t="shared" si="13"/>
        <v>1.0073514880240264</v>
      </c>
      <c r="AA73" s="15">
        <f t="shared" si="14"/>
        <v>0.91942803974771414</v>
      </c>
      <c r="AC73" s="21">
        <f t="shared" si="15"/>
        <v>8.7923448276312266E-2</v>
      </c>
      <c r="AD73" s="27">
        <f t="shared" si="16"/>
        <v>8.7281797189557725E-2</v>
      </c>
    </row>
    <row r="74" spans="2:30" x14ac:dyDescent="0.25">
      <c r="B74" s="7">
        <v>72</v>
      </c>
      <c r="C74" s="8">
        <v>31</v>
      </c>
      <c r="D74" s="8">
        <v>27.9</v>
      </c>
      <c r="E74" s="9">
        <v>1.2693717428766924</v>
      </c>
      <c r="K74" s="14">
        <f t="shared" si="12"/>
        <v>26811.899999999998</v>
      </c>
      <c r="L74" s="13">
        <f t="shared" si="13"/>
        <v>1.2693717428766924</v>
      </c>
      <c r="AA74" s="15">
        <f t="shared" si="14"/>
        <v>1.1557181066966744</v>
      </c>
      <c r="AC74" s="21">
        <f t="shared" si="15"/>
        <v>0.113653636180018</v>
      </c>
      <c r="AD74" s="27">
        <f t="shared" si="16"/>
        <v>8.9535344407818906E-2</v>
      </c>
    </row>
    <row r="75" spans="2:30" x14ac:dyDescent="0.25">
      <c r="B75" s="7">
        <v>73</v>
      </c>
      <c r="C75" s="8">
        <v>26.5</v>
      </c>
      <c r="D75" s="8">
        <v>22.8</v>
      </c>
      <c r="E75" s="9">
        <v>0.68899285576499358</v>
      </c>
      <c r="K75" s="14">
        <f t="shared" si="12"/>
        <v>16011.300000000001</v>
      </c>
      <c r="L75" s="13">
        <f t="shared" si="13"/>
        <v>0.68899285576499358</v>
      </c>
      <c r="AA75" s="15">
        <f t="shared" si="14"/>
        <v>0.71202181818272814</v>
      </c>
      <c r="AC75" s="21">
        <f t="shared" si="15"/>
        <v>-2.3028962417734555E-2</v>
      </c>
      <c r="AD75" s="27">
        <f t="shared" si="16"/>
        <v>-3.3424094640524739E-2</v>
      </c>
    </row>
    <row r="76" spans="2:30" x14ac:dyDescent="0.25">
      <c r="B76" s="7">
        <v>74</v>
      </c>
      <c r="C76" s="8">
        <v>32</v>
      </c>
      <c r="D76" s="8">
        <v>26</v>
      </c>
      <c r="E76" s="9">
        <v>1.238381829394591</v>
      </c>
      <c r="K76" s="14">
        <f t="shared" si="12"/>
        <v>26624</v>
      </c>
      <c r="L76" s="13">
        <f t="shared" si="13"/>
        <v>1.238381829394591</v>
      </c>
      <c r="AA76" s="15">
        <f t="shared" si="14"/>
        <v>1.1479990417732655</v>
      </c>
      <c r="AC76" s="21">
        <f t="shared" si="15"/>
        <v>9.0382787621325456E-2</v>
      </c>
      <c r="AD76" s="27">
        <f t="shared" si="16"/>
        <v>7.2984588013142102E-2</v>
      </c>
    </row>
    <row r="77" spans="2:30" x14ac:dyDescent="0.25">
      <c r="B77" s="7">
        <v>75</v>
      </c>
      <c r="C77" s="8">
        <v>32.5</v>
      </c>
      <c r="D77" s="8">
        <v>24.1</v>
      </c>
      <c r="E77" s="9">
        <v>1.1467110720606977</v>
      </c>
      <c r="K77" s="14">
        <f t="shared" si="12"/>
        <v>25455.625</v>
      </c>
      <c r="L77" s="13">
        <f t="shared" si="13"/>
        <v>1.1467110720606977</v>
      </c>
      <c r="AA77" s="15">
        <f t="shared" si="14"/>
        <v>1.1000013702464539</v>
      </c>
      <c r="AC77" s="21">
        <f t="shared" si="15"/>
        <v>4.670970181424372E-2</v>
      </c>
      <c r="AD77" s="27">
        <f t="shared" si="16"/>
        <v>4.0733627634992685E-2</v>
      </c>
    </row>
    <row r="78" spans="2:30" x14ac:dyDescent="0.25">
      <c r="B78" s="7">
        <v>76</v>
      </c>
      <c r="C78" s="8">
        <v>32</v>
      </c>
      <c r="D78" s="8">
        <v>25.700000000000003</v>
      </c>
      <c r="E78" s="9">
        <v>1.0965525084732386</v>
      </c>
      <c r="K78" s="14">
        <f t="shared" si="12"/>
        <v>26316.800000000003</v>
      </c>
      <c r="L78" s="13">
        <f t="shared" si="13"/>
        <v>1.0965525084732386</v>
      </c>
      <c r="AA78" s="15">
        <f t="shared" si="14"/>
        <v>1.1353790484551645</v>
      </c>
      <c r="AC78" s="21">
        <f t="shared" si="15"/>
        <v>-3.8826539981925867E-2</v>
      </c>
      <c r="AD78" s="27">
        <f t="shared" si="16"/>
        <v>-3.5407825600604542E-2</v>
      </c>
    </row>
    <row r="79" spans="2:30" x14ac:dyDescent="0.25">
      <c r="B79" s="7">
        <v>77</v>
      </c>
      <c r="C79" s="8">
        <v>34.200000000000003</v>
      </c>
      <c r="D79" s="8">
        <v>25.55</v>
      </c>
      <c r="E79" s="9">
        <v>1.1735595679372355</v>
      </c>
      <c r="K79" s="14">
        <f t="shared" si="12"/>
        <v>29884.302000000003</v>
      </c>
      <c r="L79" s="13">
        <f t="shared" si="13"/>
        <v>1.1735595679372355</v>
      </c>
      <c r="AA79" s="15">
        <f t="shared" si="14"/>
        <v>1.2819345543220682</v>
      </c>
      <c r="AC79" s="21">
        <f t="shared" si="15"/>
        <v>-0.10837498638483267</v>
      </c>
      <c r="AD79" s="27">
        <f t="shared" si="16"/>
        <v>-9.2347239412246693E-2</v>
      </c>
    </row>
    <row r="80" spans="2:30" x14ac:dyDescent="0.25">
      <c r="B80" s="7">
        <v>78</v>
      </c>
      <c r="C80" s="8">
        <v>35.5</v>
      </c>
      <c r="D80" s="8">
        <v>25.5</v>
      </c>
      <c r="E80" s="9">
        <v>1.315048143865398</v>
      </c>
      <c r="K80" s="14">
        <f t="shared" si="12"/>
        <v>32136.375</v>
      </c>
      <c r="L80" s="13">
        <f t="shared" si="13"/>
        <v>1.315048143865398</v>
      </c>
      <c r="AA80" s="15">
        <f t="shared" si="14"/>
        <v>1.3744513063138528</v>
      </c>
      <c r="AC80" s="21">
        <f t="shared" si="15"/>
        <v>-5.9403162448454783E-2</v>
      </c>
      <c r="AD80" s="27">
        <f t="shared" si="16"/>
        <v>-4.517185376487251E-2</v>
      </c>
    </row>
    <row r="81" spans="2:30" x14ac:dyDescent="0.25">
      <c r="B81" s="7">
        <v>79</v>
      </c>
      <c r="C81" s="8">
        <v>40.9</v>
      </c>
      <c r="D81" s="8">
        <v>25.200000000000003</v>
      </c>
      <c r="E81" s="9">
        <v>1.7861103665870106</v>
      </c>
      <c r="K81" s="14">
        <f t="shared" si="12"/>
        <v>42154.812000000005</v>
      </c>
      <c r="L81" s="13">
        <f t="shared" si="13"/>
        <v>1.7861103665870106</v>
      </c>
      <c r="AA81" s="15">
        <f t="shared" si="14"/>
        <v>1.7860157854734178</v>
      </c>
      <c r="AC81" s="21">
        <f t="shared" si="15"/>
        <v>9.4581113592839827E-5</v>
      </c>
      <c r="AD81" s="27">
        <f t="shared" si="16"/>
        <v>5.2953678206106698E-5</v>
      </c>
    </row>
    <row r="82" spans="2:30" x14ac:dyDescent="0.25">
      <c r="B82" s="7">
        <v>80</v>
      </c>
      <c r="C82" s="8">
        <v>32</v>
      </c>
      <c r="D82" s="8">
        <v>27.5</v>
      </c>
      <c r="E82" s="9">
        <v>1.2899035169444732</v>
      </c>
      <c r="K82" s="14">
        <f t="shared" si="12"/>
        <v>28160</v>
      </c>
      <c r="L82" s="13">
        <f t="shared" si="13"/>
        <v>1.2899035169444732</v>
      </c>
      <c r="AA82" s="15">
        <f t="shared" si="14"/>
        <v>1.2110990083637718</v>
      </c>
      <c r="AC82" s="21">
        <f t="shared" si="15"/>
        <v>7.8804508580701427E-2</v>
      </c>
      <c r="AD82" s="27">
        <f t="shared" si="16"/>
        <v>6.1093335699536462E-2</v>
      </c>
    </row>
    <row r="83" spans="2:30" x14ac:dyDescent="0.25">
      <c r="B83" s="7">
        <v>81</v>
      </c>
      <c r="C83" s="8">
        <v>40</v>
      </c>
      <c r="D83" s="8">
        <v>26.05</v>
      </c>
      <c r="E83" s="9">
        <v>2.0423028492575432</v>
      </c>
      <c r="K83" s="14">
        <f t="shared" si="12"/>
        <v>41680</v>
      </c>
      <c r="L83" s="13">
        <f t="shared" si="13"/>
        <v>2.0423028492575432</v>
      </c>
      <c r="AA83" s="15">
        <f t="shared" si="14"/>
        <v>1.7665101726239569</v>
      </c>
      <c r="AC83" s="21">
        <f t="shared" si="15"/>
        <v>0.27579267663358631</v>
      </c>
      <c r="AD83" s="27">
        <f t="shared" si="16"/>
        <v>0.13504004890060634</v>
      </c>
    </row>
    <row r="84" spans="2:30" x14ac:dyDescent="0.25">
      <c r="B84" s="7">
        <v>82</v>
      </c>
      <c r="C84" s="8">
        <v>30.6</v>
      </c>
      <c r="D84" s="8">
        <v>25.200000000000003</v>
      </c>
      <c r="E84" s="9">
        <v>1.064482371447169</v>
      </c>
      <c r="K84" s="14">
        <f t="shared" si="12"/>
        <v>23596.272000000004</v>
      </c>
      <c r="L84" s="13">
        <f t="shared" si="13"/>
        <v>1.064482371447169</v>
      </c>
      <c r="AA84" s="15">
        <f t="shared" si="14"/>
        <v>1.0236178336709609</v>
      </c>
      <c r="AC84" s="21">
        <f t="shared" si="15"/>
        <v>4.0864537776208021E-2</v>
      </c>
      <c r="AD84" s="27">
        <f t="shared" si="16"/>
        <v>3.8389116506131034E-2</v>
      </c>
    </row>
    <row r="85" spans="2:30" x14ac:dyDescent="0.25">
      <c r="B85" s="7">
        <v>83</v>
      </c>
      <c r="C85" s="8">
        <v>36.6</v>
      </c>
      <c r="D85" s="8">
        <v>26.1</v>
      </c>
      <c r="E85" s="9">
        <v>1.544147452951556</v>
      </c>
      <c r="K85" s="14">
        <f t="shared" si="12"/>
        <v>34962.516000000003</v>
      </c>
      <c r="L85" s="13">
        <f t="shared" si="13"/>
        <v>1.544147452951556</v>
      </c>
      <c r="AA85" s="15">
        <f t="shared" si="14"/>
        <v>1.4905511778503502</v>
      </c>
      <c r="AC85" s="21">
        <f t="shared" si="15"/>
        <v>5.3596275101205793E-2</v>
      </c>
      <c r="AD85" s="27">
        <f t="shared" si="16"/>
        <v>3.4709298648104722E-2</v>
      </c>
    </row>
    <row r="86" spans="2:30" x14ac:dyDescent="0.25">
      <c r="B86" s="7">
        <v>84</v>
      </c>
      <c r="C86" s="8">
        <v>32.1</v>
      </c>
      <c r="D86" s="8">
        <v>27.5</v>
      </c>
      <c r="E86" s="9">
        <v>1.1490528414046224</v>
      </c>
      <c r="K86" s="14">
        <f t="shared" si="12"/>
        <v>28336.275000000001</v>
      </c>
      <c r="L86" s="13">
        <f t="shared" si="13"/>
        <v>1.1490528414046224</v>
      </c>
      <c r="AA86" s="15">
        <f t="shared" si="14"/>
        <v>1.2183405100634734</v>
      </c>
      <c r="AC86" s="21">
        <f t="shared" si="15"/>
        <v>-6.9287668658851054E-2</v>
      </c>
      <c r="AD86" s="27">
        <f t="shared" si="16"/>
        <v>-6.0299810558888299E-2</v>
      </c>
    </row>
    <row r="87" spans="2:30" x14ac:dyDescent="0.25">
      <c r="B87" s="7">
        <v>85</v>
      </c>
      <c r="C87" s="8">
        <v>35.6</v>
      </c>
      <c r="D87" s="8">
        <v>27.15</v>
      </c>
      <c r="E87" s="9">
        <v>1.3884697167238225</v>
      </c>
      <c r="K87" s="14">
        <f t="shared" si="12"/>
        <v>34408.824000000001</v>
      </c>
      <c r="L87" s="13">
        <f t="shared" si="13"/>
        <v>1.3884697167238225</v>
      </c>
      <c r="AA87" s="15">
        <f t="shared" si="14"/>
        <v>1.4678051187999395</v>
      </c>
      <c r="AC87" s="21">
        <f t="shared" si="15"/>
        <v>-7.9335402076117001E-2</v>
      </c>
      <c r="AD87" s="27">
        <f t="shared" si="16"/>
        <v>-5.7138734190986633E-2</v>
      </c>
    </row>
    <row r="88" spans="2:30" x14ac:dyDescent="0.25">
      <c r="B88" s="7">
        <v>86</v>
      </c>
      <c r="C88" s="8">
        <v>34.700000000000003</v>
      </c>
      <c r="D88" s="8">
        <v>26.7</v>
      </c>
      <c r="E88" s="9">
        <v>1.4651136604369419</v>
      </c>
      <c r="K88" s="14">
        <f t="shared" si="12"/>
        <v>32149.203000000001</v>
      </c>
      <c r="L88" s="13">
        <f t="shared" si="13"/>
        <v>1.4651136604369419</v>
      </c>
      <c r="AA88" s="15">
        <f t="shared" si="14"/>
        <v>1.3749782896285814</v>
      </c>
      <c r="AC88" s="21">
        <f t="shared" si="15"/>
        <v>9.0135370808360538E-2</v>
      </c>
      <c r="AD88" s="27">
        <f t="shared" si="16"/>
        <v>6.15210773350372E-2</v>
      </c>
    </row>
    <row r="89" spans="2:30" x14ac:dyDescent="0.25">
      <c r="B89" s="7">
        <v>87</v>
      </c>
      <c r="C89" s="8">
        <v>27</v>
      </c>
      <c r="D89" s="8">
        <v>25.5</v>
      </c>
      <c r="E89" s="9">
        <v>0.86001927487082974</v>
      </c>
      <c r="K89" s="14">
        <f t="shared" si="12"/>
        <v>18589.5</v>
      </c>
      <c r="L89" s="13">
        <f t="shared" si="13"/>
        <v>0.86001927487082974</v>
      </c>
      <c r="AA89" s="15">
        <f t="shared" si="14"/>
        <v>0.81793609804187084</v>
      </c>
      <c r="AC89" s="21">
        <f t="shared" si="15"/>
        <v>4.2083176828958901E-2</v>
      </c>
      <c r="AD89" s="27">
        <f t="shared" si="16"/>
        <v>4.8932829831377402E-2</v>
      </c>
    </row>
    <row r="90" spans="2:30" x14ac:dyDescent="0.25">
      <c r="B90" s="7">
        <v>88</v>
      </c>
      <c r="C90" s="8">
        <v>33.299999999999997</v>
      </c>
      <c r="D90" s="8">
        <v>27.8</v>
      </c>
      <c r="E90" s="9">
        <v>1.2668917303660405</v>
      </c>
      <c r="K90" s="14">
        <f t="shared" si="12"/>
        <v>30827.141999999996</v>
      </c>
      <c r="L90" s="13">
        <f t="shared" si="13"/>
        <v>1.2668917303660405</v>
      </c>
      <c r="AA90" s="15">
        <f t="shared" si="14"/>
        <v>1.320667088501881</v>
      </c>
      <c r="AC90" s="21">
        <f t="shared" si="15"/>
        <v>-5.3775358135840445E-2</v>
      </c>
      <c r="AD90" s="27">
        <f t="shared" si="16"/>
        <v>-4.2446688100413472E-2</v>
      </c>
    </row>
    <row r="91" spans="2:30" x14ac:dyDescent="0.25">
      <c r="B91" s="7">
        <v>89</v>
      </c>
      <c r="C91" s="8">
        <v>28.3</v>
      </c>
      <c r="D91" s="8">
        <v>25.5</v>
      </c>
      <c r="E91" s="9">
        <v>0.88165711208215403</v>
      </c>
      <c r="K91" s="14">
        <f t="shared" si="12"/>
        <v>20422.695</v>
      </c>
      <c r="L91" s="13">
        <f t="shared" si="13"/>
        <v>0.88165711208215403</v>
      </c>
      <c r="AA91" s="15">
        <f t="shared" si="14"/>
        <v>0.89324504547278427</v>
      </c>
      <c r="AC91" s="21">
        <f t="shared" si="15"/>
        <v>-1.1587933390630245E-2</v>
      </c>
      <c r="AD91" s="27">
        <f t="shared" si="16"/>
        <v>-1.3143356109569347E-2</v>
      </c>
    </row>
    <row r="92" spans="2:30" x14ac:dyDescent="0.25">
      <c r="B92" s="7">
        <v>90</v>
      </c>
      <c r="C92" s="8">
        <v>25.2</v>
      </c>
      <c r="D92" s="8">
        <v>25.35</v>
      </c>
      <c r="E92" s="9">
        <v>0.71248800255312017</v>
      </c>
      <c r="K92" s="14">
        <f t="shared" si="12"/>
        <v>16098.263999999999</v>
      </c>
      <c r="L92" s="13">
        <f t="shared" si="13"/>
        <v>0.71248800255312017</v>
      </c>
      <c r="AA92" s="15">
        <f t="shared" si="14"/>
        <v>0.71559436082242656</v>
      </c>
      <c r="AC92" s="21">
        <f t="shared" si="15"/>
        <v>-3.1063582693063863E-3</v>
      </c>
      <c r="AD92" s="27">
        <f t="shared" si="16"/>
        <v>-4.3598744935705626E-3</v>
      </c>
    </row>
    <row r="93" spans="2:30" x14ac:dyDescent="0.25">
      <c r="B93" s="7">
        <v>91</v>
      </c>
      <c r="C93" s="8">
        <v>41</v>
      </c>
      <c r="D93" s="8">
        <v>26.5</v>
      </c>
      <c r="E93" s="9">
        <v>1.8266877925293377</v>
      </c>
      <c r="K93" s="14">
        <f t="shared" si="12"/>
        <v>44546.5</v>
      </c>
      <c r="L93" s="13">
        <f t="shared" si="13"/>
        <v>1.8266877925293377</v>
      </c>
      <c r="AA93" s="15">
        <f t="shared" si="14"/>
        <v>1.8842680204310442</v>
      </c>
      <c r="AC93" s="21">
        <f t="shared" si="15"/>
        <v>-5.7580227901706582E-2</v>
      </c>
      <c r="AD93" s="27">
        <f t="shared" si="16"/>
        <v>-3.1521658017967955E-2</v>
      </c>
    </row>
    <row r="94" spans="2:30" x14ac:dyDescent="0.25">
      <c r="B94" s="7">
        <v>92</v>
      </c>
      <c r="C94" s="8">
        <v>28.5</v>
      </c>
      <c r="D94" s="8">
        <v>27.55</v>
      </c>
      <c r="E94" s="9">
        <v>0.91549919899463328</v>
      </c>
      <c r="K94" s="14">
        <f t="shared" si="12"/>
        <v>22377.487499999999</v>
      </c>
      <c r="L94" s="13">
        <f t="shared" si="13"/>
        <v>0.91549919899463328</v>
      </c>
      <c r="AA94" s="15">
        <f t="shared" si="14"/>
        <v>0.97354930422367758</v>
      </c>
      <c r="AC94" s="21">
        <f t="shared" si="15"/>
        <v>-5.8050105229044302E-2</v>
      </c>
      <c r="AD94" s="27">
        <f t="shared" si="16"/>
        <v>-6.3408144204596506E-2</v>
      </c>
    </row>
    <row r="95" spans="2:30" x14ac:dyDescent="0.25">
      <c r="B95" s="7">
        <v>93</v>
      </c>
      <c r="C95" s="8">
        <v>35.6</v>
      </c>
      <c r="D95" s="8">
        <v>26</v>
      </c>
      <c r="E95" s="9">
        <v>1.4183650862354442</v>
      </c>
      <c r="K95" s="14">
        <f t="shared" si="12"/>
        <v>32951.360000000001</v>
      </c>
      <c r="L95" s="13">
        <f t="shared" si="13"/>
        <v>1.4183650862354442</v>
      </c>
      <c r="AA95" s="15">
        <f t="shared" si="14"/>
        <v>1.4079314666470322</v>
      </c>
      <c r="AC95" s="21">
        <f t="shared" si="15"/>
        <v>1.0433619588412046E-2</v>
      </c>
      <c r="AD95" s="27">
        <f t="shared" si="16"/>
        <v>7.3560888445896909E-3</v>
      </c>
    </row>
    <row r="96" spans="2:30" x14ac:dyDescent="0.25">
      <c r="B96" s="7">
        <v>94</v>
      </c>
      <c r="C96" s="8">
        <v>38.5</v>
      </c>
      <c r="D96" s="8">
        <v>27.099999999999998</v>
      </c>
      <c r="E96" s="9">
        <v>1.7651692037265589</v>
      </c>
      <c r="K96" s="14">
        <f t="shared" si="12"/>
        <v>40168.974999999999</v>
      </c>
      <c r="L96" s="13">
        <f t="shared" si="13"/>
        <v>1.7651692037265589</v>
      </c>
      <c r="AA96" s="15">
        <f t="shared" si="14"/>
        <v>1.7044361967011576</v>
      </c>
      <c r="AC96" s="21">
        <f t="shared" si="15"/>
        <v>6.0733007025401298E-2</v>
      </c>
      <c r="AD96" s="27">
        <f t="shared" si="16"/>
        <v>3.4406337305899093E-2</v>
      </c>
    </row>
    <row r="97" spans="2:30" x14ac:dyDescent="0.25">
      <c r="B97" s="7">
        <v>95</v>
      </c>
      <c r="C97" s="8">
        <v>26.5</v>
      </c>
      <c r="D97" s="8">
        <v>23.5</v>
      </c>
      <c r="E97" s="9">
        <v>0.80150179717014747</v>
      </c>
      <c r="K97" s="14">
        <f t="shared" si="12"/>
        <v>16502.875</v>
      </c>
      <c r="L97" s="13">
        <f t="shared" si="13"/>
        <v>0.80150179717014747</v>
      </c>
      <c r="AA97" s="15">
        <f t="shared" si="14"/>
        <v>0.73221606693059804</v>
      </c>
      <c r="AC97" s="21">
        <f t="shared" si="15"/>
        <v>6.9285730239549426E-2</v>
      </c>
      <c r="AD97" s="27">
        <f t="shared" si="16"/>
        <v>8.6444884445893572E-2</v>
      </c>
    </row>
    <row r="98" spans="2:30" x14ac:dyDescent="0.25">
      <c r="B98" s="7">
        <v>96</v>
      </c>
      <c r="C98" s="8">
        <v>29.5</v>
      </c>
      <c r="D98" s="8">
        <v>25.75</v>
      </c>
      <c r="E98" s="9">
        <v>0.98261533359791564</v>
      </c>
      <c r="K98" s="14">
        <f t="shared" si="12"/>
        <v>22408.9375</v>
      </c>
      <c r="L98" s="13">
        <f t="shared" si="13"/>
        <v>0.98261533359791564</v>
      </c>
      <c r="AA98" s="15">
        <f t="shared" si="14"/>
        <v>0.97484129247190121</v>
      </c>
      <c r="AC98" s="21">
        <f t="shared" si="15"/>
        <v>7.7740411260144304E-3</v>
      </c>
      <c r="AD98" s="27">
        <f t="shared" si="16"/>
        <v>7.9115813281166996E-3</v>
      </c>
    </row>
    <row r="99" spans="2:30" x14ac:dyDescent="0.25">
      <c r="B99" s="7">
        <v>97</v>
      </c>
      <c r="C99" s="8">
        <v>28.5</v>
      </c>
      <c r="D99" s="8">
        <v>25.700000000000003</v>
      </c>
      <c r="E99" s="9">
        <v>0.94511399810235086</v>
      </c>
      <c r="K99" s="14">
        <f t="shared" si="12"/>
        <v>20874.825000000001</v>
      </c>
      <c r="L99" s="13">
        <f t="shared" si="13"/>
        <v>0.94511399810235086</v>
      </c>
      <c r="AA99" s="15">
        <f t="shared" si="14"/>
        <v>0.91181886571664217</v>
      </c>
      <c r="AC99" s="21">
        <f t="shared" si="15"/>
        <v>3.3295132385708692E-2</v>
      </c>
      <c r="AD99" s="27">
        <f t="shared" si="16"/>
        <v>3.5228694583468653E-2</v>
      </c>
    </row>
    <row r="100" spans="2:30" x14ac:dyDescent="0.25">
      <c r="B100" s="7">
        <v>98</v>
      </c>
      <c r="C100" s="8">
        <v>39.1</v>
      </c>
      <c r="D100" s="8">
        <v>27.9</v>
      </c>
      <c r="E100" s="9">
        <v>1.8309820093475906</v>
      </c>
      <c r="K100" s="14">
        <f t="shared" si="12"/>
        <v>42653.798999999999</v>
      </c>
      <c r="L100" s="13">
        <f t="shared" si="13"/>
        <v>1.8309820093475906</v>
      </c>
      <c r="AA100" s="15">
        <f t="shared" si="14"/>
        <v>1.8065145244246525</v>
      </c>
      <c r="AC100" s="21">
        <f t="shared" si="15"/>
        <v>2.4467484922938043E-2</v>
      </c>
      <c r="AD100" s="27">
        <f t="shared" si="16"/>
        <v>1.336303950449858E-2</v>
      </c>
    </row>
    <row r="101" spans="2:30" x14ac:dyDescent="0.25">
      <c r="B101" s="7">
        <v>99</v>
      </c>
      <c r="C101" s="8">
        <v>37.5</v>
      </c>
      <c r="D101" s="8">
        <v>24.200000000000003</v>
      </c>
      <c r="E101" s="9">
        <v>1.6166850732670459</v>
      </c>
      <c r="K101" s="14">
        <f t="shared" si="12"/>
        <v>34031.250000000007</v>
      </c>
      <c r="L101" s="13">
        <f t="shared" si="13"/>
        <v>1.6166850732670459</v>
      </c>
      <c r="AA101" s="15">
        <f t="shared" si="14"/>
        <v>1.4522941117781665</v>
      </c>
      <c r="AC101" s="21">
        <f t="shared" si="15"/>
        <v>0.16439096148887944</v>
      </c>
      <c r="AD101" s="27">
        <f t="shared" si="16"/>
        <v>0.10168397309234335</v>
      </c>
    </row>
    <row r="102" spans="2:30" x14ac:dyDescent="0.25">
      <c r="B102" s="7">
        <v>100</v>
      </c>
      <c r="C102" s="8">
        <v>35.5</v>
      </c>
      <c r="D102" s="8">
        <v>27.65</v>
      </c>
      <c r="E102" s="9">
        <v>1.3835696306723551</v>
      </c>
      <c r="K102" s="14">
        <f t="shared" si="12"/>
        <v>34845.912499999999</v>
      </c>
      <c r="L102" s="13">
        <f t="shared" si="13"/>
        <v>1.3835696306723551</v>
      </c>
      <c r="AA102" s="15">
        <f t="shared" si="14"/>
        <v>1.4857610235832042</v>
      </c>
      <c r="AC102" s="21">
        <f t="shared" si="15"/>
        <v>-0.10219139291084911</v>
      </c>
      <c r="AD102" s="27">
        <f t="shared" si="16"/>
        <v>-7.3860679394349316E-2</v>
      </c>
    </row>
  </sheetData>
  <mergeCells count="1">
    <mergeCell ref="G2:I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A816-121E-4671-87B1-350ADB1C89F1}">
  <dimension ref="B2:BV102"/>
  <sheetViews>
    <sheetView showGridLines="0" tabSelected="1" topLeftCell="AU1" workbookViewId="0">
      <selection activeCell="BK23" sqref="BK23"/>
    </sheetView>
  </sheetViews>
  <sheetFormatPr defaultRowHeight="15" x14ac:dyDescent="0.25"/>
  <cols>
    <col min="28" max="28" width="11.7109375" customWidth="1"/>
    <col min="31" max="31" width="10.42578125" customWidth="1"/>
  </cols>
  <sheetData>
    <row r="2" spans="2:74" x14ac:dyDescent="0.25">
      <c r="B2" s="10" t="s">
        <v>0</v>
      </c>
      <c r="C2" s="11" t="s">
        <v>2</v>
      </c>
      <c r="D2" s="10" t="s">
        <v>3</v>
      </c>
      <c r="E2" s="10" t="s">
        <v>1</v>
      </c>
      <c r="G2" s="43"/>
      <c r="H2" s="43"/>
      <c r="I2" s="43"/>
      <c r="K2" s="12" t="s">
        <v>48</v>
      </c>
      <c r="L2" s="12" t="s">
        <v>49</v>
      </c>
      <c r="M2" s="12" t="s">
        <v>50</v>
      </c>
      <c r="O2" t="s">
        <v>6</v>
      </c>
      <c r="Y2" s="22" t="s">
        <v>30</v>
      </c>
      <c r="Z2" s="24">
        <f>P18</f>
        <v>-8.0021632542917409</v>
      </c>
      <c r="AB2" s="20" t="s">
        <v>55</v>
      </c>
      <c r="AD2" s="25" t="s">
        <v>15</v>
      </c>
      <c r="AE2" s="26" t="s">
        <v>39</v>
      </c>
      <c r="AF2" s="25" t="s">
        <v>33</v>
      </c>
      <c r="AG2" s="25" t="s">
        <v>34</v>
      </c>
      <c r="AI2" s="25" t="s">
        <v>37</v>
      </c>
      <c r="AJ2" s="25" t="s">
        <v>38</v>
      </c>
      <c r="AL2" s="44" t="s">
        <v>54</v>
      </c>
      <c r="AM2" s="44"/>
      <c r="AN2" s="44"/>
      <c r="AO2" s="44"/>
      <c r="AP2" s="44"/>
      <c r="AQ2" s="44"/>
      <c r="AR2" s="44"/>
      <c r="BD2" s="20" t="s">
        <v>41</v>
      </c>
      <c r="BF2" s="25" t="s">
        <v>15</v>
      </c>
      <c r="BG2" s="26" t="s">
        <v>39</v>
      </c>
      <c r="BH2" s="25" t="s">
        <v>33</v>
      </c>
      <c r="BI2" s="25" t="s">
        <v>34</v>
      </c>
      <c r="BK2" s="25" t="s">
        <v>37</v>
      </c>
      <c r="BL2" s="25" t="s">
        <v>38</v>
      </c>
      <c r="BP2" s="29" t="s">
        <v>40</v>
      </c>
      <c r="BQ2" s="29" t="s">
        <v>42</v>
      </c>
      <c r="BR2" s="29" t="s">
        <v>43</v>
      </c>
      <c r="BS2" s="29" t="s">
        <v>44</v>
      </c>
      <c r="BT2" s="30" t="s">
        <v>45</v>
      </c>
      <c r="BU2" s="30" t="s">
        <v>46</v>
      </c>
      <c r="BV2" s="30" t="s">
        <v>47</v>
      </c>
    </row>
    <row r="3" spans="2:74" ht="15.75" thickBot="1" x14ac:dyDescent="0.3">
      <c r="B3" s="7">
        <v>1</v>
      </c>
      <c r="C3" s="8">
        <v>27.6</v>
      </c>
      <c r="D3" s="8">
        <v>27</v>
      </c>
      <c r="E3" s="9">
        <v>0.77367719536616997</v>
      </c>
      <c r="G3" s="43"/>
      <c r="H3" s="43"/>
      <c r="I3" s="43"/>
      <c r="K3" s="14">
        <f>LN(C3)</f>
        <v>3.3178157727231046</v>
      </c>
      <c r="L3" s="14">
        <f>LN(D3)</f>
        <v>3.2958368660043291</v>
      </c>
      <c r="M3" s="13">
        <f>LN(E3)</f>
        <v>-0.25660055263665121</v>
      </c>
      <c r="Y3" s="22" t="s">
        <v>31</v>
      </c>
      <c r="Z3" s="24">
        <f>P19</f>
        <v>2.0156215846007162</v>
      </c>
      <c r="AB3" s="15">
        <f>'Modelo de Schumacher-Hall'!beta0 + 'Modelo de Schumacher-Hall'!beta1*K3+ beta2*L3</f>
        <v>-0.14444323816355276</v>
      </c>
      <c r="AD3" s="33">
        <f>M3-AB3</f>
        <v>-0.11215731447309846</v>
      </c>
      <c r="AE3" s="35">
        <f>AD3/M3</f>
        <v>0.43708913843188119</v>
      </c>
      <c r="AF3" s="21">
        <f>SUMSQ(AD3:AD102)</f>
        <v>0.74415943630991344</v>
      </c>
      <c r="AG3" s="21">
        <f>SQRT(AF3/(Z5-Z6))</f>
        <v>8.758850818504435E-2</v>
      </c>
      <c r="AI3">
        <f>1-(Q14/Q15)</f>
        <v>0.91516838529819511</v>
      </c>
      <c r="AJ3">
        <f>1-(Q14/Q15)*(P15/P14)</f>
        <v>0.91341927984042592</v>
      </c>
      <c r="AL3" s="44"/>
      <c r="AM3" s="44"/>
      <c r="AN3" s="44"/>
      <c r="AO3" s="44"/>
      <c r="AP3" s="44"/>
      <c r="AQ3" s="44"/>
      <c r="AR3" s="44"/>
      <c r="BA3" s="22" t="s">
        <v>53</v>
      </c>
      <c r="BB3" s="24">
        <f>EXP(P8^2/2)</f>
        <v>1.0038432397611659</v>
      </c>
      <c r="BD3" s="15">
        <f>EXP('Modelo de Schumacher-Hall'!beta0+'Modelo de Schumacher-Hall'!beta1*K3+beta2*L3)*$BB$3</f>
        <v>0.86883037814215691</v>
      </c>
      <c r="BF3" s="33">
        <f>E3-BD3</f>
        <v>-9.5153182775986944E-2</v>
      </c>
      <c r="BG3" s="35">
        <f>BF3/E3</f>
        <v>-0.12298822214987525</v>
      </c>
      <c r="BH3" s="21">
        <f>SUMSQ(BF3:BF102)</f>
        <v>1.1061198431006898</v>
      </c>
      <c r="BI3" s="21">
        <f>SQRT(BH3/(Z5-Z6))</f>
        <v>0.10678622266731558</v>
      </c>
      <c r="BK3" s="21">
        <f>1-(BH3/BH5)</f>
        <v>0.91456799558065571</v>
      </c>
      <c r="BL3" s="21">
        <f>1-((BH3/BH5)*(P15/P14))</f>
        <v>0.91280651095345278</v>
      </c>
      <c r="BP3" s="14">
        <v>20</v>
      </c>
      <c r="BQ3" s="31">
        <f>AVERAGE(D3:D102)</f>
        <v>26.242999999999999</v>
      </c>
      <c r="BR3" s="31">
        <f>SMALL(D3:D102, 1)</f>
        <v>22.8</v>
      </c>
      <c r="BS3" s="31">
        <f>LARGE(D3:D102, 1)</f>
        <v>28.4</v>
      </c>
      <c r="BT3" s="32">
        <f>EXP('Modelo de Schumacher-Hall'!beta0+'Modelo de Schumacher-Hall'!beta1*LN($BP3)+beta2*LN(BQ$3))*$BB$3</f>
        <v>0.4493724603996937</v>
      </c>
      <c r="BU3" s="32">
        <f>EXP('Modelo de Schumacher-Hall'!beta0+'Modelo de Schumacher-Hall'!beta1*LN($BP3)+beta2*LN(BR$3))*$BB$3</f>
        <v>0.42748329603215912</v>
      </c>
      <c r="BV3" s="32">
        <f>EXP('Modelo de Schumacher-Hall'!beta0+'Modelo de Schumacher-Hall'!beta1*LN($BP3)+beta2*LN(BS$3))*$BB$3</f>
        <v>0.4621544548620698</v>
      </c>
    </row>
    <row r="4" spans="2:74" x14ac:dyDescent="0.25">
      <c r="B4" s="7">
        <v>2</v>
      </c>
      <c r="C4" s="8">
        <v>37</v>
      </c>
      <c r="D4" s="8">
        <v>27.95</v>
      </c>
      <c r="E4" s="9">
        <v>1.3530145267034794</v>
      </c>
      <c r="K4" s="14">
        <f t="shared" ref="K4:K67" si="0">LN(C4)</f>
        <v>3.6109179126442243</v>
      </c>
      <c r="L4" s="14">
        <f t="shared" ref="L4:L67" si="1">LN(D4)</f>
        <v>3.3304171996011083</v>
      </c>
      <c r="M4" s="13">
        <f t="shared" ref="M4:M67" si="2">LN(E4)</f>
        <v>0.30233508579286078</v>
      </c>
      <c r="O4" s="16" t="s">
        <v>7</v>
      </c>
      <c r="P4" s="16"/>
      <c r="Q4" s="15"/>
      <c r="R4" s="15"/>
      <c r="S4" s="15"/>
      <c r="T4" s="15"/>
      <c r="U4" s="15"/>
      <c r="V4" s="15"/>
      <c r="W4" s="15"/>
      <c r="Y4" s="22" t="s">
        <v>51</v>
      </c>
      <c r="Z4" s="24">
        <f>P20</f>
        <v>0.35507186140482289</v>
      </c>
      <c r="AB4" s="15">
        <f>'Modelo de Schumacher-Hall'!beta0 + 'Modelo de Schumacher-Hall'!beta1*K4+ beta2*L4</f>
        <v>0.45861826497232383</v>
      </c>
      <c r="AD4" s="33">
        <f t="shared" ref="AD4:AD67" si="3">M4-AB4</f>
        <v>-0.15628317917946305</v>
      </c>
      <c r="AE4" s="35">
        <f t="shared" ref="AE4:AE67" si="4">AD4/M4</f>
        <v>-0.51692041884459794</v>
      </c>
      <c r="AL4" s="44"/>
      <c r="AM4" s="44"/>
      <c r="AN4" s="44"/>
      <c r="AO4" s="44"/>
      <c r="AP4" s="44"/>
      <c r="AQ4" s="44"/>
      <c r="AR4" s="44"/>
      <c r="BA4" s="34" t="s">
        <v>52</v>
      </c>
      <c r="BD4" s="15">
        <f>EXP('Modelo de Schumacher-Hall'!beta0+'Modelo de Schumacher-Hall'!beta1*K4+beta2*L4)*$BB$3</f>
        <v>1.5879662958999849</v>
      </c>
      <c r="BF4" s="33">
        <f t="shared" ref="BF4:BF67" si="5">E4-BD4</f>
        <v>-0.23495176919650551</v>
      </c>
      <c r="BG4" s="35">
        <f t="shared" ref="BG4:BG67" si="6">BF4/E4</f>
        <v>-0.17365058878484346</v>
      </c>
      <c r="BH4" s="36" t="s">
        <v>56</v>
      </c>
      <c r="BP4" s="14">
        <v>21</v>
      </c>
      <c r="BQ4" s="28"/>
      <c r="BR4" s="28"/>
      <c r="BS4" s="28"/>
      <c r="BT4" s="32">
        <f>EXP('Modelo de Schumacher-Hall'!beta0+'Modelo de Schumacher-Hall'!beta1*LN($BP4)+beta2*LN(BQ$3))*$BB$3</f>
        <v>0.49581089059911942</v>
      </c>
      <c r="BU4" s="32">
        <f>EXP('Modelo de Schumacher-Hall'!beta0+'Modelo de Schumacher-Hall'!beta1*LN($BP4)+beta2*LN(BR$3))*$BB$3</f>
        <v>0.47165968633999594</v>
      </c>
      <c r="BV4" s="32">
        <f>EXP('Modelo de Schumacher-Hall'!beta0+'Modelo de Schumacher-Hall'!beta1*LN($BP4)+beta2*LN(BS$3))*$BB$3</f>
        <v>0.50991378433761614</v>
      </c>
    </row>
    <row r="5" spans="2:74" x14ac:dyDescent="0.25">
      <c r="B5" s="7">
        <v>3</v>
      </c>
      <c r="C5" s="8">
        <v>27.5</v>
      </c>
      <c r="D5" s="8">
        <v>26.349999999999998</v>
      </c>
      <c r="E5" s="9">
        <v>0.71280114080086654</v>
      </c>
      <c r="K5" s="14">
        <f t="shared" si="0"/>
        <v>3.3141860046725258</v>
      </c>
      <c r="L5" s="14">
        <f t="shared" si="1"/>
        <v>3.2714682749873711</v>
      </c>
      <c r="M5" s="13">
        <f t="shared" si="2"/>
        <v>-0.33855280237666874</v>
      </c>
      <c r="O5" s="15" t="s">
        <v>8</v>
      </c>
      <c r="P5" s="15">
        <v>0.9566443358417982</v>
      </c>
      <c r="Q5" s="15"/>
      <c r="R5" s="15"/>
      <c r="S5" s="15"/>
      <c r="T5" s="15"/>
      <c r="U5" s="15"/>
      <c r="V5" s="15"/>
      <c r="W5" s="15"/>
      <c r="Y5" s="23" t="s">
        <v>35</v>
      </c>
      <c r="Z5" s="24">
        <v>100</v>
      </c>
      <c r="AB5" s="15">
        <f>'Modelo de Schumacher-Hall'!beta0 + 'Modelo de Schumacher-Hall'!beta1*K5+ beta2*L5</f>
        <v>-0.16041207796559753</v>
      </c>
      <c r="AD5" s="33">
        <f t="shared" si="3"/>
        <v>-0.17814072441107121</v>
      </c>
      <c r="AE5" s="35">
        <f t="shared" si="4"/>
        <v>0.52618298581641787</v>
      </c>
      <c r="AL5" s="44"/>
      <c r="AM5" s="44"/>
      <c r="AN5" s="44"/>
      <c r="AO5" s="44"/>
      <c r="AP5" s="44"/>
      <c r="AQ5" s="44"/>
      <c r="AR5" s="44"/>
      <c r="BD5" s="15">
        <f>EXP('Modelo de Schumacher-Hall'!beta0+'Modelo de Schumacher-Hall'!beta1*K5+beta2*L5)*$BB$3</f>
        <v>0.85506635524544261</v>
      </c>
      <c r="BF5" s="33">
        <f t="shared" si="5"/>
        <v>-0.14226521444457607</v>
      </c>
      <c r="BG5" s="35">
        <f t="shared" si="6"/>
        <v>-0.19958612059000666</v>
      </c>
      <c r="BH5" s="37">
        <f>_xlfn.VAR.S(E3:E102)*(Z5-1)</f>
        <v>12.947370843264821</v>
      </c>
      <c r="BP5" s="14">
        <v>22</v>
      </c>
      <c r="BQ5" s="28"/>
      <c r="BR5" s="28"/>
      <c r="BS5" s="28"/>
      <c r="BT5" s="32">
        <f>EXP('Modelo de Schumacher-Hall'!beta0+'Modelo de Schumacher-Hall'!beta1*LN($BP5)+beta2*LN(BQ$3))*$BB$3</f>
        <v>0.54455085340745379</v>
      </c>
      <c r="BU5" s="32">
        <f>EXP('Modelo de Schumacher-Hall'!beta0+'Modelo de Schumacher-Hall'!beta1*LN($BP5)+beta2*LN(BR$3))*$BB$3</f>
        <v>0.51802550041605111</v>
      </c>
      <c r="BV5" s="32">
        <f>EXP('Modelo de Schumacher-Hall'!beta0+'Modelo de Schumacher-Hall'!beta1*LN($BP5)+beta2*LN(BS$3))*$BB$3</f>
        <v>0.56004011144196997</v>
      </c>
    </row>
    <row r="6" spans="2:74" x14ac:dyDescent="0.25">
      <c r="B6" s="7">
        <v>4</v>
      </c>
      <c r="C6" s="8">
        <v>29.5</v>
      </c>
      <c r="D6" s="8">
        <v>27.15</v>
      </c>
      <c r="E6" s="9">
        <v>0.94271793156539674</v>
      </c>
      <c r="G6" s="43"/>
      <c r="H6" s="43"/>
      <c r="I6" s="43"/>
      <c r="K6" s="14">
        <f t="shared" si="0"/>
        <v>3.3843902633457743</v>
      </c>
      <c r="L6" s="14">
        <f t="shared" si="1"/>
        <v>3.3013770463799443</v>
      </c>
      <c r="M6" s="13">
        <f t="shared" si="2"/>
        <v>-5.8988159263753323E-2</v>
      </c>
      <c r="O6" s="15" t="s">
        <v>9</v>
      </c>
      <c r="P6" s="15">
        <v>0.91516838529819511</v>
      </c>
      <c r="Q6" s="15"/>
      <c r="R6" s="15"/>
      <c r="S6" s="15"/>
      <c r="T6" s="15"/>
      <c r="U6" s="15"/>
      <c r="V6" s="15"/>
      <c r="W6" s="15"/>
      <c r="Y6" s="23" t="s">
        <v>36</v>
      </c>
      <c r="Z6" s="24">
        <v>3</v>
      </c>
      <c r="AB6" s="15">
        <f>'Modelo de Schumacher-Hall'!beta0 + 'Modelo de Schumacher-Hall'!beta1*K6+ beta2*L6</f>
        <v>-8.2870957222132002E-3</v>
      </c>
      <c r="AD6" s="33">
        <f t="shared" si="3"/>
        <v>-5.0701063541540123E-2</v>
      </c>
      <c r="AE6" s="35">
        <f t="shared" si="4"/>
        <v>0.85951255598332588</v>
      </c>
      <c r="BD6" s="15">
        <f>EXP('Modelo de Schumacher-Hall'!beta0+'Modelo de Schumacher-Hall'!beta1*K6+beta2*L6)*$BB$3</f>
        <v>0.99555866966836626</v>
      </c>
      <c r="BF6" s="33">
        <f t="shared" si="5"/>
        <v>-5.284073810296952E-2</v>
      </c>
      <c r="BG6" s="35">
        <f t="shared" si="6"/>
        <v>-5.6051482987309588E-2</v>
      </c>
      <c r="BP6" s="14">
        <v>23</v>
      </c>
      <c r="BQ6" s="28"/>
      <c r="BR6" s="28"/>
      <c r="BS6" s="28"/>
      <c r="BT6" s="32">
        <f>EXP('Modelo de Schumacher-Hall'!beta0+'Modelo de Schumacher-Hall'!beta1*LN($BP6)+beta2*LN(BQ$3))*$BB$3</f>
        <v>0.595594022589091</v>
      </c>
      <c r="BU6" s="32">
        <f>EXP('Modelo de Schumacher-Hall'!beta0+'Modelo de Schumacher-Hall'!beta1*LN($BP6)+beta2*LN(BR$3))*$BB$3</f>
        <v>0.56658233049479145</v>
      </c>
      <c r="BV6" s="32">
        <f>EXP('Modelo de Schumacher-Hall'!beta0+'Modelo de Schumacher-Hall'!beta1*LN($BP6)+beta2*LN(BS$3))*$BB$3</f>
        <v>0.6125351575482445</v>
      </c>
    </row>
    <row r="7" spans="2:74" x14ac:dyDescent="0.25">
      <c r="B7" s="7">
        <v>5</v>
      </c>
      <c r="C7" s="8">
        <v>28</v>
      </c>
      <c r="D7" s="8">
        <v>26.2</v>
      </c>
      <c r="E7" s="9">
        <v>0.85045138427471978</v>
      </c>
      <c r="G7" s="43"/>
      <c r="H7" s="43"/>
      <c r="I7" s="43"/>
      <c r="K7" s="14">
        <f t="shared" si="0"/>
        <v>3.3322045101752038</v>
      </c>
      <c r="L7" s="14">
        <f t="shared" si="1"/>
        <v>3.2657594107670511</v>
      </c>
      <c r="M7" s="13">
        <f t="shared" si="2"/>
        <v>-0.16198803012658902</v>
      </c>
      <c r="O7" s="15" t="s">
        <v>10</v>
      </c>
      <c r="P7" s="15">
        <v>0.91341927984042603</v>
      </c>
      <c r="Q7" s="15"/>
      <c r="R7" s="15"/>
      <c r="S7" s="15"/>
      <c r="T7" s="15"/>
      <c r="U7" s="15"/>
      <c r="V7" s="15"/>
      <c r="W7" s="15"/>
      <c r="AB7" s="15">
        <f>'Modelo de Schumacher-Hall'!beta0 + 'Modelo de Schumacher-Hall'!beta1*K7+ beta2*L7</f>
        <v>-0.12612064639736853</v>
      </c>
      <c r="AD7" s="33">
        <f t="shared" si="3"/>
        <v>-3.5867383729220492E-2</v>
      </c>
      <c r="AE7" s="35">
        <f t="shared" si="4"/>
        <v>0.22141996356885849</v>
      </c>
      <c r="BD7" s="15">
        <f>EXP('Modelo de Schumacher-Hall'!beta0+'Modelo de Schumacher-Hall'!beta1*K7+beta2*L7)*$BB$3</f>
        <v>0.8848963380210445</v>
      </c>
      <c r="BF7" s="33">
        <f t="shared" si="5"/>
        <v>-3.4444953746324725E-2</v>
      </c>
      <c r="BG7" s="35">
        <f t="shared" si="6"/>
        <v>-4.0501966818126824E-2</v>
      </c>
      <c r="BP7" s="14">
        <v>24</v>
      </c>
      <c r="BQ7" s="28"/>
      <c r="BR7" s="28"/>
      <c r="BS7" s="28"/>
      <c r="BT7" s="32">
        <f>EXP('Modelo de Schumacher-Hall'!beta0+'Modelo de Schumacher-Hall'!beta1*LN($BP7)+beta2*LN(BQ$3))*$BB$3</f>
        <v>0.64894199858153134</v>
      </c>
      <c r="BU7" s="32">
        <f>EXP('Modelo de Schumacher-Hall'!beta0+'Modelo de Schumacher-Hall'!beta1*LN($BP7)+beta2*LN(BR$3))*$BB$3</f>
        <v>0.61733169905558105</v>
      </c>
      <c r="BV7" s="32">
        <f>EXP('Modelo de Schumacher-Hall'!beta0+'Modelo de Schumacher-Hall'!beta1*LN($BP7)+beta2*LN(BS$3))*$BB$3</f>
        <v>0.66740056861694175</v>
      </c>
    </row>
    <row r="8" spans="2:74" x14ac:dyDescent="0.25">
      <c r="B8" s="7">
        <v>6</v>
      </c>
      <c r="C8" s="8">
        <v>26</v>
      </c>
      <c r="D8" s="8">
        <v>27.099999999999998</v>
      </c>
      <c r="E8" s="9">
        <v>0.75413086037400401</v>
      </c>
      <c r="K8" s="14">
        <f t="shared" si="0"/>
        <v>3.2580965380214821</v>
      </c>
      <c r="L8" s="14">
        <f t="shared" si="1"/>
        <v>3.2995337278856551</v>
      </c>
      <c r="M8" s="13">
        <f t="shared" si="2"/>
        <v>-0.28218937116040121</v>
      </c>
      <c r="O8" s="15" t="s">
        <v>11</v>
      </c>
      <c r="P8" s="15">
        <v>8.7588508185044378E-2</v>
      </c>
      <c r="Q8" s="15"/>
      <c r="R8" s="15"/>
      <c r="S8" s="15"/>
      <c r="T8" s="15"/>
      <c r="U8" s="15"/>
      <c r="V8" s="15"/>
      <c r="W8" s="15"/>
      <c r="AB8" s="15">
        <f>'Modelo de Schumacher-Hall'!beta0 + 'Modelo de Schumacher-Hall'!beta1*K8+ beta2*L8</f>
        <v>-0.26350196501441991</v>
      </c>
      <c r="AD8" s="33">
        <f t="shared" si="3"/>
        <v>-1.86874061459813E-2</v>
      </c>
      <c r="AE8" s="35">
        <f t="shared" si="4"/>
        <v>6.6222927068925866E-2</v>
      </c>
      <c r="BD8" s="15">
        <f>EXP('Modelo de Schumacher-Hall'!beta0+'Modelo de Schumacher-Hall'!beta1*K8+beta2*L8)*$BB$3</f>
        <v>0.77130908936960973</v>
      </c>
      <c r="BF8" s="33">
        <f t="shared" si="5"/>
        <v>-1.7178228995605727E-2</v>
      </c>
      <c r="BG8" s="35">
        <f t="shared" si="6"/>
        <v>-2.2778843697082423E-2</v>
      </c>
      <c r="BP8" s="14">
        <v>25</v>
      </c>
      <c r="BQ8" s="28"/>
      <c r="BR8" s="28"/>
      <c r="BS8" s="28"/>
      <c r="BT8" s="32">
        <f>EXP('Modelo de Schumacher-Hall'!beta0+'Modelo de Schumacher-Hall'!beta1*LN($BP8)+beta2*LN(BQ$3))*$BB$3</f>
        <v>0.70459631469810391</v>
      </c>
      <c r="BU8" s="32">
        <f>EXP('Modelo de Schumacher-Hall'!beta0+'Modelo de Schumacher-Hall'!beta1*LN($BP8)+beta2*LN(BR$3))*$BB$3</f>
        <v>0.6702750647232657</v>
      </c>
      <c r="BV8" s="32">
        <f>EXP('Modelo de Schumacher-Hall'!beta0+'Modelo de Schumacher-Hall'!beta1*LN($BP8)+beta2*LN(BS$3))*$BB$3</f>
        <v>0.72463792157510587</v>
      </c>
    </row>
    <row r="9" spans="2:74" ht="15.75" thickBot="1" x14ac:dyDescent="0.3">
      <c r="B9" s="7">
        <v>7</v>
      </c>
      <c r="C9" s="8">
        <v>26.9</v>
      </c>
      <c r="D9" s="8">
        <v>25.400000000000002</v>
      </c>
      <c r="E9" s="9">
        <v>0.65420452114525274</v>
      </c>
      <c r="K9" s="14">
        <f t="shared" si="0"/>
        <v>3.2921262866077932</v>
      </c>
      <c r="L9" s="14">
        <f t="shared" si="1"/>
        <v>3.2347491740244911</v>
      </c>
      <c r="M9" s="13">
        <f t="shared" si="2"/>
        <v>-0.42433525294903957</v>
      </c>
      <c r="O9" s="17" t="s">
        <v>12</v>
      </c>
      <c r="P9" s="17">
        <v>100</v>
      </c>
      <c r="Q9" s="15"/>
      <c r="R9" s="15"/>
      <c r="S9" s="15"/>
      <c r="T9" s="15"/>
      <c r="U9" s="15"/>
      <c r="V9" s="15"/>
      <c r="W9" s="15"/>
      <c r="AB9" s="15">
        <f>'Modelo de Schumacher-Hall'!beta0 + 'Modelo de Schumacher-Hall'!beta1*K9+ beta2*L9</f>
        <v>-0.21791404137508019</v>
      </c>
      <c r="AD9" s="33">
        <f t="shared" si="3"/>
        <v>-0.20642121157395937</v>
      </c>
      <c r="AE9" s="35">
        <f t="shared" si="4"/>
        <v>0.48645784232956357</v>
      </c>
      <c r="BD9" s="15">
        <f>EXP('Modelo de Schumacher-Hall'!beta0+'Modelo de Schumacher-Hall'!beta1*K9+beta2*L9)*$BB$3</f>
        <v>0.80728527868702793</v>
      </c>
      <c r="BF9" s="33">
        <f t="shared" si="5"/>
        <v>-0.15308075754177519</v>
      </c>
      <c r="BG9" s="35">
        <f t="shared" si="6"/>
        <v>-0.23399526079977478</v>
      </c>
      <c r="BP9" s="14">
        <v>26</v>
      </c>
      <c r="BQ9" s="28"/>
      <c r="BR9" s="28"/>
      <c r="BS9" s="28"/>
      <c r="BT9" s="32">
        <f>EXP('Modelo de Schumacher-Hall'!beta0+'Modelo de Schumacher-Hall'!beta1*LN($BP9)+beta2*LN(BQ$3))*$BB$3</f>
        <v>0.76255844257354011</v>
      </c>
      <c r="BU9" s="32">
        <f>EXP('Modelo de Schumacher-Hall'!beta0+'Modelo de Schumacher-Hall'!beta1*LN($BP9)+beta2*LN(BR$3))*$BB$3</f>
        <v>0.72541382744849003</v>
      </c>
      <c r="BV9" s="32">
        <f>EXP('Modelo de Schumacher-Hall'!beta0+'Modelo de Schumacher-Hall'!beta1*LN($BP9)+beta2*LN(BS$3))*$BB$3</f>
        <v>0.7842487299167914</v>
      </c>
    </row>
    <row r="10" spans="2:74" x14ac:dyDescent="0.25">
      <c r="B10" s="7">
        <v>8</v>
      </c>
      <c r="C10" s="8">
        <v>27.8</v>
      </c>
      <c r="D10" s="8">
        <v>25.5</v>
      </c>
      <c r="E10" s="9">
        <v>0.76547013798784025</v>
      </c>
      <c r="K10" s="14">
        <f t="shared" si="0"/>
        <v>3.3250360206965914</v>
      </c>
      <c r="L10" s="14">
        <f t="shared" si="1"/>
        <v>3.2386784521643803</v>
      </c>
      <c r="M10" s="13">
        <f t="shared" si="2"/>
        <v>-0.26726507445870384</v>
      </c>
      <c r="O10" s="15"/>
      <c r="P10" s="15"/>
      <c r="Q10" s="15"/>
      <c r="R10" s="15"/>
      <c r="S10" s="15"/>
      <c r="T10" s="15"/>
      <c r="U10" s="15"/>
      <c r="V10" s="15"/>
      <c r="W10" s="15"/>
      <c r="AB10" s="15">
        <f>'Modelo de Schumacher-Hall'!beta0 + 'Modelo de Schumacher-Hall'!beta1*K10+ beta2*L10</f>
        <v>-0.15018529489912025</v>
      </c>
      <c r="AD10" s="33">
        <f t="shared" si="3"/>
        <v>-0.1170797795595836</v>
      </c>
      <c r="AE10" s="35">
        <f t="shared" si="4"/>
        <v>0.43806614012963391</v>
      </c>
      <c r="BD10" s="15">
        <f>EXP('Modelo de Schumacher-Hall'!beta0+'Modelo de Schumacher-Hall'!beta1*K10+beta2*L10)*$BB$3</f>
        <v>0.8638558006385586</v>
      </c>
      <c r="BF10" s="33">
        <f t="shared" si="5"/>
        <v>-9.8385662650718353E-2</v>
      </c>
      <c r="BG10" s="35">
        <f t="shared" si="6"/>
        <v>-0.1285297201917513</v>
      </c>
      <c r="BP10" s="14">
        <v>27</v>
      </c>
      <c r="BQ10" s="28"/>
      <c r="BR10" s="28"/>
      <c r="BS10" s="28"/>
      <c r="BT10" s="32">
        <f>EXP('Modelo de Schumacher-Hall'!beta0+'Modelo de Schumacher-Hall'!beta1*LN($BP10)+beta2*LN(BQ$3))*$BB$3</f>
        <v>0.82282979697098146</v>
      </c>
      <c r="BU10" s="32">
        <f>EXP('Modelo de Schumacher-Hall'!beta0+'Modelo de Schumacher-Hall'!beta1*LN($BP10)+beta2*LN(BR$3))*$BB$3</f>
        <v>0.78274933308055294</v>
      </c>
      <c r="BV10" s="32">
        <f>EXP('Modelo de Schumacher-Hall'!beta0+'Modelo de Schumacher-Hall'!beta1*LN($BP10)+beta2*LN(BS$3))*$BB$3</f>
        <v>0.84623444864680164</v>
      </c>
    </row>
    <row r="11" spans="2:74" ht="15.75" thickBot="1" x14ac:dyDescent="0.3">
      <c r="B11" s="7">
        <v>9</v>
      </c>
      <c r="C11" s="8">
        <v>29.8</v>
      </c>
      <c r="D11" s="8">
        <v>27</v>
      </c>
      <c r="E11" s="9">
        <v>1.0931516035260334</v>
      </c>
      <c r="K11" s="14">
        <f t="shared" si="0"/>
        <v>3.3945083935113587</v>
      </c>
      <c r="L11" s="14">
        <f t="shared" si="1"/>
        <v>3.2958368660043291</v>
      </c>
      <c r="M11" s="13">
        <f t="shared" si="2"/>
        <v>8.9064903625320074E-2</v>
      </c>
      <c r="O11" s="15" t="s">
        <v>13</v>
      </c>
      <c r="P11" s="15"/>
      <c r="Q11" s="15"/>
      <c r="R11" s="15"/>
      <c r="S11" s="15"/>
      <c r="T11" s="15"/>
      <c r="U11" s="15"/>
      <c r="V11" s="15"/>
      <c r="W11" s="15"/>
      <c r="AB11" s="15">
        <f>'Modelo de Schumacher-Hall'!beta0 + 'Modelo de Schumacher-Hall'!beta1*K11+ beta2*L11</f>
        <v>1.0140063676850275E-2</v>
      </c>
      <c r="AD11" s="33">
        <f t="shared" si="3"/>
        <v>7.8924839948469799E-2</v>
      </c>
      <c r="AE11" s="35">
        <f t="shared" si="4"/>
        <v>0.88614972605250109</v>
      </c>
      <c r="BD11" s="15">
        <f>EXP('Modelo de Schumacher-Hall'!beta0+'Modelo de Schumacher-Hall'!beta1*K11+beta2*L11)*$BB$3</f>
        <v>1.0140740570416023</v>
      </c>
      <c r="BF11" s="33">
        <f t="shared" si="5"/>
        <v>7.9077546484431105E-2</v>
      </c>
      <c r="BG11" s="35">
        <f t="shared" si="6"/>
        <v>7.2339048151565805E-2</v>
      </c>
      <c r="BP11" s="14">
        <v>28</v>
      </c>
      <c r="BQ11" s="28"/>
      <c r="BR11" s="28"/>
      <c r="BS11" s="28"/>
      <c r="BT11" s="32">
        <f>EXP('Modelo de Schumacher-Hall'!beta0+'Modelo de Schumacher-Hall'!beta1*LN($BP11)+beta2*LN(BQ$3))*$BB$3</f>
        <v>0.88541174004664858</v>
      </c>
      <c r="BU11" s="32">
        <f>EXP('Modelo de Schumacher-Hall'!beta0+'Modelo de Schumacher-Hall'!beta1*LN($BP11)+beta2*LN(BR$3))*$BB$3</f>
        <v>0.84228287742434282</v>
      </c>
      <c r="BV11" s="32">
        <f>EXP('Modelo de Schumacher-Hall'!beta0+'Modelo de Schumacher-Hall'!beta1*LN($BP11)+beta2*LN(BS$3))*$BB$3</f>
        <v>0.91059647866666293</v>
      </c>
    </row>
    <row r="12" spans="2:74" x14ac:dyDescent="0.25">
      <c r="B12" s="7">
        <v>10</v>
      </c>
      <c r="C12" s="8">
        <v>33.9</v>
      </c>
      <c r="D12" s="8">
        <v>26.7</v>
      </c>
      <c r="E12" s="9">
        <v>1.2633416521276679</v>
      </c>
      <c r="K12" s="14">
        <f t="shared" si="0"/>
        <v>3.5234150143864045</v>
      </c>
      <c r="L12" s="14">
        <f t="shared" si="1"/>
        <v>3.2846635654062037</v>
      </c>
      <c r="M12" s="13">
        <f t="shared" si="2"/>
        <v>0.23376031520217191</v>
      </c>
      <c r="O12" s="18"/>
      <c r="P12" s="18" t="s">
        <v>18</v>
      </c>
      <c r="Q12" s="18" t="s">
        <v>19</v>
      </c>
      <c r="R12" s="18" t="s">
        <v>20</v>
      </c>
      <c r="S12" s="18" t="s">
        <v>21</v>
      </c>
      <c r="T12" s="18" t="s">
        <v>22</v>
      </c>
      <c r="U12" s="15"/>
      <c r="V12" s="15"/>
      <c r="W12" s="15"/>
      <c r="AB12" s="15">
        <f>'Modelo de Schumacher-Hall'!beta0 + 'Modelo de Schumacher-Hall'!beta1*K12+ beta2*L12</f>
        <v>0.26599970646912197</v>
      </c>
      <c r="AD12" s="33">
        <f t="shared" si="3"/>
        <v>-3.2239391266950052E-2</v>
      </c>
      <c r="AE12" s="35">
        <f t="shared" si="4"/>
        <v>-0.13791644334098035</v>
      </c>
      <c r="BD12" s="15">
        <f>EXP('Modelo de Schumacher-Hall'!beta0+'Modelo de Schumacher-Hall'!beta1*K12+beta2*L12)*$BB$3</f>
        <v>1.3097490838904056</v>
      </c>
      <c r="BF12" s="33">
        <f t="shared" si="5"/>
        <v>-4.640743176273765E-2</v>
      </c>
      <c r="BG12" s="35">
        <f t="shared" si="6"/>
        <v>-3.6733872966651711E-2</v>
      </c>
      <c r="BP12" s="14">
        <v>29</v>
      </c>
      <c r="BQ12" s="28"/>
      <c r="BR12" s="28"/>
      <c r="BS12" s="28"/>
      <c r="BT12" s="32">
        <f>EXP('Modelo de Schumacher-Hall'!beta0+'Modelo de Schumacher-Hall'!beta1*LN($BP12)+beta2*LN(BQ$3))*$BB$3</f>
        <v>0.95030558515091534</v>
      </c>
      <c r="BU12" s="32">
        <f>EXP('Modelo de Schumacher-Hall'!beta0+'Modelo de Schumacher-Hall'!beta1*LN($BP12)+beta2*LN(BR$3))*$BB$3</f>
        <v>0.90401570985625923</v>
      </c>
      <c r="BV12" s="32">
        <f>EXP('Modelo de Schumacher-Hall'!beta0+'Modelo de Schumacher-Hall'!beta1*LN($BP12)+beta2*LN(BS$3))*$BB$3</f>
        <v>0.97733617068381629</v>
      </c>
    </row>
    <row r="13" spans="2:74" x14ac:dyDescent="0.25">
      <c r="B13" s="7">
        <v>11</v>
      </c>
      <c r="C13" s="8">
        <v>29.6</v>
      </c>
      <c r="D13" s="8">
        <v>26.65</v>
      </c>
      <c r="E13" s="9">
        <v>0.94084990130366419</v>
      </c>
      <c r="K13" s="14">
        <f t="shared" si="0"/>
        <v>3.3877743613300146</v>
      </c>
      <c r="L13" s="14">
        <f t="shared" si="1"/>
        <v>3.2827891506118534</v>
      </c>
      <c r="M13" s="13">
        <f t="shared" si="2"/>
        <v>-6.0971661892733453E-2</v>
      </c>
      <c r="O13" s="15" t="s">
        <v>14</v>
      </c>
      <c r="P13" s="15">
        <v>2</v>
      </c>
      <c r="Q13" s="15">
        <v>8.0280352098221872</v>
      </c>
      <c r="R13" s="15">
        <v>4.0140176049110936</v>
      </c>
      <c r="S13" s="15">
        <v>523.22081623678116</v>
      </c>
      <c r="T13" s="15">
        <v>1.0840519028500496E-52</v>
      </c>
      <c r="U13" s="15"/>
      <c r="V13" s="15"/>
      <c r="W13" s="15"/>
      <c r="AB13" s="15">
        <f>'Modelo de Schumacher-Hall'!beta0 + 'Modelo de Schumacher-Hall'!beta1*K13+ beta2*L13</f>
        <v>-8.0660735307491738E-3</v>
      </c>
      <c r="AD13" s="33">
        <f t="shared" si="3"/>
        <v>-5.2905588361984279E-2</v>
      </c>
      <c r="AE13" s="35">
        <f t="shared" si="4"/>
        <v>0.86770782884449338</v>
      </c>
      <c r="BD13" s="15">
        <f>EXP('Modelo de Schumacher-Hall'!beta0+'Modelo de Schumacher-Hall'!beta1*K13+beta2*L13)*$BB$3</f>
        <v>0.99577873454598231</v>
      </c>
      <c r="BF13" s="33">
        <f t="shared" si="5"/>
        <v>-5.492883324231812E-2</v>
      </c>
      <c r="BG13" s="35">
        <f t="shared" si="6"/>
        <v>-5.8382142747963744E-2</v>
      </c>
      <c r="BP13" s="14">
        <v>30</v>
      </c>
      <c r="BQ13" s="28"/>
      <c r="BR13" s="28"/>
      <c r="BS13" s="28"/>
      <c r="BT13" s="32">
        <f>EXP('Modelo de Schumacher-Hall'!beta0+'Modelo de Schumacher-Hall'!beta1*LN($BP13)+beta2*LN(BQ$3))*$BB$3</f>
        <v>1.0175126002307213</v>
      </c>
      <c r="BU13" s="32">
        <f>EXP('Modelo de Schumacher-Hall'!beta0+'Modelo de Schumacher-Hall'!beta1*LN($BP13)+beta2*LN(BR$3))*$BB$3</f>
        <v>0.9679490365608926</v>
      </c>
      <c r="BV13" s="32">
        <f>EXP('Modelo de Schumacher-Hall'!beta0+'Modelo de Schumacher-Hall'!beta1*LN($BP13)+beta2*LN(BS$3))*$BB$3</f>
        <v>1.0464548287108089</v>
      </c>
    </row>
    <row r="14" spans="2:74" x14ac:dyDescent="0.25">
      <c r="B14" s="7">
        <v>12</v>
      </c>
      <c r="C14" s="8">
        <v>28.1</v>
      </c>
      <c r="D14" s="8">
        <v>25.75</v>
      </c>
      <c r="E14" s="9">
        <v>0.85869649419406635</v>
      </c>
      <c r="K14" s="14">
        <f t="shared" si="0"/>
        <v>3.3357695763396999</v>
      </c>
      <c r="L14" s="14">
        <f t="shared" si="1"/>
        <v>3.2484346271097451</v>
      </c>
      <c r="M14" s="13">
        <f t="shared" si="2"/>
        <v>-0.15233974400206787</v>
      </c>
      <c r="O14" s="15" t="s">
        <v>15</v>
      </c>
      <c r="P14" s="15">
        <v>97</v>
      </c>
      <c r="Q14" s="15">
        <v>0.74415943630991388</v>
      </c>
      <c r="R14" s="15">
        <v>7.6717467660815863E-3</v>
      </c>
      <c r="S14" s="15"/>
      <c r="T14" s="15"/>
      <c r="U14" s="15"/>
      <c r="V14" s="15"/>
      <c r="W14" s="15"/>
      <c r="AB14" s="15">
        <f>'Modelo de Schumacher-Hall'!beta0 + 'Modelo de Schumacher-Hall'!beta1*K14+ beta2*L14</f>
        <v>-0.1250863652673162</v>
      </c>
      <c r="AD14" s="33">
        <f t="shared" si="3"/>
        <v>-2.7253378734751671E-2</v>
      </c>
      <c r="AE14" s="35">
        <f t="shared" si="4"/>
        <v>0.17889867751374014</v>
      </c>
      <c r="BD14" s="15">
        <f>EXP('Modelo de Schumacher-Hall'!beta0+'Modelo de Schumacher-Hall'!beta1*K14+beta2*L14)*$BB$3</f>
        <v>0.88581204307210926</v>
      </c>
      <c r="BF14" s="33">
        <f t="shared" si="5"/>
        <v>-2.7115548878042905E-2</v>
      </c>
      <c r="BG14" s="35">
        <f t="shared" si="6"/>
        <v>-3.1577570260715143E-2</v>
      </c>
      <c r="BP14" s="14">
        <v>31</v>
      </c>
      <c r="BQ14" s="28"/>
      <c r="BR14" s="28"/>
      <c r="BS14" s="28"/>
      <c r="BT14" s="32">
        <f>EXP('Modelo de Schumacher-Hall'!beta0+'Modelo de Schumacher-Hall'!beta1*LN($BP14)+beta2*LN(BQ$3))*$BB$3</f>
        <v>1.0870340108872707</v>
      </c>
      <c r="BU14" s="32">
        <f>EXP('Modelo de Schumacher-Hall'!beta0+'Modelo de Schumacher-Hall'!beta1*LN($BP14)+beta2*LN(BR$3))*$BB$3</f>
        <v>1.0340840234397799</v>
      </c>
      <c r="BV14" s="32">
        <f>EXP('Modelo de Schumacher-Hall'!beta0+'Modelo de Schumacher-Hall'!beta1*LN($BP14)+beta2*LN(BS$3))*$BB$3</f>
        <v>1.1179537132099657</v>
      </c>
    </row>
    <row r="15" spans="2:74" ht="15.75" thickBot="1" x14ac:dyDescent="0.3">
      <c r="B15" s="7">
        <v>13</v>
      </c>
      <c r="C15" s="8">
        <v>29.5</v>
      </c>
      <c r="D15" s="8">
        <v>27.7</v>
      </c>
      <c r="E15" s="9">
        <v>0.98497718295488434</v>
      </c>
      <c r="K15" s="14">
        <f t="shared" si="0"/>
        <v>3.3843902633457743</v>
      </c>
      <c r="L15" s="14">
        <f t="shared" si="1"/>
        <v>3.3214324131932926</v>
      </c>
      <c r="M15" s="13">
        <f t="shared" si="2"/>
        <v>-1.5136802591157413E-2</v>
      </c>
      <c r="O15" s="17" t="s">
        <v>16</v>
      </c>
      <c r="P15" s="17">
        <v>99</v>
      </c>
      <c r="Q15" s="17">
        <v>8.7721946461321014</v>
      </c>
      <c r="R15" s="17"/>
      <c r="S15" s="17"/>
      <c r="T15" s="17"/>
      <c r="U15" s="15"/>
      <c r="V15" s="15"/>
      <c r="W15" s="15"/>
      <c r="AB15" s="15">
        <f>'Modelo de Schumacher-Hall'!beta0 + 'Modelo de Schumacher-Hall'!beta1*K15+ beta2*L15</f>
        <v>-1.1659992966410737E-3</v>
      </c>
      <c r="AD15" s="33">
        <f t="shared" si="3"/>
        <v>-1.3970803294516339E-2</v>
      </c>
      <c r="AE15" s="35">
        <f t="shared" si="4"/>
        <v>0.9229692473282155</v>
      </c>
      <c r="BD15" s="15">
        <f>EXP('Modelo de Schumacher-Hall'!beta0+'Modelo de Schumacher-Hall'!beta1*K15+beta2*L15)*$BB$3</f>
        <v>1.0026734413742482</v>
      </c>
      <c r="BF15" s="33">
        <f t="shared" si="5"/>
        <v>-1.7696258419363842E-2</v>
      </c>
      <c r="BG15" s="35">
        <f t="shared" si="6"/>
        <v>-1.7966160765547801E-2</v>
      </c>
      <c r="BP15" s="14">
        <v>32</v>
      </c>
      <c r="BQ15" s="28"/>
      <c r="BR15" s="28"/>
      <c r="BS15" s="28"/>
      <c r="BT15" s="32">
        <f>EXP('Modelo de Schumacher-Hall'!beta0+'Modelo de Schumacher-Hall'!beta1*LN($BP15)+beta2*LN(BQ$3))*$BB$3</f>
        <v>1.1588710031341212</v>
      </c>
      <c r="BU15" s="32">
        <f>EXP('Modelo de Schumacher-Hall'!beta0+'Modelo de Schumacher-Hall'!beta1*LN($BP15)+beta2*LN(BR$3))*$BB$3</f>
        <v>1.1024217987351463</v>
      </c>
      <c r="BV15" s="32">
        <f>EXP('Modelo de Schumacher-Hall'!beta0+'Modelo de Schumacher-Hall'!beta1*LN($BP15)+beta2*LN(BS$3))*$BB$3</f>
        <v>1.1918340439299309</v>
      </c>
    </row>
    <row r="16" spans="2:74" ht="15.75" thickBot="1" x14ac:dyDescent="0.3">
      <c r="B16" s="7">
        <v>14</v>
      </c>
      <c r="C16" s="8">
        <v>26</v>
      </c>
      <c r="D16" s="8">
        <v>23.6</v>
      </c>
      <c r="E16" s="9">
        <v>0.64103386518397554</v>
      </c>
      <c r="K16" s="14">
        <f t="shared" si="0"/>
        <v>3.2580965380214821</v>
      </c>
      <c r="L16" s="14">
        <f t="shared" si="1"/>
        <v>3.1612467120315646</v>
      </c>
      <c r="M16" s="13">
        <f t="shared" si="2"/>
        <v>-0.44467299165674357</v>
      </c>
      <c r="O16" s="15"/>
      <c r="P16" s="15"/>
      <c r="Q16" s="15"/>
      <c r="R16" s="15"/>
      <c r="S16" s="15"/>
      <c r="T16" s="15"/>
      <c r="U16" s="15"/>
      <c r="V16" s="15"/>
      <c r="W16" s="15"/>
      <c r="AB16" s="15">
        <f>'Modelo de Schumacher-Hall'!beta0 + 'Modelo de Schumacher-Hall'!beta1*K16+ beta2*L16</f>
        <v>-0.31260379314185016</v>
      </c>
      <c r="AD16" s="33">
        <f t="shared" si="3"/>
        <v>-0.1320691985148934</v>
      </c>
      <c r="AE16" s="35">
        <f t="shared" si="4"/>
        <v>0.29700296845741775</v>
      </c>
      <c r="BD16" s="15">
        <f>EXP('Modelo de Schumacher-Hall'!beta0+'Modelo de Schumacher-Hall'!beta1*K16+beta2*L16)*$BB$3</f>
        <v>0.73435117864992094</v>
      </c>
      <c r="BF16" s="33">
        <f t="shared" si="5"/>
        <v>-9.3317313465945406E-2</v>
      </c>
      <c r="BG16" s="35">
        <f t="shared" si="6"/>
        <v>-0.14557314134903546</v>
      </c>
      <c r="BP16" s="14">
        <v>33</v>
      </c>
      <c r="BQ16" s="28"/>
      <c r="BR16" s="28"/>
      <c r="BS16" s="28"/>
      <c r="BT16" s="32">
        <f>EXP('Modelo de Schumacher-Hall'!beta0+'Modelo de Schumacher-Hall'!beta1*LN($BP16)+beta2*LN(BQ$3))*$BB$3</f>
        <v>1.2330247258936247</v>
      </c>
      <c r="BU16" s="32">
        <f>EXP('Modelo de Schumacher-Hall'!beta0+'Modelo de Schumacher-Hall'!beta1*LN($BP16)+beta2*LN(BR$3))*$BB$3</f>
        <v>1.1729634554047441</v>
      </c>
      <c r="BV16" s="32">
        <f>EXP('Modelo de Schumacher-Hall'!beta0+'Modelo de Schumacher-Hall'!beta1*LN($BP16)+beta2*LN(BS$3))*$BB$3</f>
        <v>1.2680970024731175</v>
      </c>
    </row>
    <row r="17" spans="2:74" x14ac:dyDescent="0.25">
      <c r="B17" s="7">
        <v>15</v>
      </c>
      <c r="C17" s="8">
        <v>27.8</v>
      </c>
      <c r="D17" s="8">
        <v>24.75</v>
      </c>
      <c r="E17" s="9">
        <v>0.67049802492395338</v>
      </c>
      <c r="K17" s="14">
        <f t="shared" si="0"/>
        <v>3.3250360206965914</v>
      </c>
      <c r="L17" s="14">
        <f t="shared" si="1"/>
        <v>3.2088254890146994</v>
      </c>
      <c r="M17" s="13">
        <f t="shared" si="2"/>
        <v>-0.39973452194117282</v>
      </c>
      <c r="O17" s="18"/>
      <c r="P17" s="18" t="s">
        <v>23</v>
      </c>
      <c r="Q17" s="18" t="s">
        <v>11</v>
      </c>
      <c r="R17" s="18" t="s">
        <v>24</v>
      </c>
      <c r="S17" s="18" t="s">
        <v>25</v>
      </c>
      <c r="T17" s="18" t="s">
        <v>26</v>
      </c>
      <c r="U17" s="18" t="s">
        <v>27</v>
      </c>
      <c r="V17" s="18" t="s">
        <v>28</v>
      </c>
      <c r="W17" s="18" t="s">
        <v>29</v>
      </c>
      <c r="AB17" s="15">
        <f>'Modelo de Schumacher-Hall'!beta0 + 'Modelo de Schumacher-Hall'!beta1*K17+ beta2*L17</f>
        <v>-0.16078524209312683</v>
      </c>
      <c r="AD17" s="33">
        <f t="shared" si="3"/>
        <v>-0.23894927984804598</v>
      </c>
      <c r="AE17" s="35">
        <f t="shared" si="4"/>
        <v>0.59776993662611688</v>
      </c>
      <c r="BD17" s="15">
        <f>EXP('Modelo de Schumacher-Hall'!beta0+'Modelo de Schumacher-Hall'!beta1*K17+beta2*L17)*$BB$3</f>
        <v>0.85474733468222486</v>
      </c>
      <c r="BF17" s="33">
        <f t="shared" si="5"/>
        <v>-0.18424930975827147</v>
      </c>
      <c r="BG17" s="35">
        <f t="shared" si="6"/>
        <v>-0.27479470917034943</v>
      </c>
      <c r="BP17" s="14">
        <v>34</v>
      </c>
      <c r="BQ17" s="28"/>
      <c r="BR17" s="28"/>
      <c r="BS17" s="28"/>
      <c r="BT17" s="32">
        <f>EXP('Modelo de Schumacher-Hall'!beta0+'Modelo de Schumacher-Hall'!beta1*LN($BP17)+beta2*LN(BQ$3))*$BB$3</f>
        <v>1.3094962932638388</v>
      </c>
      <c r="BU17" s="32">
        <f>EXP('Modelo de Schumacher-Hall'!beta0+'Modelo de Schumacher-Hall'!beta1*LN($BP17)+beta2*LN(BR$3))*$BB$3</f>
        <v>1.2457100532783389</v>
      </c>
      <c r="BV17" s="32">
        <f>EXP('Modelo de Schumacher-Hall'!beta0+'Modelo de Schumacher-Hall'!beta1*LN($BP17)+beta2*LN(BS$3))*$BB$3</f>
        <v>1.3467437346270965</v>
      </c>
    </row>
    <row r="18" spans="2:74" x14ac:dyDescent="0.25">
      <c r="B18" s="7">
        <v>16</v>
      </c>
      <c r="C18" s="8">
        <v>31.5</v>
      </c>
      <c r="D18" s="8">
        <v>24.35</v>
      </c>
      <c r="E18" s="9">
        <v>0.91115770120694395</v>
      </c>
      <c r="K18" s="14">
        <f t="shared" si="0"/>
        <v>3.4499875458315872</v>
      </c>
      <c r="L18" s="14">
        <f t="shared" si="1"/>
        <v>3.1925318495285988</v>
      </c>
      <c r="M18" s="13">
        <f t="shared" si="2"/>
        <v>-9.303928890234954E-2</v>
      </c>
      <c r="O18" s="15" t="s">
        <v>17</v>
      </c>
      <c r="P18" s="15">
        <v>-8.0021632542917409</v>
      </c>
      <c r="Q18" s="15">
        <v>0.62005439254326511</v>
      </c>
      <c r="R18" s="15">
        <v>-12.905582720685878</v>
      </c>
      <c r="S18" s="15">
        <v>8.9293674990169312E-23</v>
      </c>
      <c r="T18" s="15">
        <v>-9.2327995837621764</v>
      </c>
      <c r="U18" s="15">
        <v>-6.7715269248213064</v>
      </c>
      <c r="V18" s="15">
        <v>-9.2327995837621764</v>
      </c>
      <c r="W18" s="15">
        <v>-6.7715269248213064</v>
      </c>
      <c r="AB18" s="15">
        <f>'Modelo de Schumacher-Hall'!beta0 + 'Modelo de Schumacher-Hall'!beta1*K18+ beta2*L18</f>
        <v>8.5284336096359992E-2</v>
      </c>
      <c r="AD18" s="33">
        <f t="shared" si="3"/>
        <v>-0.17832362499870952</v>
      </c>
      <c r="AE18" s="35">
        <f t="shared" si="4"/>
        <v>1.91664862342049</v>
      </c>
      <c r="BD18" s="15">
        <f>EXP('Modelo de Schumacher-Hall'!beta0+'Modelo de Schumacher-Hall'!beta1*K18+beta2*L18)*$BB$3</f>
        <v>1.0932120628809687</v>
      </c>
      <c r="BF18" s="33">
        <f t="shared" si="5"/>
        <v>-0.18205436167402478</v>
      </c>
      <c r="BG18" s="35">
        <f t="shared" si="6"/>
        <v>-0.19980554566226097</v>
      </c>
      <c r="BP18" s="14">
        <v>35</v>
      </c>
      <c r="BQ18" s="28"/>
      <c r="BR18" s="28"/>
      <c r="BS18" s="28"/>
      <c r="BT18" s="32">
        <f>EXP('Modelo de Schumacher-Hall'!beta0+'Modelo de Schumacher-Hall'!beta1*LN($BP18)+beta2*LN(BQ$3))*$BB$3</f>
        <v>1.3882867865832589</v>
      </c>
      <c r="BU18" s="32">
        <f>EXP('Modelo de Schumacher-Hall'!beta0+'Modelo de Schumacher-Hall'!beta1*LN($BP18)+beta2*LN(BR$3))*$BB$3</f>
        <v>1.3206626210218704</v>
      </c>
      <c r="BV18" s="32">
        <f>EXP('Modelo de Schumacher-Hall'!beta0+'Modelo de Schumacher-Hall'!beta1*LN($BP18)+beta2*LN(BS$3))*$BB$3</f>
        <v>1.427775352488063</v>
      </c>
    </row>
    <row r="19" spans="2:74" x14ac:dyDescent="0.25">
      <c r="B19" s="7">
        <v>17</v>
      </c>
      <c r="C19" s="8">
        <v>35</v>
      </c>
      <c r="D19" s="8">
        <v>26.95</v>
      </c>
      <c r="E19" s="9">
        <v>1.3887377338470819</v>
      </c>
      <c r="K19" s="14">
        <f t="shared" si="0"/>
        <v>3.5553480614894135</v>
      </c>
      <c r="L19" s="14">
        <f t="shared" si="1"/>
        <v>3.2939832973550063</v>
      </c>
      <c r="M19" s="13">
        <f t="shared" si="2"/>
        <v>0.32839522941934346</v>
      </c>
      <c r="O19" s="15" t="s">
        <v>48</v>
      </c>
      <c r="P19" s="15">
        <v>2.0156215846007162</v>
      </c>
      <c r="Q19" s="15">
        <v>6.5245732339902676E-2</v>
      </c>
      <c r="R19" s="15">
        <v>30.892772788573819</v>
      </c>
      <c r="S19" s="15">
        <v>5.3879697241815325E-52</v>
      </c>
      <c r="T19" s="15">
        <v>1.8861268668372488</v>
      </c>
      <c r="U19" s="15">
        <v>2.1451163023641833</v>
      </c>
      <c r="V19" s="15">
        <v>1.8861268668372488</v>
      </c>
      <c r="W19" s="15">
        <v>2.1451163023641833</v>
      </c>
      <c r="AB19" s="15">
        <f>'Modelo de Schumacher-Hall'!beta0 + 'Modelo de Schumacher-Hall'!beta1*K19+ beta2*L19</f>
        <v>0.33367382004287349</v>
      </c>
      <c r="AD19" s="33">
        <f t="shared" si="3"/>
        <v>-5.2785906235300328E-3</v>
      </c>
      <c r="AE19" s="35">
        <f t="shared" si="4"/>
        <v>-1.607389557047904E-2</v>
      </c>
      <c r="BD19" s="15">
        <f>EXP('Modelo de Schumacher-Hall'!beta0+'Modelo de Schumacher-Hall'!beta1*K19+beta2*L19)*$BB$3</f>
        <v>1.4014531932088319</v>
      </c>
      <c r="BF19" s="33">
        <f t="shared" si="5"/>
        <v>-1.2715459361750003E-2</v>
      </c>
      <c r="BG19" s="35">
        <f t="shared" si="6"/>
        <v>-9.15612721671041E-3</v>
      </c>
      <c r="BP19" s="14">
        <v>36</v>
      </c>
      <c r="BQ19" s="28"/>
      <c r="BR19" s="28"/>
      <c r="BS19" s="28"/>
      <c r="BT19" s="32">
        <f>EXP('Modelo de Schumacher-Hall'!beta0+'Modelo de Schumacher-Hall'!beta1*LN($BP19)+beta2*LN(BQ$3))*$BB$3</f>
        <v>1.4693972563167437</v>
      </c>
      <c r="BU19" s="32">
        <f>EXP('Modelo de Schumacher-Hall'!beta0+'Modelo de Schumacher-Hall'!beta1*LN($BP19)+beta2*LN(BR$3))*$BB$3</f>
        <v>1.3978221579315122</v>
      </c>
      <c r="BV19" s="32">
        <f>EXP('Modelo de Schumacher-Hall'!beta0+'Modelo de Schumacher-Hall'!beta1*LN($BP19)+beta2*LN(BS$3))*$BB$3</f>
        <v>1.5111929364004004</v>
      </c>
    </row>
    <row r="20" spans="2:74" ht="15.75" thickBot="1" x14ac:dyDescent="0.3">
      <c r="B20" s="7">
        <v>18</v>
      </c>
      <c r="C20" s="8">
        <v>28.3</v>
      </c>
      <c r="D20" s="8">
        <v>25.1</v>
      </c>
      <c r="E20" s="9">
        <v>0.78982407839773394</v>
      </c>
      <c r="K20" s="14">
        <f t="shared" si="0"/>
        <v>3.3428618046491918</v>
      </c>
      <c r="L20" s="14">
        <f t="shared" si="1"/>
        <v>3.2228678461377385</v>
      </c>
      <c r="M20" s="13">
        <f t="shared" si="2"/>
        <v>-0.23594504389167217</v>
      </c>
      <c r="O20" s="17" t="s">
        <v>49</v>
      </c>
      <c r="P20" s="17">
        <v>0.35507186140482289</v>
      </c>
      <c r="Q20" s="17">
        <v>0.19431025841650826</v>
      </c>
      <c r="R20" s="17">
        <v>1.8273449085931359</v>
      </c>
      <c r="S20" s="17">
        <v>7.072259895000893E-2</v>
      </c>
      <c r="T20" s="17">
        <v>-3.0580213754789864E-2</v>
      </c>
      <c r="U20" s="17">
        <v>0.74072393656443558</v>
      </c>
      <c r="V20" s="17">
        <v>-3.0580213754789864E-2</v>
      </c>
      <c r="W20" s="17">
        <v>0.74072393656443558</v>
      </c>
      <c r="AB20" s="15">
        <f>'Modelo de Schumacher-Hall'!beta0 + 'Modelo de Schumacher-Hall'!beta1*K20+ beta2*L20</f>
        <v>-0.11986916131364822</v>
      </c>
      <c r="AD20" s="33">
        <f t="shared" si="3"/>
        <v>-0.11607588257802395</v>
      </c>
      <c r="AE20" s="35">
        <f t="shared" si="4"/>
        <v>0.49196152062985088</v>
      </c>
      <c r="BD20" s="15">
        <f>EXP('Modelo de Schumacher-Hall'!beta0+'Modelo de Schumacher-Hall'!beta1*K20+beta2*L20)*$BB$3</f>
        <v>0.89044558171338806</v>
      </c>
      <c r="BF20" s="33">
        <f t="shared" si="5"/>
        <v>-0.10062150331565411</v>
      </c>
      <c r="BG20" s="35">
        <f t="shared" si="6"/>
        <v>-0.12739736109309124</v>
      </c>
      <c r="BP20" s="14">
        <v>37</v>
      </c>
      <c r="BQ20" s="28"/>
      <c r="BR20" s="28"/>
      <c r="BS20" s="28"/>
      <c r="BT20" s="32">
        <f>EXP('Modelo de Schumacher-Hall'!beta0+'Modelo de Schumacher-Hall'!beta1*LN($BP20)+beta2*LN(BQ$3))*$BB$3</f>
        <v>1.5528287237827214</v>
      </c>
      <c r="BU20" s="32">
        <f>EXP('Modelo de Schumacher-Hall'!beta0+'Modelo de Schumacher-Hall'!beta1*LN($BP20)+beta2*LN(BR$3))*$BB$3</f>
        <v>1.4771896355767451</v>
      </c>
      <c r="BV20" s="32">
        <f>EXP('Modelo de Schumacher-Hall'!beta0+'Modelo de Schumacher-Hall'!beta1*LN($BP20)+beta2*LN(BS$3))*$BB$3</f>
        <v>1.5969975367330196</v>
      </c>
    </row>
    <row r="21" spans="2:74" x14ac:dyDescent="0.25">
      <c r="B21" s="7">
        <v>19</v>
      </c>
      <c r="C21" s="8">
        <v>33.9</v>
      </c>
      <c r="D21" s="8">
        <v>27.95</v>
      </c>
      <c r="E21" s="9">
        <v>1.3871130199363699</v>
      </c>
      <c r="K21" s="14">
        <f t="shared" si="0"/>
        <v>3.5234150143864045</v>
      </c>
      <c r="L21" s="14">
        <f t="shared" si="1"/>
        <v>3.3304171996011083</v>
      </c>
      <c r="M21" s="13">
        <f t="shared" si="2"/>
        <v>0.32722462318698109</v>
      </c>
      <c r="AB21" s="15">
        <f>'Modelo de Schumacher-Hall'!beta0 + 'Modelo de Schumacher-Hall'!beta1*K21+ beta2*L21</f>
        <v>0.28224553452874201</v>
      </c>
      <c r="AD21" s="33">
        <f t="shared" si="3"/>
        <v>4.4979088658239075E-2</v>
      </c>
      <c r="AE21" s="35">
        <f t="shared" si="4"/>
        <v>0.13745630820861957</v>
      </c>
      <c r="BD21" s="15">
        <f>EXP('Modelo de Schumacher-Hall'!beta0+'Modelo de Schumacher-Hall'!beta1*K21+beta2*L21)*$BB$3</f>
        <v>1.3312008211203235</v>
      </c>
      <c r="BF21" s="33">
        <f t="shared" si="5"/>
        <v>5.5912198816046477E-2</v>
      </c>
      <c r="BG21" s="35">
        <f t="shared" si="6"/>
        <v>4.0308322402316792E-2</v>
      </c>
      <c r="BP21" s="14">
        <v>38</v>
      </c>
      <c r="BQ21" s="28"/>
      <c r="BR21" s="28"/>
      <c r="BS21" s="28"/>
      <c r="BT21" s="32">
        <f>EXP('Modelo de Schumacher-Hall'!beta0+'Modelo de Schumacher-Hall'!beta1*LN($BP21)+beta2*LN(BQ$3))*$BB$3</f>
        <v>1.638582182739045</v>
      </c>
      <c r="BU21" s="32">
        <f>EXP('Modelo de Schumacher-Hall'!beta0+'Modelo de Schumacher-Hall'!beta1*LN($BP21)+beta2*LN(BR$3))*$BB$3</f>
        <v>1.5587659993089644</v>
      </c>
      <c r="BV21" s="32">
        <f>EXP('Modelo de Schumacher-Hall'!beta0+'Modelo de Schumacher-Hall'!beta1*LN($BP21)+beta2*LN(BS$3))*$BB$3</f>
        <v>1.6851901755103194</v>
      </c>
    </row>
    <row r="22" spans="2:74" x14ac:dyDescent="0.25">
      <c r="B22" s="7">
        <v>20</v>
      </c>
      <c r="C22" s="8">
        <v>40.700000000000003</v>
      </c>
      <c r="D22" s="8">
        <v>27.7</v>
      </c>
      <c r="E22" s="9">
        <v>1.640638840222719</v>
      </c>
      <c r="K22" s="14">
        <f t="shared" si="0"/>
        <v>3.7062280924485496</v>
      </c>
      <c r="L22" s="14">
        <f t="shared" si="1"/>
        <v>3.3214324131932926</v>
      </c>
      <c r="M22" s="13">
        <f t="shared" si="2"/>
        <v>0.49508570270754548</v>
      </c>
      <c r="AB22" s="15">
        <f>'Modelo de Schumacher-Hall'!beta0 + 'Modelo de Schumacher-Hall'!beta1*K22+ beta2*L22</f>
        <v>0.64753727578394948</v>
      </c>
      <c r="AD22" s="33">
        <f t="shared" si="3"/>
        <v>-0.152451573076404</v>
      </c>
      <c r="AE22" s="35">
        <f t="shared" si="4"/>
        <v>-0.30792966196088967</v>
      </c>
      <c r="BD22" s="15">
        <f>EXP('Modelo de Schumacher-Hall'!beta0+'Modelo de Schumacher-Hall'!beta1*K22+beta2*L22)*$BB$3</f>
        <v>1.9181729590475922</v>
      </c>
      <c r="BF22" s="33">
        <f t="shared" si="5"/>
        <v>-0.27753411882487322</v>
      </c>
      <c r="BG22" s="35">
        <f t="shared" si="6"/>
        <v>-0.16916222633568614</v>
      </c>
      <c r="BP22" s="14">
        <v>39</v>
      </c>
      <c r="BQ22" s="28"/>
      <c r="BR22" s="28"/>
      <c r="BS22" s="28"/>
      <c r="BT22" s="32">
        <f>EXP('Modelo de Schumacher-Hall'!beta0+'Modelo de Schumacher-Hall'!beta1*LN($BP22)+beta2*LN(BQ$3))*$BB$3</f>
        <v>1.7266586008425098</v>
      </c>
      <c r="BU22" s="32">
        <f>EXP('Modelo de Schumacher-Hall'!beta0+'Modelo de Schumacher-Hall'!beta1*LN($BP22)+beta2*LN(BR$3))*$BB$3</f>
        <v>1.6425521696499037</v>
      </c>
      <c r="BV22" s="32">
        <f>EXP('Modelo de Schumacher-Hall'!beta0+'Modelo de Schumacher-Hall'!beta1*LN($BP22)+beta2*LN(BS$3))*$BB$3</f>
        <v>1.7757718479132201</v>
      </c>
    </row>
    <row r="23" spans="2:74" x14ac:dyDescent="0.25">
      <c r="B23" s="7">
        <v>21</v>
      </c>
      <c r="C23" s="8">
        <v>31.6</v>
      </c>
      <c r="D23" s="8">
        <v>27.3</v>
      </c>
      <c r="E23" s="9">
        <v>1.0808129983790598</v>
      </c>
      <c r="K23" s="14">
        <f t="shared" si="0"/>
        <v>3.4531571205928664</v>
      </c>
      <c r="L23" s="14">
        <f t="shared" si="1"/>
        <v>3.3068867021909143</v>
      </c>
      <c r="M23" s="13">
        <f t="shared" si="2"/>
        <v>7.7713534219086181E-2</v>
      </c>
      <c r="AB23" s="15">
        <f>'Modelo de Schumacher-Hall'!beta0 + 'Modelo de Schumacher-Hall'!beta1*K23+ beta2*L23</f>
        <v>0.13227718979468306</v>
      </c>
      <c r="AD23" s="33">
        <f t="shared" si="3"/>
        <v>-5.4563655575596878E-2</v>
      </c>
      <c r="AE23" s="35">
        <f t="shared" si="4"/>
        <v>-0.70211265159777314</v>
      </c>
      <c r="BD23" s="15">
        <f>EXP('Modelo de Schumacher-Hall'!beta0+'Modelo de Schumacher-Hall'!beta1*K23+beta2*L23)*$BB$3</f>
        <v>1.1458114353534756</v>
      </c>
      <c r="BF23" s="33">
        <f t="shared" si="5"/>
        <v>-6.4998436974415874E-2</v>
      </c>
      <c r="BG23" s="35">
        <f t="shared" si="6"/>
        <v>-6.0138467127890519E-2</v>
      </c>
      <c r="BP23" s="14">
        <v>40</v>
      </c>
      <c r="BQ23" s="28"/>
      <c r="BR23" s="28"/>
      <c r="BS23" s="28"/>
      <c r="BT23" s="32">
        <f>EXP('Modelo de Schumacher-Hall'!beta0+'Modelo de Schumacher-Hall'!beta1*LN($BP23)+beta2*LN(BQ$3))*$BB$3</f>
        <v>1.8170589209951351</v>
      </c>
      <c r="BU23" s="32">
        <f>EXP('Modelo de Schumacher-Hall'!beta0+'Modelo de Schumacher-Hall'!beta1*LN($BP23)+beta2*LN(BR$3))*$BB$3</f>
        <v>1.7285490435723381</v>
      </c>
      <c r="BV23" s="32">
        <f>EXP('Modelo de Schumacher-Hall'!beta0+'Modelo de Schumacher-Hall'!beta1*LN($BP23)+beta2*LN(BS$3))*$BB$3</f>
        <v>1.8687435236637386</v>
      </c>
    </row>
    <row r="24" spans="2:74" x14ac:dyDescent="0.25">
      <c r="B24" s="7">
        <v>22</v>
      </c>
      <c r="C24" s="8">
        <v>31.5</v>
      </c>
      <c r="D24" s="8">
        <v>27.349999999999998</v>
      </c>
      <c r="E24" s="9">
        <v>1.1637899609128264</v>
      </c>
      <c r="K24" s="14">
        <f t="shared" si="0"/>
        <v>3.4499875458315872</v>
      </c>
      <c r="L24" s="14">
        <f t="shared" si="1"/>
        <v>3.3087165288679903</v>
      </c>
      <c r="M24" s="13">
        <f t="shared" si="2"/>
        <v>0.1516818870757366</v>
      </c>
      <c r="AB24" s="15">
        <f>'Modelo de Schumacher-Hall'!beta0 + 'Modelo de Schumacher-Hall'!beta1*K24+ beta2*L24</f>
        <v>0.12653824645612022</v>
      </c>
      <c r="AD24" s="33">
        <f t="shared" si="3"/>
        <v>2.5143640619616381E-2</v>
      </c>
      <c r="AE24" s="35">
        <f t="shared" si="4"/>
        <v>0.16576561054426925</v>
      </c>
      <c r="BD24" s="15">
        <f>EXP('Modelo de Schumacher-Hall'!beta0+'Modelo de Schumacher-Hall'!beta1*K24+beta2*L24)*$BB$3</f>
        <v>1.1392545213245928</v>
      </c>
      <c r="BF24" s="33">
        <f t="shared" si="5"/>
        <v>2.4535439588233565E-2</v>
      </c>
      <c r="BG24" s="35">
        <f t="shared" si="6"/>
        <v>2.1082360573886572E-2</v>
      </c>
      <c r="BP24" s="14">
        <v>41</v>
      </c>
      <c r="BQ24" s="28"/>
      <c r="BR24" s="28"/>
      <c r="BS24" s="28"/>
      <c r="BT24" s="32">
        <f>EXP('Modelo de Schumacher-Hall'!beta0+'Modelo de Schumacher-Hall'!beta1*LN($BP24)+beta2*LN(BQ$3))*$BB$3</f>
        <v>1.9097840625886422</v>
      </c>
      <c r="BU24" s="32">
        <f>EXP('Modelo de Schumacher-Hall'!beta0+'Modelo de Schumacher-Hall'!beta1*LN($BP24)+beta2*LN(BR$3))*$BB$3</f>
        <v>1.8167574956839441</v>
      </c>
      <c r="BV24" s="32">
        <f>EXP('Modelo de Schumacher-Hall'!beta0+'Modelo de Schumacher-Hall'!beta1*LN($BP24)+beta2*LN(BS$3))*$BB$3</f>
        <v>1.964106148304865</v>
      </c>
    </row>
    <row r="25" spans="2:74" x14ac:dyDescent="0.25">
      <c r="B25" s="7">
        <v>23</v>
      </c>
      <c r="C25" s="8">
        <v>29.5</v>
      </c>
      <c r="D25" s="8">
        <v>24.700000000000003</v>
      </c>
      <c r="E25" s="9">
        <v>0.98376810175224216</v>
      </c>
      <c r="K25" s="14">
        <f t="shared" si="0"/>
        <v>3.3843902633457743</v>
      </c>
      <c r="L25" s="14">
        <f t="shared" si="1"/>
        <v>3.2068032436339315</v>
      </c>
      <c r="M25" s="13">
        <f t="shared" si="2"/>
        <v>-1.6365078655148045E-2</v>
      </c>
      <c r="AB25" s="15">
        <f>'Modelo de Schumacher-Hall'!beta0 + 'Modelo de Schumacher-Hall'!beta1*K25+ beta2*L25</f>
        <v>-4.1867591903372636E-2</v>
      </c>
      <c r="AD25" s="33">
        <f t="shared" si="3"/>
        <v>2.5502513248224591E-2</v>
      </c>
      <c r="AE25" s="35">
        <f t="shared" si="4"/>
        <v>-1.5583495677365495</v>
      </c>
      <c r="BD25" s="15">
        <f>EXP('Modelo de Schumacher-Hall'!beta0+'Modelo de Schumacher-Hall'!beta1*K25+beta2*L25)*$BB$3</f>
        <v>0.96268240554548068</v>
      </c>
      <c r="BF25" s="33">
        <f t="shared" si="5"/>
        <v>2.1085696206761484E-2</v>
      </c>
      <c r="BG25" s="35">
        <f t="shared" si="6"/>
        <v>2.1433604290690682E-2</v>
      </c>
      <c r="BP25" s="14">
        <v>42</v>
      </c>
      <c r="BQ25" s="28"/>
      <c r="BR25" s="28"/>
      <c r="BS25" s="28"/>
      <c r="BT25" s="32">
        <f>EXP('Modelo de Schumacher-Hall'!beta0+'Modelo de Schumacher-Hall'!beta1*LN($BP25)+beta2*LN(BQ$3))*$BB$3</f>
        <v>2.0048349226571474</v>
      </c>
      <c r="BU25" s="32">
        <f>EXP('Modelo de Schumacher-Hall'!beta0+'Modelo de Schumacher-Hall'!beta1*LN($BP25)+beta2*LN(BR$3))*$BB$3</f>
        <v>1.9071783793238442</v>
      </c>
      <c r="BV25" s="32">
        <f>EXP('Modelo de Schumacher-Hall'!beta0+'Modelo de Schumacher-Hall'!beta1*LN($BP25)+beta2*LN(BS$3))*$BB$3</f>
        <v>2.0618606443860426</v>
      </c>
    </row>
    <row r="26" spans="2:74" x14ac:dyDescent="0.25">
      <c r="B26" s="7">
        <v>24</v>
      </c>
      <c r="C26" s="8">
        <v>37.5</v>
      </c>
      <c r="D26" s="8">
        <v>26.5</v>
      </c>
      <c r="E26" s="9">
        <v>1.8908197937208222</v>
      </c>
      <c r="K26" s="14">
        <f t="shared" si="0"/>
        <v>3.6243409329763652</v>
      </c>
      <c r="L26" s="14">
        <f t="shared" si="1"/>
        <v>3.2771447329921766</v>
      </c>
      <c r="M26" s="13">
        <f t="shared" si="2"/>
        <v>0.63701048831922591</v>
      </c>
      <c r="AB26" s="15">
        <f>'Modelo de Schumacher-Hall'!beta0 + 'Modelo de Schumacher-Hall'!beta1*K26+ beta2*L26</f>
        <v>0.46675844060386162</v>
      </c>
      <c r="AD26" s="33">
        <f t="shared" si="3"/>
        <v>0.17025204771536429</v>
      </c>
      <c r="AE26" s="35">
        <f t="shared" si="4"/>
        <v>0.26726725986032063</v>
      </c>
      <c r="BD26" s="15">
        <f>EXP('Modelo de Schumacher-Hall'!beta0+'Modelo de Schumacher-Hall'!beta1*K26+beta2*L26)*$BB$3</f>
        <v>1.6009453747676043</v>
      </c>
      <c r="BF26" s="33">
        <f t="shared" si="5"/>
        <v>0.28987441895321786</v>
      </c>
      <c r="BG26" s="35">
        <f t="shared" si="6"/>
        <v>0.15330621136707728</v>
      </c>
      <c r="BP26" s="14">
        <v>43</v>
      </c>
      <c r="BQ26" s="28"/>
      <c r="BR26" s="28"/>
      <c r="BS26" s="28"/>
      <c r="BT26" s="32">
        <f>EXP('Modelo de Schumacher-Hall'!beta0+'Modelo de Schumacher-Hall'!beta1*LN($BP26)+beta2*LN(BQ$3))*$BB$3</f>
        <v>2.1022123769469085</v>
      </c>
      <c r="BU26" s="32">
        <f>EXP('Modelo de Schumacher-Hall'!beta0+'Modelo de Schumacher-Hall'!beta1*LN($BP26)+beta2*LN(BR$3))*$BB$3</f>
        <v>1.999812527580243</v>
      </c>
      <c r="BV26" s="32">
        <f>EXP('Modelo de Schumacher-Hall'!beta0+'Modelo de Schumacher-Hall'!beta1*LN($BP26)+beta2*LN(BS$3))*$BB$3</f>
        <v>2.1620079125633413</v>
      </c>
    </row>
    <row r="27" spans="2:74" x14ac:dyDescent="0.25">
      <c r="B27" s="7">
        <v>25</v>
      </c>
      <c r="C27" s="8">
        <v>28.5</v>
      </c>
      <c r="D27" s="8">
        <v>27.099999999999998</v>
      </c>
      <c r="E27" s="9">
        <v>0.98304262946871201</v>
      </c>
      <c r="K27" s="14">
        <f t="shared" si="0"/>
        <v>3.3499040872746049</v>
      </c>
      <c r="L27" s="14">
        <f t="shared" si="1"/>
        <v>3.2995337278856551</v>
      </c>
      <c r="M27" s="13">
        <f t="shared" si="2"/>
        <v>-1.7102793072621577E-2</v>
      </c>
      <c r="AB27" s="15">
        <f>'Modelo de Schumacher-Hall'!beta0 + 'Modelo de Schumacher-Hall'!beta1*K27+ beta2*L27</f>
        <v>-7.8452687110532215E-2</v>
      </c>
      <c r="AD27" s="33">
        <f t="shared" si="3"/>
        <v>6.1349894037910635E-2</v>
      </c>
      <c r="AE27" s="35">
        <f t="shared" si="4"/>
        <v>-3.587127188957254</v>
      </c>
      <c r="BD27" s="15">
        <f>EXP('Modelo de Schumacher-Hall'!beta0+'Modelo de Schumacher-Hall'!beta1*K27+beta2*L27)*$BB$3</f>
        <v>0.92809905301670947</v>
      </c>
      <c r="BF27" s="33">
        <f t="shared" si="5"/>
        <v>5.494357645200254E-2</v>
      </c>
      <c r="BG27" s="35">
        <f t="shared" si="6"/>
        <v>5.5891346727961269E-2</v>
      </c>
      <c r="BP27" s="14">
        <v>44</v>
      </c>
      <c r="BQ27" s="28"/>
      <c r="BR27" s="28"/>
      <c r="BS27" s="28"/>
      <c r="BT27" s="32">
        <f>EXP('Modelo de Schumacher-Hall'!beta0+'Modelo de Schumacher-Hall'!beta1*LN($BP27)+beta2*LN(BQ$3))*$BB$3</f>
        <v>2.2019172809108829</v>
      </c>
      <c r="BU27" s="32">
        <f>EXP('Modelo de Schumacher-Hall'!beta0+'Modelo de Schumacher-Hall'!beta1*LN($BP27)+beta2*LN(BR$3))*$BB$3</f>
        <v>2.0946607542365436</v>
      </c>
      <c r="BV27" s="32">
        <f>EXP('Modelo de Schumacher-Hall'!beta0+'Modelo de Schumacher-Hall'!beta1*LN($BP27)+beta2*LN(BS$3))*$BB$3</f>
        <v>2.2645488326223067</v>
      </c>
    </row>
    <row r="28" spans="2:74" x14ac:dyDescent="0.25">
      <c r="B28" s="7">
        <v>26</v>
      </c>
      <c r="C28" s="8">
        <v>33.5</v>
      </c>
      <c r="D28" s="8">
        <v>27.5</v>
      </c>
      <c r="E28" s="9">
        <v>1.1464958206040494</v>
      </c>
      <c r="K28" s="14">
        <f t="shared" si="0"/>
        <v>3.5115454388310208</v>
      </c>
      <c r="L28" s="14">
        <f t="shared" si="1"/>
        <v>3.3141860046725258</v>
      </c>
      <c r="M28" s="13">
        <f t="shared" si="2"/>
        <v>0.13671017795728019</v>
      </c>
      <c r="AB28" s="15">
        <f>'Modelo de Schumacher-Hall'!beta0 + 'Modelo de Schumacher-Hall'!beta1*K28+ beta2*L28</f>
        <v>0.25255772124314513</v>
      </c>
      <c r="AD28" s="33">
        <f t="shared" si="3"/>
        <v>-0.11584754328586494</v>
      </c>
      <c r="AE28" s="35">
        <f t="shared" si="4"/>
        <v>-0.84739516118591773</v>
      </c>
      <c r="BD28" s="15">
        <f>EXP('Modelo de Schumacher-Hall'!beta0+'Modelo de Schumacher-Hall'!beta1*K28+beta2*L28)*$BB$3</f>
        <v>1.2922612549419648</v>
      </c>
      <c r="BF28" s="33">
        <f t="shared" si="5"/>
        <v>-0.14576543433791533</v>
      </c>
      <c r="BG28" s="35">
        <f t="shared" si="6"/>
        <v>-0.12713996136603142</v>
      </c>
      <c r="BP28" s="14">
        <v>45</v>
      </c>
      <c r="BQ28" s="28"/>
      <c r="BR28" s="28"/>
      <c r="BS28" s="28"/>
      <c r="BT28" s="32">
        <f>EXP('Modelo de Schumacher-Hall'!beta0+'Modelo de Schumacher-Hall'!beta1*LN($BP28)+beta2*LN(BQ$3))*$BB$3</f>
        <v>2.3039504706349994</v>
      </c>
      <c r="BU28" s="32">
        <f>EXP('Modelo de Schumacher-Hall'!beta0+'Modelo de Schumacher-Hall'!beta1*LN($BP28)+beta2*LN(BR$3))*$BB$3</f>
        <v>2.1917238546524977</v>
      </c>
      <c r="BV28" s="32">
        <f>EXP('Modelo de Schumacher-Hall'!beta0+'Modelo de Schumacher-Hall'!beta1*LN($BP28)+beta2*LN(BS$3))*$BB$3</f>
        <v>2.3694842644305782</v>
      </c>
    </row>
    <row r="29" spans="2:74" x14ac:dyDescent="0.25">
      <c r="B29" s="7">
        <v>27</v>
      </c>
      <c r="C29" s="8">
        <v>24.5</v>
      </c>
      <c r="D29" s="8">
        <v>25.75</v>
      </c>
      <c r="E29" s="9">
        <v>0.70725582397822961</v>
      </c>
      <c r="K29" s="14">
        <f t="shared" si="0"/>
        <v>3.1986731175506815</v>
      </c>
      <c r="L29" s="14">
        <f t="shared" si="1"/>
        <v>3.2484346271097451</v>
      </c>
      <c r="M29" s="13">
        <f t="shared" si="2"/>
        <v>-0.34636283415323471</v>
      </c>
      <c r="AB29" s="15">
        <f>'Modelo de Schumacher-Hall'!beta0 + 'Modelo de Schumacher-Hall'!beta1*K29+ beta2*L29</f>
        <v>-0.40142094677478446</v>
      </c>
      <c r="AD29" s="33">
        <f t="shared" si="3"/>
        <v>5.5058112621549748E-2</v>
      </c>
      <c r="AE29" s="35">
        <f t="shared" si="4"/>
        <v>-0.15896079830895318</v>
      </c>
      <c r="BD29" s="15">
        <f>EXP('Modelo de Schumacher-Hall'!beta0+'Modelo de Schumacher-Hall'!beta1*K29+beta2*L29)*$BB$3</f>
        <v>0.67194077593508073</v>
      </c>
      <c r="BF29" s="33">
        <f t="shared" si="5"/>
        <v>3.5315048043148889E-2</v>
      </c>
      <c r="BG29" s="35">
        <f t="shared" si="6"/>
        <v>4.993249521015742E-2</v>
      </c>
      <c r="BP29" s="14">
        <v>46</v>
      </c>
      <c r="BQ29" s="28"/>
      <c r="BR29" s="28"/>
      <c r="BS29" s="28"/>
      <c r="BT29" s="32">
        <f>EXP('Modelo de Schumacher-Hall'!beta0+'Modelo de Schumacher-Hall'!beta1*LN($BP29)+beta2*LN(BQ$3))*$BB$3</f>
        <v>2.4083127637022934</v>
      </c>
      <c r="BU29" s="32">
        <f>EXP('Modelo de Schumacher-Hall'!beta0+'Modelo de Schumacher-Hall'!beta1*LN($BP29)+beta2*LN(BR$3))*$BB$3</f>
        <v>2.2910026065862503</v>
      </c>
      <c r="BV29" s="32">
        <f>EXP('Modelo de Schumacher-Hall'!beta0+'Modelo de Schumacher-Hall'!beta1*LN($BP29)+beta2*LN(BS$3))*$BB$3</f>
        <v>2.4768150488266034</v>
      </c>
    </row>
    <row r="30" spans="2:74" x14ac:dyDescent="0.25">
      <c r="B30" s="7">
        <v>28</v>
      </c>
      <c r="C30" s="8">
        <v>30</v>
      </c>
      <c r="D30" s="8">
        <v>27.7</v>
      </c>
      <c r="E30" s="9">
        <v>1.0323661315489085</v>
      </c>
      <c r="K30" s="14">
        <f t="shared" si="0"/>
        <v>3.4011973816621555</v>
      </c>
      <c r="L30" s="14">
        <f t="shared" si="1"/>
        <v>3.3214324131932926</v>
      </c>
      <c r="M30" s="13">
        <f t="shared" si="2"/>
        <v>3.1853382772976335E-2</v>
      </c>
      <c r="AB30" s="15">
        <f>'Modelo de Schumacher-Hall'!beta0 + 'Modelo de Schumacher-Hall'!beta1*K30+ beta2*L30</f>
        <v>3.2710791156795205E-2</v>
      </c>
      <c r="AD30" s="33">
        <f t="shared" si="3"/>
        <v>-8.5740838381886952E-4</v>
      </c>
      <c r="AE30" s="35">
        <f t="shared" si="4"/>
        <v>-2.6917341556146269E-2</v>
      </c>
      <c r="BD30" s="15">
        <f>EXP('Modelo de Schumacher-Hall'!beta0+'Modelo de Schumacher-Hall'!beta1*K30+beta2*L30)*$BB$3</f>
        <v>1.0372227044086586</v>
      </c>
      <c r="BF30" s="33">
        <f t="shared" si="5"/>
        <v>-4.8565728597500524E-3</v>
      </c>
      <c r="BG30" s="35">
        <f t="shared" si="6"/>
        <v>-4.7043124637026817E-3</v>
      </c>
      <c r="BP30" s="14">
        <v>47</v>
      </c>
      <c r="BQ30" s="28"/>
      <c r="BR30" s="28"/>
      <c r="BS30" s="28"/>
      <c r="BT30" s="32">
        <f>EXP('Modelo de Schumacher-Hall'!beta0+'Modelo de Schumacher-Hall'!beta1*LN($BP30)+beta2*LN(BQ$3))*$BB$3</f>
        <v>2.5150049600002822</v>
      </c>
      <c r="BU30" s="32">
        <f>EXP('Modelo de Schumacher-Hall'!beta0+'Modelo de Schumacher-Hall'!beta1*LN($BP30)+beta2*LN(BR$3))*$BB$3</f>
        <v>2.3924977709623834</v>
      </c>
      <c r="BV30" s="32">
        <f>EXP('Modelo de Schumacher-Hall'!beta0+'Modelo de Schumacher-Hall'!beta1*LN($BP30)+beta2*LN(BS$3))*$BB$3</f>
        <v>2.5865420084499786</v>
      </c>
    </row>
    <row r="31" spans="2:74" x14ac:dyDescent="0.25">
      <c r="B31" s="7">
        <v>29</v>
      </c>
      <c r="C31" s="8">
        <v>28.1</v>
      </c>
      <c r="D31" s="8">
        <v>26.9</v>
      </c>
      <c r="E31" s="9">
        <v>0.97500046643478733</v>
      </c>
      <c r="K31" s="14">
        <f t="shared" si="0"/>
        <v>3.3357695763396999</v>
      </c>
      <c r="L31" s="14">
        <f t="shared" si="1"/>
        <v>3.2921262866077932</v>
      </c>
      <c r="M31" s="13">
        <f t="shared" si="2"/>
        <v>-2.5317329589750637E-2</v>
      </c>
      <c r="AB31" s="15">
        <f>'Modelo de Schumacher-Hall'!beta0 + 'Modelo de Schumacher-Hall'!beta1*K31+ beta2*L31</f>
        <v>-0.10957268640147855</v>
      </c>
      <c r="AD31" s="33">
        <f t="shared" si="3"/>
        <v>8.4255356811727911E-2</v>
      </c>
      <c r="AE31" s="35">
        <f t="shared" si="4"/>
        <v>-3.3279717164893055</v>
      </c>
      <c r="BD31" s="15">
        <f>EXP('Modelo de Schumacher-Hall'!beta0+'Modelo de Schumacher-Hall'!beta1*K31+beta2*L31)*$BB$3</f>
        <v>0.89966139608732443</v>
      </c>
      <c r="BF31" s="33">
        <f t="shared" si="5"/>
        <v>7.53390703474629E-2</v>
      </c>
      <c r="BG31" s="35">
        <f t="shared" si="6"/>
        <v>7.7270804416073507E-2</v>
      </c>
      <c r="BP31" s="14">
        <v>48</v>
      </c>
      <c r="BQ31" s="28"/>
      <c r="BR31" s="28"/>
      <c r="BS31" s="28"/>
      <c r="BT31" s="32">
        <f>EXP('Modelo de Schumacher-Hall'!beta0+'Modelo de Schumacher-Hall'!beta1*LN($BP31)+beta2*LN(BQ$3))*$BB$3</f>
        <v>2.6240278424765426</v>
      </c>
      <c r="BU31" s="32">
        <f>EXP('Modelo de Schumacher-Hall'!beta0+'Modelo de Schumacher-Hall'!beta1*LN($BP31)+beta2*LN(BR$3))*$BB$3</f>
        <v>2.4962100925906947</v>
      </c>
      <c r="BV31" s="32">
        <f>EXP('Modelo de Schumacher-Hall'!beta0+'Modelo de Schumacher-Hall'!beta1*LN($BP31)+beta2*LN(BS$3))*$BB$3</f>
        <v>2.6986659485185185</v>
      </c>
    </row>
    <row r="32" spans="2:74" x14ac:dyDescent="0.25">
      <c r="B32" s="7">
        <v>30</v>
      </c>
      <c r="C32" s="8">
        <v>28</v>
      </c>
      <c r="D32" s="8">
        <v>25.700000000000003</v>
      </c>
      <c r="E32" s="9">
        <v>0.96529979118918596</v>
      </c>
      <c r="K32" s="14">
        <f t="shared" si="0"/>
        <v>3.3322045101752038</v>
      </c>
      <c r="L32" s="14">
        <f t="shared" si="1"/>
        <v>3.2464909919011742</v>
      </c>
      <c r="M32" s="13">
        <f t="shared" si="2"/>
        <v>-3.5316561444605453E-2</v>
      </c>
      <c r="AB32" s="15">
        <f>'Modelo de Schumacher-Hall'!beta0 + 'Modelo de Schumacher-Hall'!beta1*K32+ beta2*L32</f>
        <v>-0.13296231975040329</v>
      </c>
      <c r="AD32" s="33">
        <f t="shared" si="3"/>
        <v>9.7645758305797831E-2</v>
      </c>
      <c r="AE32" s="35">
        <f t="shared" si="4"/>
        <v>-2.7648716157986288</v>
      </c>
      <c r="BD32" s="15">
        <f>EXP('Modelo de Schumacher-Hall'!beta0+'Modelo de Schumacher-Hall'!beta1*K32+beta2*L32)*$BB$3</f>
        <v>0.878862829507156</v>
      </c>
      <c r="BF32" s="33">
        <f t="shared" si="5"/>
        <v>8.6436961682029967E-2</v>
      </c>
      <c r="BG32" s="35">
        <f t="shared" si="6"/>
        <v>8.9544162830021243E-2</v>
      </c>
      <c r="BP32" s="14">
        <v>49</v>
      </c>
      <c r="BQ32" s="28"/>
      <c r="BR32" s="28"/>
      <c r="BS32" s="28"/>
      <c r="BT32" s="32">
        <f>EXP('Modelo de Schumacher-Hall'!beta0+'Modelo de Schumacher-Hall'!beta1*LN($BP32)+beta2*LN(BQ$3))*$BB$3</f>
        <v>2.7353821778467182</v>
      </c>
      <c r="BU32" s="32">
        <f>EXP('Modelo de Schumacher-Hall'!beta0+'Modelo de Schumacher-Hall'!beta1*LN($BP32)+beta2*LN(BR$3))*$BB$3</f>
        <v>2.6021403008397126</v>
      </c>
      <c r="BV32" s="32">
        <f>EXP('Modelo de Schumacher-Hall'!beta0+'Modelo de Schumacher-Hall'!beta1*LN($BP32)+beta2*LN(BS$3))*$BB$3</f>
        <v>2.8131876575564023</v>
      </c>
    </row>
    <row r="33" spans="2:74" x14ac:dyDescent="0.25">
      <c r="B33" s="7">
        <v>31</v>
      </c>
      <c r="C33" s="8">
        <v>29.5</v>
      </c>
      <c r="D33" s="8">
        <v>25.55</v>
      </c>
      <c r="E33" s="9">
        <v>0.94285491809506261</v>
      </c>
      <c r="K33" s="14">
        <f t="shared" si="0"/>
        <v>3.3843902633457743</v>
      </c>
      <c r="L33" s="14">
        <f t="shared" si="1"/>
        <v>3.2406373166497136</v>
      </c>
      <c r="M33" s="13">
        <f t="shared" si="2"/>
        <v>-5.884285962186301E-2</v>
      </c>
      <c r="AB33" s="15">
        <f>'Modelo de Schumacher-Hall'!beta0 + 'Modelo de Schumacher-Hall'!beta1*K33+ beta2*L33</f>
        <v>-2.9854064618752174E-2</v>
      </c>
      <c r="AD33" s="33">
        <f t="shared" si="3"/>
        <v>-2.8988795003110836E-2</v>
      </c>
      <c r="AE33" s="35">
        <f t="shared" si="4"/>
        <v>0.49264762435746878</v>
      </c>
      <c r="BD33" s="15">
        <f>EXP('Modelo de Schumacher-Hall'!beta0+'Modelo de Schumacher-Hall'!beta1*K33+beta2*L33)*$BB$3</f>
        <v>0.97431736541068537</v>
      </c>
      <c r="BF33" s="33">
        <f t="shared" si="5"/>
        <v>-3.1462447315622755E-2</v>
      </c>
      <c r="BG33" s="35">
        <f t="shared" si="6"/>
        <v>-3.3369341042616886E-2</v>
      </c>
      <c r="BP33" s="14">
        <v>50</v>
      </c>
      <c r="BQ33" s="28"/>
      <c r="BR33" s="28"/>
      <c r="BS33" s="28"/>
      <c r="BT33" s="32">
        <f>EXP('Modelo de Schumacher-Hall'!beta0+'Modelo de Schumacher-Hall'!beta1*LN($BP33)+beta2*LN(BQ$3))*$BB$3</f>
        <v>2.8490687172590179</v>
      </c>
      <c r="BU33" s="32">
        <f>EXP('Modelo de Schumacher-Hall'!beta0+'Modelo de Schumacher-Hall'!beta1*LN($BP33)+beta2*LN(BR$3))*$BB$3</f>
        <v>2.7102891102688296</v>
      </c>
      <c r="BV33" s="32">
        <f>EXP('Modelo de Schumacher-Hall'!beta0+'Modelo de Schumacher-Hall'!beta1*LN($BP33)+beta2*LN(BS$3))*$BB$3</f>
        <v>2.9301079080775718</v>
      </c>
    </row>
    <row r="34" spans="2:74" x14ac:dyDescent="0.25">
      <c r="B34" s="7">
        <v>32</v>
      </c>
      <c r="C34" s="8">
        <v>30.3</v>
      </c>
      <c r="D34" s="8">
        <v>25.700000000000003</v>
      </c>
      <c r="E34" s="9">
        <v>1.0061775141192881</v>
      </c>
      <c r="K34" s="14">
        <f t="shared" si="0"/>
        <v>3.4111477125153233</v>
      </c>
      <c r="L34" s="14">
        <f t="shared" si="1"/>
        <v>3.2464909919011742</v>
      </c>
      <c r="M34" s="13">
        <f t="shared" si="2"/>
        <v>6.1585114980931598E-3</v>
      </c>
      <c r="AB34" s="15">
        <f>'Modelo de Schumacher-Hall'!beta0 + 'Modelo de Schumacher-Hall'!beta1*K34+ beta2*L34</f>
        <v>2.6157302843842656E-2</v>
      </c>
      <c r="AD34" s="33">
        <f t="shared" si="3"/>
        <v>-1.9998791345749497E-2</v>
      </c>
      <c r="AE34" s="35">
        <f t="shared" si="4"/>
        <v>-3.2473417240418661</v>
      </c>
      <c r="BD34" s="15">
        <f>EXP('Modelo de Schumacher-Hall'!beta0+'Modelo de Schumacher-Hall'!beta1*K34+beta2*L34)*$BB$3</f>
        <v>1.0304475023895612</v>
      </c>
      <c r="BF34" s="33">
        <f t="shared" si="5"/>
        <v>-2.4269988270273046E-2</v>
      </c>
      <c r="BG34" s="35">
        <f t="shared" si="6"/>
        <v>-2.41209805722171E-2</v>
      </c>
    </row>
    <row r="35" spans="2:74" x14ac:dyDescent="0.25">
      <c r="B35" s="7">
        <v>33</v>
      </c>
      <c r="C35" s="8">
        <v>23.5</v>
      </c>
      <c r="D35" s="8">
        <v>25.3</v>
      </c>
      <c r="E35" s="9">
        <v>0.60666972411228581</v>
      </c>
      <c r="K35" s="14">
        <f t="shared" si="0"/>
        <v>3.1570004211501135</v>
      </c>
      <c r="L35" s="14">
        <f t="shared" si="1"/>
        <v>3.2308043957334744</v>
      </c>
      <c r="M35" s="13">
        <f t="shared" si="2"/>
        <v>-0.4997707478465791</v>
      </c>
      <c r="AB35" s="15">
        <f>'Modelo de Schumacher-Hall'!beta0 + 'Modelo de Schumacher-Hall'!beta1*K35+ beta2*L35</f>
        <v>-0.49167733220005205</v>
      </c>
      <c r="AD35" s="33">
        <f t="shared" si="3"/>
        <v>-8.0934156465270468E-3</v>
      </c>
      <c r="AE35" s="35">
        <f t="shared" si="4"/>
        <v>1.6194256429373062E-2</v>
      </c>
      <c r="BD35" s="15">
        <f>EXP('Modelo de Schumacher-Hall'!beta0+'Modelo de Schumacher-Hall'!beta1*K35+beta2*L35)*$BB$3</f>
        <v>0.61395020171858816</v>
      </c>
      <c r="BF35" s="33">
        <f t="shared" si="5"/>
        <v>-7.2804776063023491E-3</v>
      </c>
      <c r="BG35" s="35">
        <f t="shared" si="6"/>
        <v>-1.2000726782526628E-2</v>
      </c>
    </row>
    <row r="36" spans="2:74" x14ac:dyDescent="0.25">
      <c r="B36" s="7">
        <v>34</v>
      </c>
      <c r="C36" s="8">
        <v>29.8</v>
      </c>
      <c r="D36" s="8">
        <v>26.9</v>
      </c>
      <c r="E36" s="9">
        <v>1.1416761331445753</v>
      </c>
      <c r="K36" s="14">
        <f t="shared" si="0"/>
        <v>3.3945083935113587</v>
      </c>
      <c r="L36" s="14">
        <f t="shared" si="1"/>
        <v>3.2921262866077932</v>
      </c>
      <c r="M36" s="13">
        <f t="shared" si="2"/>
        <v>0.1324974748171695</v>
      </c>
      <c r="AB36" s="15">
        <f>'Modelo de Schumacher-Hall'!beta0 + 'Modelo de Schumacher-Hall'!beta1*K36+ beta2*L36</f>
        <v>8.8225413436318068E-3</v>
      </c>
      <c r="AD36" s="33">
        <f t="shared" si="3"/>
        <v>0.1236749334735377</v>
      </c>
      <c r="AE36" s="35">
        <f t="shared" si="4"/>
        <v>0.93341351330803968</v>
      </c>
      <c r="BD36" s="15">
        <f>EXP('Modelo de Schumacher-Hall'!beta0+'Modelo de Schumacher-Hall'!beta1*K36+beta2*L36)*$BB$3</f>
        <v>1.0127388715853831</v>
      </c>
      <c r="BF36" s="33">
        <f t="shared" si="5"/>
        <v>0.12893726155919216</v>
      </c>
      <c r="BG36" s="35">
        <f t="shared" si="6"/>
        <v>0.11293681090105112</v>
      </c>
    </row>
    <row r="37" spans="2:74" x14ac:dyDescent="0.25">
      <c r="B37" s="7">
        <v>35</v>
      </c>
      <c r="C37" s="8">
        <v>30.5</v>
      </c>
      <c r="D37" s="8">
        <v>26.4</v>
      </c>
      <c r="E37" s="9">
        <v>0.96403685785247362</v>
      </c>
      <c r="K37" s="14">
        <f t="shared" si="0"/>
        <v>3.417726683613366</v>
      </c>
      <c r="L37" s="14">
        <f t="shared" si="1"/>
        <v>3.2733640101522705</v>
      </c>
      <c r="M37" s="13">
        <f t="shared" si="2"/>
        <v>-3.6625750815704794E-2</v>
      </c>
      <c r="AB37" s="15">
        <f>'Modelo de Schumacher-Hall'!beta0 + 'Modelo de Schumacher-Hall'!beta1*K37+ beta2*L37</f>
        <v>4.8959871605505079E-2</v>
      </c>
      <c r="AD37" s="33">
        <f t="shared" si="3"/>
        <v>-8.5585622421209873E-2</v>
      </c>
      <c r="AE37" s="35">
        <f t="shared" si="4"/>
        <v>2.3367608995065714</v>
      </c>
      <c r="BD37" s="15">
        <f>EXP('Modelo de Schumacher-Hall'!beta0+'Modelo de Schumacher-Hall'!beta1*K37+beta2*L37)*$BB$3</f>
        <v>1.0542142945740773</v>
      </c>
      <c r="BF37" s="33">
        <f t="shared" si="5"/>
        <v>-9.0177436721603721E-2</v>
      </c>
      <c r="BG37" s="35">
        <f t="shared" si="6"/>
        <v>-9.3541482347974256E-2</v>
      </c>
    </row>
    <row r="38" spans="2:74" x14ac:dyDescent="0.25">
      <c r="B38" s="7">
        <v>36</v>
      </c>
      <c r="C38" s="8">
        <v>43.7</v>
      </c>
      <c r="D38" s="8">
        <v>27.599999999999998</v>
      </c>
      <c r="E38" s="9">
        <v>2.1557410475896908</v>
      </c>
      <c r="K38" s="14">
        <f t="shared" si="0"/>
        <v>3.7773481021015445</v>
      </c>
      <c r="L38" s="14">
        <f t="shared" si="1"/>
        <v>3.3178157727231041</v>
      </c>
      <c r="M38" s="13">
        <f t="shared" si="2"/>
        <v>0.76813453803624221</v>
      </c>
      <c r="AB38" s="15">
        <f>'Modelo de Schumacher-Hall'!beta0 + 'Modelo de Schumacher-Hall'!beta1*K38+ beta2*L38</f>
        <v>0.78960413507375526</v>
      </c>
      <c r="AD38" s="33">
        <f t="shared" si="3"/>
        <v>-2.1469597037513055E-2</v>
      </c>
      <c r="AE38" s="35">
        <f t="shared" si="4"/>
        <v>-2.7950308148362513E-2</v>
      </c>
      <c r="BD38" s="15">
        <f>EXP('Modelo de Schumacher-Hall'!beta0+'Modelo de Schumacher-Hall'!beta1*K38+beta2*L38)*$BB$3</f>
        <v>2.2109891806781392</v>
      </c>
      <c r="BF38" s="33">
        <f t="shared" si="5"/>
        <v>-5.5248133088448448E-2</v>
      </c>
      <c r="BG38" s="35">
        <f t="shared" si="6"/>
        <v>-2.5628371807560443E-2</v>
      </c>
    </row>
    <row r="39" spans="2:74" x14ac:dyDescent="0.25">
      <c r="B39" s="7">
        <v>37</v>
      </c>
      <c r="C39" s="8">
        <v>28.5</v>
      </c>
      <c r="D39" s="8">
        <v>27.3</v>
      </c>
      <c r="E39" s="9">
        <v>0.9640518196874861</v>
      </c>
      <c r="K39" s="14">
        <f t="shared" si="0"/>
        <v>3.3499040872746049</v>
      </c>
      <c r="L39" s="14">
        <f t="shared" si="1"/>
        <v>3.3068867021909143</v>
      </c>
      <c r="M39" s="13">
        <f t="shared" si="2"/>
        <v>-3.6610230953794835E-2</v>
      </c>
      <c r="AB39" s="15">
        <f>'Modelo de Schumacher-Hall'!beta0 + 'Modelo de Schumacher-Hall'!beta1*K39+ beta2*L39</f>
        <v>-7.5841852837102097E-2</v>
      </c>
      <c r="AD39" s="33">
        <f t="shared" si="3"/>
        <v>3.9231621883307262E-2</v>
      </c>
      <c r="AE39" s="35">
        <f t="shared" si="4"/>
        <v>-1.0716026875880909</v>
      </c>
      <c r="BD39" s="15">
        <f>EXP('Modelo de Schumacher-Hall'!beta0+'Modelo de Schumacher-Hall'!beta1*K39+beta2*L39)*$BB$3</f>
        <v>0.93052533176109664</v>
      </c>
      <c r="BF39" s="33">
        <f t="shared" si="5"/>
        <v>3.3526487926389459E-2</v>
      </c>
      <c r="BG39" s="35">
        <f t="shared" si="6"/>
        <v>3.4776645032688847E-2</v>
      </c>
    </row>
    <row r="40" spans="2:74" x14ac:dyDescent="0.25">
      <c r="B40" s="7">
        <v>38</v>
      </c>
      <c r="C40" s="8">
        <v>26.5</v>
      </c>
      <c r="D40" s="8">
        <v>27.15</v>
      </c>
      <c r="E40" s="9">
        <v>0.89648751071223065</v>
      </c>
      <c r="K40" s="14">
        <f t="shared" si="0"/>
        <v>3.2771447329921766</v>
      </c>
      <c r="L40" s="14">
        <f t="shared" si="1"/>
        <v>3.3013770463799443</v>
      </c>
      <c r="M40" s="13">
        <f t="shared" si="2"/>
        <v>-0.10927091719714503</v>
      </c>
      <c r="AB40" s="15">
        <f>'Modelo de Schumacher-Hall'!beta0 + 'Modelo de Schumacher-Hall'!beta1*K40+ beta2*L40</f>
        <v>-0.22445350155487609</v>
      </c>
      <c r="AD40" s="33">
        <f t="shared" si="3"/>
        <v>0.11518258435773106</v>
      </c>
      <c r="AE40" s="35">
        <f t="shared" si="4"/>
        <v>-1.0541010116161127</v>
      </c>
      <c r="BD40" s="15">
        <f>EXP('Modelo de Schumacher-Hall'!beta0+'Modelo de Schumacher-Hall'!beta1*K40+beta2*L40)*$BB$3</f>
        <v>0.80202329277916118</v>
      </c>
      <c r="BF40" s="33">
        <f t="shared" si="5"/>
        <v>9.4464217933069472E-2</v>
      </c>
      <c r="BG40" s="35">
        <f t="shared" si="6"/>
        <v>0.10537148237349193</v>
      </c>
    </row>
    <row r="41" spans="2:74" x14ac:dyDescent="0.25">
      <c r="B41" s="7">
        <v>39</v>
      </c>
      <c r="C41" s="8">
        <v>26.5</v>
      </c>
      <c r="D41" s="8">
        <v>27.599999999999998</v>
      </c>
      <c r="E41" s="9">
        <v>0.82175204526625856</v>
      </c>
      <c r="K41" s="14">
        <f t="shared" si="0"/>
        <v>3.2771447329921766</v>
      </c>
      <c r="L41" s="14">
        <f t="shared" si="1"/>
        <v>3.3178157727231041</v>
      </c>
      <c r="M41" s="13">
        <f t="shared" si="2"/>
        <v>-0.1963165775254708</v>
      </c>
      <c r="AB41" s="15">
        <f>'Modelo de Schumacher-Hall'!beta0 + 'Modelo de Schumacher-Hall'!beta1*K41+ beta2*L41</f>
        <v>-0.21861657239308596</v>
      </c>
      <c r="AD41" s="33">
        <f t="shared" si="3"/>
        <v>2.2299994867615164E-2</v>
      </c>
      <c r="AE41" s="35">
        <f t="shared" si="4"/>
        <v>-0.11359201117247414</v>
      </c>
      <c r="BD41" s="15">
        <f>EXP('Modelo de Schumacher-Hall'!beta0+'Modelo de Schumacher-Hall'!beta1*K41+beta2*L41)*$BB$3</f>
        <v>0.80671833490948341</v>
      </c>
      <c r="BF41" s="33">
        <f t="shared" si="5"/>
        <v>1.5033710356775143E-2</v>
      </c>
      <c r="BG41" s="35">
        <f t="shared" si="6"/>
        <v>1.8294703911450591E-2</v>
      </c>
    </row>
    <row r="42" spans="2:74" x14ac:dyDescent="0.25">
      <c r="B42" s="7">
        <v>40</v>
      </c>
      <c r="C42" s="8">
        <v>35.5</v>
      </c>
      <c r="D42" s="8">
        <v>27.9</v>
      </c>
      <c r="E42" s="9">
        <v>1.4750505572701549</v>
      </c>
      <c r="K42" s="14">
        <f t="shared" si="0"/>
        <v>3.5695326964813701</v>
      </c>
      <c r="L42" s="14">
        <f t="shared" si="1"/>
        <v>3.3286266888273199</v>
      </c>
      <c r="M42" s="13">
        <f t="shared" si="2"/>
        <v>0.38869226531972978</v>
      </c>
      <c r="AB42" s="15">
        <f>'Modelo de Schumacher-Hall'!beta0 + 'Modelo de Schumacher-Hall'!beta1*K42+ beta2*L42</f>
        <v>0.37456556999779389</v>
      </c>
      <c r="AD42" s="33">
        <f t="shared" si="3"/>
        <v>1.4126695321935889E-2</v>
      </c>
      <c r="AE42" s="35">
        <f t="shared" si="4"/>
        <v>3.6344163705741811E-2</v>
      </c>
      <c r="BD42" s="15">
        <f>EXP('Modelo de Schumacher-Hall'!beta0+'Modelo de Schumacher-Hall'!beta1*K42+beta2*L42)*$BB$3</f>
        <v>1.4599489120783089</v>
      </c>
      <c r="BF42" s="33">
        <f t="shared" si="5"/>
        <v>1.510164519184598E-2</v>
      </c>
      <c r="BG42" s="35">
        <f t="shared" si="6"/>
        <v>1.0238052599223635E-2</v>
      </c>
    </row>
    <row r="43" spans="2:74" x14ac:dyDescent="0.25">
      <c r="B43" s="7">
        <v>41</v>
      </c>
      <c r="C43" s="8">
        <v>31.6</v>
      </c>
      <c r="D43" s="8">
        <v>23.9</v>
      </c>
      <c r="E43" s="9">
        <v>1.0481869303529989</v>
      </c>
      <c r="K43" s="14">
        <f t="shared" si="0"/>
        <v>3.4531571205928664</v>
      </c>
      <c r="L43" s="14">
        <f t="shared" si="1"/>
        <v>3.1738784589374651</v>
      </c>
      <c r="M43" s="13">
        <f t="shared" si="2"/>
        <v>4.7061938650494531E-2</v>
      </c>
      <c r="AB43" s="15">
        <f>'Modelo de Schumacher-Hall'!beta0 + 'Modelo de Schumacher-Hall'!beta1*K43+ beta2*L43</f>
        <v>8.5049705280495491E-2</v>
      </c>
      <c r="AD43" s="33">
        <f t="shared" si="3"/>
        <v>-3.798776663000096E-2</v>
      </c>
      <c r="AE43" s="35">
        <f t="shared" si="4"/>
        <v>-0.80718660810208209</v>
      </c>
      <c r="BD43" s="15">
        <f>EXP('Modelo de Schumacher-Hall'!beta0+'Modelo de Schumacher-Hall'!beta1*K43+beta2*L43)*$BB$3</f>
        <v>1.0929555917319362</v>
      </c>
      <c r="BF43" s="33">
        <f t="shared" si="5"/>
        <v>-4.4768661378937313E-2</v>
      </c>
      <c r="BG43" s="35">
        <f t="shared" si="6"/>
        <v>-4.2710570111631263E-2</v>
      </c>
    </row>
    <row r="44" spans="2:74" x14ac:dyDescent="0.25">
      <c r="B44" s="7">
        <v>42</v>
      </c>
      <c r="C44" s="8">
        <v>28.1</v>
      </c>
      <c r="D44" s="8">
        <v>25.650000000000002</v>
      </c>
      <c r="E44" s="9">
        <v>0.8895556650619012</v>
      </c>
      <c r="K44" s="14">
        <f t="shared" si="0"/>
        <v>3.3357695763396999</v>
      </c>
      <c r="L44" s="14">
        <f t="shared" si="1"/>
        <v>3.2445435716167785</v>
      </c>
      <c r="M44" s="13">
        <f t="shared" si="2"/>
        <v>-0.11703319366353297</v>
      </c>
      <c r="AB44" s="15">
        <f>'Modelo de Schumacher-Hall'!beta0 + 'Modelo de Schumacher-Hall'!beta1*K44+ beta2*L44</f>
        <v>-0.12646796958403317</v>
      </c>
      <c r="AD44" s="33">
        <f t="shared" si="3"/>
        <v>9.4347759205001963E-3</v>
      </c>
      <c r="AE44" s="35">
        <f t="shared" si="4"/>
        <v>-8.0616239078503682E-2</v>
      </c>
      <c r="BD44" s="15">
        <f>EXP('Modelo de Schumacher-Hall'!beta0+'Modelo de Schumacher-Hall'!beta1*K44+beta2*L44)*$BB$3</f>
        <v>0.88458904637290148</v>
      </c>
      <c r="BF44" s="33">
        <f t="shared" si="5"/>
        <v>4.9666186889997244E-3</v>
      </c>
      <c r="BG44" s="35">
        <f t="shared" si="6"/>
        <v>5.5832578938768427E-3</v>
      </c>
    </row>
    <row r="45" spans="2:74" x14ac:dyDescent="0.25">
      <c r="B45" s="7">
        <v>43</v>
      </c>
      <c r="C45" s="8">
        <v>33.200000000000003</v>
      </c>
      <c r="D45" s="8">
        <v>26.599999999999998</v>
      </c>
      <c r="E45" s="9">
        <v>1.0907976212406678</v>
      </c>
      <c r="K45" s="14">
        <f t="shared" si="0"/>
        <v>3.5025498759224432</v>
      </c>
      <c r="L45" s="14">
        <f t="shared" si="1"/>
        <v>3.2809112157876532</v>
      </c>
      <c r="M45" s="13">
        <f t="shared" si="2"/>
        <v>8.6909191239455993E-2</v>
      </c>
      <c r="AB45" s="15">
        <f>'Modelo de Schumacher-Hall'!beta0 + 'Modelo de Schumacher-Hall'!beta1*K45+ beta2*L45</f>
        <v>0.22261112925177784</v>
      </c>
      <c r="AD45" s="33">
        <f t="shared" si="3"/>
        <v>-0.13570193801232183</v>
      </c>
      <c r="AE45" s="35">
        <f t="shared" si="4"/>
        <v>-1.5614221703942675</v>
      </c>
      <c r="BD45" s="15">
        <f>EXP('Modelo de Schumacher-Hall'!beta0+'Modelo de Schumacher-Hall'!beta1*K45+beta2*L45)*$BB$3</f>
        <v>1.2541361421615003</v>
      </c>
      <c r="BF45" s="33">
        <f t="shared" si="5"/>
        <v>-0.16333852092083245</v>
      </c>
      <c r="BG45" s="35">
        <f t="shared" si="6"/>
        <v>-0.14974227825602701</v>
      </c>
    </row>
    <row r="46" spans="2:74" x14ac:dyDescent="0.25">
      <c r="B46" s="7">
        <v>44</v>
      </c>
      <c r="C46" s="8">
        <v>35</v>
      </c>
      <c r="D46" s="8">
        <v>24.6</v>
      </c>
      <c r="E46" s="9">
        <v>1.3644401064855045</v>
      </c>
      <c r="K46" s="14">
        <f t="shared" si="0"/>
        <v>3.5553480614894135</v>
      </c>
      <c r="L46" s="14">
        <f t="shared" si="1"/>
        <v>3.202746442938317</v>
      </c>
      <c r="M46" s="13">
        <f t="shared" si="2"/>
        <v>0.31074416609185507</v>
      </c>
      <c r="AB46" s="15">
        <f>'Modelo de Schumacher-Hall'!beta0 + 'Modelo de Schumacher-Hall'!beta1*K46+ beta2*L46</f>
        <v>0.30127818031641884</v>
      </c>
      <c r="AD46" s="33">
        <f t="shared" si="3"/>
        <v>9.4659857754362253E-3</v>
      </c>
      <c r="AE46" s="35">
        <f t="shared" si="4"/>
        <v>3.0462312115098911E-2</v>
      </c>
      <c r="BD46" s="15">
        <f>EXP('Modelo de Schumacher-Hall'!beta0+'Modelo de Schumacher-Hall'!beta1*K46+beta2*L46)*$BB$3</f>
        <v>1.3567797399305881</v>
      </c>
      <c r="BF46" s="33">
        <f t="shared" si="5"/>
        <v>7.6603665549164202E-3</v>
      </c>
      <c r="BG46" s="35">
        <f t="shared" si="6"/>
        <v>5.6142930118404594E-3</v>
      </c>
    </row>
    <row r="47" spans="2:74" x14ac:dyDescent="0.25">
      <c r="B47" s="7">
        <v>45</v>
      </c>
      <c r="C47" s="8">
        <v>43.6</v>
      </c>
      <c r="D47" s="8">
        <v>26.849999999999998</v>
      </c>
      <c r="E47" s="9">
        <v>2.026133464568598</v>
      </c>
      <c r="K47" s="14">
        <f t="shared" si="0"/>
        <v>3.7750571503549888</v>
      </c>
      <c r="L47" s="14">
        <f t="shared" si="1"/>
        <v>3.2902658209548736</v>
      </c>
      <c r="M47" s="13">
        <f t="shared" si="2"/>
        <v>0.70612927955439975</v>
      </c>
      <c r="AB47" s="15">
        <f>'Modelo de Schumacher-Hall'!beta0 + 'Modelo de Schumacher-Hall'!beta1*K47+ beta2*L47</f>
        <v>0.7752042306281608</v>
      </c>
      <c r="AD47" s="33">
        <f t="shared" si="3"/>
        <v>-6.9074951073761048E-2</v>
      </c>
      <c r="AE47" s="35">
        <f t="shared" si="4"/>
        <v>-9.7821961323216258E-2</v>
      </c>
      <c r="BD47" s="15">
        <f>EXP('Modelo de Schumacher-Hall'!beta0+'Modelo de Schumacher-Hall'!beta1*K47+beta2*L47)*$BB$3</f>
        <v>2.1793792837039949</v>
      </c>
      <c r="BF47" s="33">
        <f t="shared" si="5"/>
        <v>-0.15324581913539692</v>
      </c>
      <c r="BG47" s="35">
        <f t="shared" si="6"/>
        <v>-7.56346123368659E-2</v>
      </c>
    </row>
    <row r="48" spans="2:74" x14ac:dyDescent="0.25">
      <c r="B48" s="7">
        <v>46</v>
      </c>
      <c r="C48" s="8">
        <v>29</v>
      </c>
      <c r="D48" s="8">
        <v>24.400000000000002</v>
      </c>
      <c r="E48" s="9">
        <v>1.0973942720448291</v>
      </c>
      <c r="K48" s="14">
        <f t="shared" si="0"/>
        <v>3.3672958299864741</v>
      </c>
      <c r="L48" s="14">
        <f t="shared" si="1"/>
        <v>3.1945831322991562</v>
      </c>
      <c r="M48" s="13">
        <f t="shared" si="2"/>
        <v>9.2938526059978988E-2</v>
      </c>
      <c r="AB48" s="15">
        <f>'Modelo de Schumacher-Hall'!beta0 + 'Modelo de Schumacher-Hall'!beta1*K48+ beta2*L48</f>
        <v>-8.0662518437109032E-2</v>
      </c>
      <c r="AD48" s="33">
        <f t="shared" si="3"/>
        <v>0.17360104449708802</v>
      </c>
      <c r="AE48" s="35">
        <f t="shared" si="4"/>
        <v>1.8679126069317316</v>
      </c>
      <c r="BD48" s="15">
        <f>EXP('Modelo de Schumacher-Hall'!beta0+'Modelo de Schumacher-Hall'!beta1*K48+beta2*L48)*$BB$3</f>
        <v>0.92605037510520205</v>
      </c>
      <c r="BF48" s="33">
        <f t="shared" si="5"/>
        <v>0.17134389693962704</v>
      </c>
      <c r="BG48" s="35">
        <f t="shared" si="6"/>
        <v>0.1561370432710146</v>
      </c>
    </row>
    <row r="49" spans="2:59" x14ac:dyDescent="0.25">
      <c r="B49" s="7">
        <v>47</v>
      </c>
      <c r="C49" s="8">
        <v>28.5</v>
      </c>
      <c r="D49" s="8">
        <v>26.7</v>
      </c>
      <c r="E49" s="9">
        <v>0.98562788533325907</v>
      </c>
      <c r="K49" s="14">
        <f t="shared" si="0"/>
        <v>3.3499040872746049</v>
      </c>
      <c r="L49" s="14">
        <f t="shared" si="1"/>
        <v>3.2846635654062037</v>
      </c>
      <c r="M49" s="13">
        <f t="shared" si="2"/>
        <v>-1.4476393854271592E-2</v>
      </c>
      <c r="AB49" s="15">
        <f>'Modelo de Schumacher-Hall'!beta0 + 'Modelo de Schumacher-Hall'!beta1*K49+ beta2*L49</f>
        <v>-8.3732663381503203E-2</v>
      </c>
      <c r="AD49" s="33">
        <f t="shared" si="3"/>
        <v>6.9256269527231615E-2</v>
      </c>
      <c r="AE49" s="35">
        <f t="shared" si="4"/>
        <v>-4.7840829853351892</v>
      </c>
      <c r="BD49" s="15">
        <f>EXP('Modelo de Schumacher-Hall'!beta0+'Modelo de Schumacher-Hall'!beta1*K49+beta2*L49)*$BB$3</f>
        <v>0.92321162614299301</v>
      </c>
      <c r="BF49" s="33">
        <f t="shared" si="5"/>
        <v>6.2416259190266055E-2</v>
      </c>
      <c r="BG49" s="35">
        <f t="shared" si="6"/>
        <v>6.3326393377315979E-2</v>
      </c>
    </row>
    <row r="50" spans="2:59" x14ac:dyDescent="0.25">
      <c r="B50" s="7">
        <v>48</v>
      </c>
      <c r="C50" s="8">
        <v>34</v>
      </c>
      <c r="D50" s="8">
        <v>24.85</v>
      </c>
      <c r="E50" s="9">
        <v>1.4640373507938222</v>
      </c>
      <c r="K50" s="14">
        <f t="shared" si="0"/>
        <v>3.5263605246161616</v>
      </c>
      <c r="L50" s="14">
        <f t="shared" si="1"/>
        <v>3.2128577525426376</v>
      </c>
      <c r="M50" s="13">
        <f t="shared" si="2"/>
        <v>0.38119792805098318</v>
      </c>
      <c r="AB50" s="15">
        <f>'Modelo de Schumacher-Hall'!beta0 + 'Modelo de Schumacher-Hall'!beta1*K50+ beta2*L50</f>
        <v>0.24644051683272949</v>
      </c>
      <c r="AD50" s="33">
        <f t="shared" si="3"/>
        <v>0.13475741121825369</v>
      </c>
      <c r="AE50" s="35">
        <f t="shared" si="4"/>
        <v>0.35351034541885179</v>
      </c>
      <c r="BD50" s="15">
        <f>EXP('Modelo de Schumacher-Hall'!beta0+'Modelo de Schumacher-Hall'!beta1*K50+beta2*L50)*$BB$3</f>
        <v>1.28438035779858</v>
      </c>
      <c r="BF50" s="33">
        <f t="shared" si="5"/>
        <v>0.17965699299524229</v>
      </c>
      <c r="BG50" s="35">
        <f t="shared" si="6"/>
        <v>0.12271339450310449</v>
      </c>
    </row>
    <row r="51" spans="2:59" x14ac:dyDescent="0.25">
      <c r="B51" s="7">
        <v>49</v>
      </c>
      <c r="C51" s="8">
        <v>34</v>
      </c>
      <c r="D51" s="8">
        <v>28.4</v>
      </c>
      <c r="E51" s="9">
        <v>1.3809493853196291</v>
      </c>
      <c r="K51" s="14">
        <f t="shared" si="0"/>
        <v>3.5263605246161616</v>
      </c>
      <c r="L51" s="14">
        <f t="shared" si="1"/>
        <v>3.3463891451671604</v>
      </c>
      <c r="M51" s="13">
        <f t="shared" si="2"/>
        <v>0.32277122300939509</v>
      </c>
      <c r="AB51" s="15">
        <f>'Modelo de Schumacher-Hall'!beta0 + 'Modelo de Schumacher-Hall'!beta1*K51+ beta2*L51</f>
        <v>0.29385375696789717</v>
      </c>
      <c r="AD51" s="33">
        <f t="shared" si="3"/>
        <v>2.8917466041497919E-2</v>
      </c>
      <c r="AE51" s="35">
        <f t="shared" si="4"/>
        <v>8.9591215015646555E-2</v>
      </c>
      <c r="BD51" s="15">
        <f>EXP('Modelo de Schumacher-Hall'!beta0+'Modelo de Schumacher-Hall'!beta1*K51+beta2*L51)*$BB$3</f>
        <v>1.3467437346270965</v>
      </c>
      <c r="BF51" s="33">
        <f t="shared" si="5"/>
        <v>3.4205650692532563E-2</v>
      </c>
      <c r="BG51" s="35">
        <f t="shared" si="6"/>
        <v>2.4769662853802176E-2</v>
      </c>
    </row>
    <row r="52" spans="2:59" x14ac:dyDescent="0.25">
      <c r="B52" s="7">
        <v>50</v>
      </c>
      <c r="C52" s="8">
        <v>35</v>
      </c>
      <c r="D52" s="8">
        <v>28.349999999999998</v>
      </c>
      <c r="E52" s="9">
        <v>1.4199563683643344</v>
      </c>
      <c r="K52" s="14">
        <f t="shared" si="0"/>
        <v>3.5553480614894135</v>
      </c>
      <c r="L52" s="14">
        <f t="shared" si="1"/>
        <v>3.3446270301737608</v>
      </c>
      <c r="M52" s="13">
        <f t="shared" si="2"/>
        <v>0.35062614463711078</v>
      </c>
      <c r="AB52" s="15">
        <f>'Modelo de Schumacher-Hall'!beta0 + 'Modelo de Schumacher-Hall'!beta1*K52+ beta2*L52</f>
        <v>0.35165598452331714</v>
      </c>
      <c r="AD52" s="33">
        <f t="shared" si="3"/>
        <v>-1.0298398862063629E-3</v>
      </c>
      <c r="AE52" s="35">
        <f t="shared" si="4"/>
        <v>-2.9371451671757714E-3</v>
      </c>
      <c r="BD52" s="15">
        <f>EXP('Modelo de Schumacher-Hall'!beta0+'Modelo de Schumacher-Hall'!beta1*K52+beta2*L52)*$BB$3</f>
        <v>1.4268823050542776</v>
      </c>
      <c r="BF52" s="33">
        <f t="shared" si="5"/>
        <v>-6.9259366899432351E-3</v>
      </c>
      <c r="BG52" s="35">
        <f t="shared" si="6"/>
        <v>-4.877570074861743E-3</v>
      </c>
    </row>
    <row r="53" spans="2:59" x14ac:dyDescent="0.25">
      <c r="B53" s="7">
        <v>51</v>
      </c>
      <c r="C53" s="8">
        <v>35.5</v>
      </c>
      <c r="D53" s="8">
        <v>27.8</v>
      </c>
      <c r="E53" s="9">
        <v>1.475522751735959</v>
      </c>
      <c r="K53" s="14">
        <f t="shared" si="0"/>
        <v>3.5695326964813701</v>
      </c>
      <c r="L53" s="14">
        <f t="shared" si="1"/>
        <v>3.3250360206965914</v>
      </c>
      <c r="M53" s="13">
        <f t="shared" si="2"/>
        <v>0.3890123349607002</v>
      </c>
      <c r="AB53" s="15">
        <f>'Modelo de Schumacher-Hall'!beta0 + 'Modelo de Schumacher-Hall'!beta1*K53+ beta2*L53</f>
        <v>0.37329062478092911</v>
      </c>
      <c r="AD53" s="33">
        <f t="shared" si="3"/>
        <v>1.5721710179771087E-2</v>
      </c>
      <c r="AE53" s="35">
        <f t="shared" si="4"/>
        <v>4.041442588538835E-2</v>
      </c>
      <c r="BD53" s="15">
        <f>EXP('Modelo de Schumacher-Hall'!beta0+'Modelo de Schumacher-Hall'!beta1*K53+beta2*L53)*$BB$3</f>
        <v>1.458088743254633</v>
      </c>
      <c r="BF53" s="33">
        <f t="shared" si="5"/>
        <v>1.7434008481326035E-2</v>
      </c>
      <c r="BG53" s="35">
        <f t="shared" si="6"/>
        <v>1.1815479267137594E-2</v>
      </c>
    </row>
    <row r="54" spans="2:59" x14ac:dyDescent="0.25">
      <c r="B54" s="7">
        <v>52</v>
      </c>
      <c r="C54" s="8">
        <v>32</v>
      </c>
      <c r="D54" s="8">
        <v>25.35</v>
      </c>
      <c r="E54" s="9">
        <v>1.27309123149891</v>
      </c>
      <c r="K54" s="14">
        <f t="shared" si="0"/>
        <v>3.4657359027997265</v>
      </c>
      <c r="L54" s="14">
        <f t="shared" si="1"/>
        <v>3.2327787300371922</v>
      </c>
      <c r="M54" s="13">
        <f t="shared" si="2"/>
        <v>0.24144798354223215</v>
      </c>
      <c r="AB54" s="15">
        <f>'Modelo de Schumacher-Hall'!beta0 + 'Modelo de Schumacher-Hall'!beta1*K54+ beta2*L54</f>
        <v>0.13131759910126251</v>
      </c>
      <c r="AD54" s="33">
        <f t="shared" si="3"/>
        <v>0.11013038444096965</v>
      </c>
      <c r="AE54" s="35">
        <f t="shared" si="4"/>
        <v>0.45612468087440672</v>
      </c>
      <c r="BD54" s="15">
        <f>EXP('Modelo de Schumacher-Hall'!beta0+'Modelo de Schumacher-Hall'!beta1*K54+beta2*L54)*$BB$3</f>
        <v>1.1447124527347723</v>
      </c>
      <c r="BF54" s="33">
        <f t="shared" si="5"/>
        <v>0.12837877876413772</v>
      </c>
      <c r="BG54" s="35">
        <f t="shared" si="6"/>
        <v>0.10084020342594563</v>
      </c>
    </row>
    <row r="55" spans="2:59" x14ac:dyDescent="0.25">
      <c r="B55" s="7">
        <v>53</v>
      </c>
      <c r="C55" s="8">
        <v>34</v>
      </c>
      <c r="D55" s="8">
        <v>26.95</v>
      </c>
      <c r="E55" s="9">
        <v>1.2469865469530179</v>
      </c>
      <c r="K55" s="14">
        <f t="shared" si="0"/>
        <v>3.5263605246161616</v>
      </c>
      <c r="L55" s="14">
        <f t="shared" si="1"/>
        <v>3.2939832973550063</v>
      </c>
      <c r="M55" s="13">
        <f t="shared" si="2"/>
        <v>0.2207298783101283</v>
      </c>
      <c r="AB55" s="15">
        <f>'Modelo de Schumacher-Hall'!beta0 + 'Modelo de Schumacher-Hall'!beta1*K55+ beta2*L55</f>
        <v>0.27524591503673768</v>
      </c>
      <c r="AD55" s="33">
        <f t="shared" si="3"/>
        <v>-5.4516036726609374E-2</v>
      </c>
      <c r="AE55" s="35">
        <f t="shared" si="4"/>
        <v>-0.24698077643124347</v>
      </c>
      <c r="BD55" s="15">
        <f>EXP('Modelo de Schumacher-Hall'!beta0+'Modelo de Schumacher-Hall'!beta1*K55+beta2*L55)*$BB$3</f>
        <v>1.3219154568245794</v>
      </c>
      <c r="BF55" s="33">
        <f t="shared" si="5"/>
        <v>-7.4928909871561533E-2</v>
      </c>
      <c r="BG55" s="35">
        <f t="shared" si="6"/>
        <v>-6.0087985756260599E-2</v>
      </c>
    </row>
    <row r="56" spans="2:59" x14ac:dyDescent="0.25">
      <c r="B56" s="7">
        <v>54</v>
      </c>
      <c r="C56" s="8">
        <v>31</v>
      </c>
      <c r="D56" s="8">
        <v>25.05</v>
      </c>
      <c r="E56" s="9">
        <v>1.1655129674036879</v>
      </c>
      <c r="K56" s="14">
        <f t="shared" si="0"/>
        <v>3.4339872044851463</v>
      </c>
      <c r="L56" s="14">
        <f t="shared" si="1"/>
        <v>3.2208738275308737</v>
      </c>
      <c r="M56" s="13">
        <f t="shared" si="2"/>
        <v>0.1531613054752711</v>
      </c>
      <c r="AB56" s="15">
        <f>'Modelo de Schumacher-Hall'!beta0 + 'Modelo de Schumacher-Hall'!beta1*K56+ beta2*L56</f>
        <v>6.3097141602657114E-2</v>
      </c>
      <c r="AD56" s="33">
        <f t="shared" si="3"/>
        <v>9.0064163872613984E-2</v>
      </c>
      <c r="AE56" s="35">
        <f t="shared" si="4"/>
        <v>0.58803471015827447</v>
      </c>
      <c r="BD56" s="15">
        <f>EXP('Modelo de Schumacher-Hall'!beta0+'Modelo de Schumacher-Hall'!beta1*K56+beta2*L56)*$BB$3</f>
        <v>1.0692238538006082</v>
      </c>
      <c r="BF56" s="33">
        <f t="shared" si="5"/>
        <v>9.6289113603079679E-2</v>
      </c>
      <c r="BG56" s="35">
        <f t="shared" si="6"/>
        <v>8.2615222907021432E-2</v>
      </c>
    </row>
    <row r="57" spans="2:59" x14ac:dyDescent="0.25">
      <c r="B57" s="7">
        <v>55</v>
      </c>
      <c r="C57" s="8">
        <v>33</v>
      </c>
      <c r="D57" s="8">
        <v>26.95</v>
      </c>
      <c r="E57" s="9">
        <v>1.2531862182554896</v>
      </c>
      <c r="K57" s="14">
        <f t="shared" si="0"/>
        <v>3.4965075614664802</v>
      </c>
      <c r="L57" s="14">
        <f t="shared" si="1"/>
        <v>3.2939832973550063</v>
      </c>
      <c r="M57" s="13">
        <f t="shared" si="2"/>
        <v>0.2256892827927624</v>
      </c>
      <c r="AB57" s="15">
        <f>'Modelo de Schumacher-Hall'!beta0 + 'Modelo de Schumacher-Hall'!beta1*K57+ beta2*L57</f>
        <v>0.21507363814795055</v>
      </c>
      <c r="AD57" s="33">
        <f t="shared" si="3"/>
        <v>1.061564464481185E-2</v>
      </c>
      <c r="AE57" s="35">
        <f t="shared" si="4"/>
        <v>4.7036547386964722E-2</v>
      </c>
      <c r="BD57" s="15">
        <f>EXP('Modelo de Schumacher-Hall'!beta0+'Modelo de Schumacher-Hall'!beta1*K57+beta2*L57)*$BB$3</f>
        <v>1.2447186389074167</v>
      </c>
      <c r="BF57" s="33">
        <f t="shared" si="5"/>
        <v>8.4675793480728512E-3</v>
      </c>
      <c r="BG57" s="35">
        <f t="shared" si="6"/>
        <v>6.7568404637103575E-3</v>
      </c>
    </row>
    <row r="58" spans="2:59" x14ac:dyDescent="0.25">
      <c r="B58" s="7">
        <v>56</v>
      </c>
      <c r="C58" s="8">
        <v>34.200000000000003</v>
      </c>
      <c r="D58" s="8">
        <v>25.200000000000003</v>
      </c>
      <c r="E58" s="9">
        <v>1.5826823462502129</v>
      </c>
      <c r="K58" s="14">
        <f t="shared" si="0"/>
        <v>3.5322256440685598</v>
      </c>
      <c r="L58" s="14">
        <f t="shared" si="1"/>
        <v>3.2268439945173779</v>
      </c>
      <c r="M58" s="13">
        <f t="shared" si="2"/>
        <v>0.45912109509650484</v>
      </c>
      <c r="AB58" s="15">
        <f>'Modelo de Schumacher-Hall'!beta0 + 'Modelo de Schumacher-Hall'!beta1*K58+ beta2*L58</f>
        <v>0.26322849916927393</v>
      </c>
      <c r="AD58" s="33">
        <f t="shared" si="3"/>
        <v>0.19589259592723091</v>
      </c>
      <c r="AE58" s="35">
        <f t="shared" si="4"/>
        <v>0.42666868941418451</v>
      </c>
      <c r="BD58" s="15">
        <f>EXP('Modelo de Schumacher-Hall'!beta0+'Modelo de Schumacher-Hall'!beta1*K58+beta2*L58)*$BB$3</f>
        <v>1.3061245221936708</v>
      </c>
      <c r="BF58" s="33">
        <f t="shared" si="5"/>
        <v>0.27655782405654206</v>
      </c>
      <c r="BG58" s="35">
        <f t="shared" si="6"/>
        <v>0.17473994368597062</v>
      </c>
    </row>
    <row r="59" spans="2:59" x14ac:dyDescent="0.25">
      <c r="B59" s="7">
        <v>57</v>
      </c>
      <c r="C59" s="8">
        <v>38</v>
      </c>
      <c r="D59" s="8">
        <v>26.95</v>
      </c>
      <c r="E59" s="9">
        <v>1.5544472691861053</v>
      </c>
      <c r="K59" s="14">
        <f t="shared" si="0"/>
        <v>3.6375861597263857</v>
      </c>
      <c r="L59" s="14">
        <f t="shared" si="1"/>
        <v>3.2939832973550063</v>
      </c>
      <c r="M59" s="13">
        <f t="shared" si="2"/>
        <v>0.44112002854287513</v>
      </c>
      <c r="AB59" s="15">
        <f>'Modelo de Schumacher-Hall'!beta0 + 'Modelo de Schumacher-Hall'!beta1*K59+ beta2*L59</f>
        <v>0.49943470592582861</v>
      </c>
      <c r="AD59" s="33">
        <f t="shared" si="3"/>
        <v>-5.8314677382953484E-2</v>
      </c>
      <c r="AE59" s="35">
        <f t="shared" si="4"/>
        <v>-0.13219684804514725</v>
      </c>
      <c r="BD59" s="15">
        <f>EXP('Modelo de Schumacher-Hall'!beta0+'Modelo de Schumacher-Hall'!beta1*K59+beta2*L59)*$BB$3</f>
        <v>1.6541223719246372</v>
      </c>
      <c r="BF59" s="33">
        <f t="shared" si="5"/>
        <v>-9.9675102738531862E-2</v>
      </c>
      <c r="BG59" s="35">
        <f t="shared" si="6"/>
        <v>-6.4122537132263652E-2</v>
      </c>
    </row>
    <row r="60" spans="2:59" x14ac:dyDescent="0.25">
      <c r="B60" s="7">
        <v>58</v>
      </c>
      <c r="C60" s="8">
        <v>34.5</v>
      </c>
      <c r="D60" s="8">
        <v>25.5</v>
      </c>
      <c r="E60" s="9">
        <v>1.442758204923722</v>
      </c>
      <c r="K60" s="14">
        <f t="shared" si="0"/>
        <v>3.5409593240373143</v>
      </c>
      <c r="L60" s="14">
        <f t="shared" si="1"/>
        <v>3.2386784521643803</v>
      </c>
      <c r="M60" s="13">
        <f t="shared" si="2"/>
        <v>0.36655670159586745</v>
      </c>
      <c r="AB60" s="15">
        <f>'Modelo de Schumacher-Hall'!beta0 + 'Modelo de Schumacher-Hall'!beta1*K60+ beta2*L60</f>
        <v>0.28503437593272851</v>
      </c>
      <c r="AD60" s="33">
        <f t="shared" si="3"/>
        <v>8.1522325663138939E-2</v>
      </c>
      <c r="AE60" s="35">
        <f t="shared" si="4"/>
        <v>0.22240031435305238</v>
      </c>
      <c r="BD60" s="15">
        <f>EXP('Modelo de Schumacher-Hall'!beta0+'Modelo de Schumacher-Hall'!beta1*K60+beta2*L60)*$BB$3</f>
        <v>1.33491851070103</v>
      </c>
      <c r="BF60" s="33">
        <f t="shared" si="5"/>
        <v>0.10783969422269202</v>
      </c>
      <c r="BG60" s="35">
        <f t="shared" si="6"/>
        <v>7.4745507497143954E-2</v>
      </c>
    </row>
    <row r="61" spans="2:59" x14ac:dyDescent="0.25">
      <c r="B61" s="7">
        <v>59</v>
      </c>
      <c r="C61" s="8">
        <v>34.5</v>
      </c>
      <c r="D61" s="8">
        <v>26.3</v>
      </c>
      <c r="E61" s="9">
        <v>1.4826497557399227</v>
      </c>
      <c r="K61" s="14">
        <f t="shared" si="0"/>
        <v>3.5409593240373143</v>
      </c>
      <c r="L61" s="14">
        <f t="shared" si="1"/>
        <v>3.2695689391837188</v>
      </c>
      <c r="M61" s="13">
        <f t="shared" si="2"/>
        <v>0.39383086246417409</v>
      </c>
      <c r="AB61" s="15">
        <f>'Modelo de Schumacher-Hall'!beta0 + 'Modelo de Schumacher-Hall'!beta1*K61+ beta2*L61</f>
        <v>0.29600271865838668</v>
      </c>
      <c r="AD61" s="33">
        <f t="shared" si="3"/>
        <v>9.7828143805787415E-2</v>
      </c>
      <c r="AE61" s="35">
        <f t="shared" si="4"/>
        <v>0.24840141575925026</v>
      </c>
      <c r="BD61" s="15">
        <f>EXP('Modelo de Schumacher-Hall'!beta0+'Modelo de Schumacher-Hall'!beta1*K61+beta2*L61)*$BB$3</f>
        <v>1.3496409472041828</v>
      </c>
      <c r="BF61" s="33">
        <f t="shared" si="5"/>
        <v>0.13300880853573993</v>
      </c>
      <c r="BG61" s="35">
        <f t="shared" si="6"/>
        <v>8.9710201631106948E-2</v>
      </c>
    </row>
    <row r="62" spans="2:59" x14ac:dyDescent="0.25">
      <c r="B62" s="7">
        <v>60</v>
      </c>
      <c r="C62" s="8">
        <v>42.5</v>
      </c>
      <c r="D62" s="8">
        <v>24.8</v>
      </c>
      <c r="E62" s="9">
        <v>2.174974506133498</v>
      </c>
      <c r="K62" s="14">
        <f t="shared" si="0"/>
        <v>3.7495040759303713</v>
      </c>
      <c r="L62" s="14">
        <f t="shared" si="1"/>
        <v>3.2108436531709366</v>
      </c>
      <c r="M62" s="13">
        <f t="shared" si="2"/>
        <v>0.77701694315402026</v>
      </c>
      <c r="AB62" s="15">
        <f>'Modelo de Schumacher-Hall'!beta0 + 'Modelo de Schumacher-Hall'!beta1*K62+ beta2*L62</f>
        <v>0.69549832531314371</v>
      </c>
      <c r="AD62" s="33">
        <f t="shared" si="3"/>
        <v>8.151861784087655E-2</v>
      </c>
      <c r="AE62" s="35">
        <f t="shared" si="4"/>
        <v>0.10491227837321165</v>
      </c>
      <c r="BD62" s="15">
        <f>EXP('Modelo de Schumacher-Hall'!beta0+'Modelo de Schumacher-Hall'!beta1*K62+beta2*L62)*$BB$3</f>
        <v>2.012412394532844</v>
      </c>
      <c r="BF62" s="33">
        <f t="shared" si="5"/>
        <v>0.16256211160065392</v>
      </c>
      <c r="BG62" s="35">
        <f t="shared" si="6"/>
        <v>7.4742076811578045E-2</v>
      </c>
    </row>
    <row r="63" spans="2:59" x14ac:dyDescent="0.25">
      <c r="B63" s="7">
        <v>61</v>
      </c>
      <c r="C63" s="8">
        <v>37.700000000000003</v>
      </c>
      <c r="D63" s="8">
        <v>26.9</v>
      </c>
      <c r="E63" s="9">
        <v>1.4972626514386165</v>
      </c>
      <c r="K63" s="14">
        <f t="shared" si="0"/>
        <v>3.629660094453965</v>
      </c>
      <c r="L63" s="14">
        <f t="shared" si="1"/>
        <v>3.2921262866077932</v>
      </c>
      <c r="M63" s="13">
        <f t="shared" si="2"/>
        <v>0.40363854191041659</v>
      </c>
      <c r="AB63" s="15">
        <f>'Modelo de Schumacher-Hall'!beta0 + 'Modelo de Schumacher-Hall'!beta1*K63+ beta2*L63</f>
        <v>0.48279938541912171</v>
      </c>
      <c r="AD63" s="33">
        <f t="shared" si="3"/>
        <v>-7.9160843508705114E-2</v>
      </c>
      <c r="AE63" s="35">
        <f t="shared" si="4"/>
        <v>-0.19611814851485129</v>
      </c>
      <c r="BD63" s="15">
        <f>EXP('Modelo de Schumacher-Hall'!beta0+'Modelo de Schumacher-Hall'!beta1*K63+beta2*L63)*$BB$3</f>
        <v>1.6268331280878061</v>
      </c>
      <c r="BF63" s="33">
        <f t="shared" si="5"/>
        <v>-0.12957047664918964</v>
      </c>
      <c r="BG63" s="35">
        <f t="shared" si="6"/>
        <v>-8.6538241319713882E-2</v>
      </c>
    </row>
    <row r="64" spans="2:59" x14ac:dyDescent="0.25">
      <c r="B64" s="7">
        <v>62</v>
      </c>
      <c r="C64" s="8">
        <v>37</v>
      </c>
      <c r="D64" s="8">
        <v>26.4</v>
      </c>
      <c r="E64" s="9">
        <v>1.3977258696989101</v>
      </c>
      <c r="K64" s="14">
        <f t="shared" si="0"/>
        <v>3.6109179126442243</v>
      </c>
      <c r="L64" s="14">
        <f t="shared" si="1"/>
        <v>3.2733640101522705</v>
      </c>
      <c r="M64" s="13">
        <f t="shared" si="2"/>
        <v>0.33484653710105755</v>
      </c>
      <c r="AB64" s="15">
        <f>'Modelo de Schumacher-Hall'!beta0 + 'Modelo de Schumacher-Hall'!beta1*K64+ beta2*L64</f>
        <v>0.43836028279564321</v>
      </c>
      <c r="AD64" s="33">
        <f t="shared" si="3"/>
        <v>-0.10351374569458566</v>
      </c>
      <c r="AE64" s="35">
        <f t="shared" si="4"/>
        <v>-0.30913787130892423</v>
      </c>
      <c r="BD64" s="15">
        <f>EXP('Modelo de Schumacher-Hall'!beta0+'Modelo de Schumacher-Hall'!beta1*K64+beta2*L64)*$BB$3</f>
        <v>1.5561209532381977</v>
      </c>
      <c r="BF64" s="33">
        <f t="shared" si="5"/>
        <v>-0.15839508353928755</v>
      </c>
      <c r="BG64" s="35">
        <f t="shared" si="6"/>
        <v>-0.1133234255536875</v>
      </c>
    </row>
    <row r="65" spans="2:59" x14ac:dyDescent="0.25">
      <c r="B65" s="7">
        <v>63</v>
      </c>
      <c r="C65" s="8">
        <v>25.5</v>
      </c>
      <c r="D65" s="8">
        <v>25.5</v>
      </c>
      <c r="E65" s="9">
        <v>0.76258686279019194</v>
      </c>
      <c r="K65" s="14">
        <f t="shared" si="0"/>
        <v>3.2386784521643803</v>
      </c>
      <c r="L65" s="14">
        <f t="shared" si="1"/>
        <v>3.2386784521643803</v>
      </c>
      <c r="M65" s="13">
        <f t="shared" si="2"/>
        <v>-0.2710388585754136</v>
      </c>
      <c r="AB65" s="15">
        <f>'Modelo de Schumacher-Hall'!beta0 + 'Modelo de Schumacher-Hall'!beta1*K65+ beta2*L65</f>
        <v>-0.3242494740262809</v>
      </c>
      <c r="AD65" s="33">
        <f t="shared" si="3"/>
        <v>5.3210615450867305E-2</v>
      </c>
      <c r="AE65" s="35">
        <f t="shared" si="4"/>
        <v>-0.19632098412214216</v>
      </c>
      <c r="BD65" s="15">
        <f>EXP('Modelo de Schumacher-Hall'!beta0+'Modelo de Schumacher-Hall'!beta1*K65+beta2*L65)*$BB$3</f>
        <v>0.72584876346582827</v>
      </c>
      <c r="BF65" s="33">
        <f t="shared" si="5"/>
        <v>3.6738099324363671E-2</v>
      </c>
      <c r="BG65" s="35">
        <f t="shared" si="6"/>
        <v>4.8175625777166456E-2</v>
      </c>
    </row>
    <row r="66" spans="2:59" x14ac:dyDescent="0.25">
      <c r="B66" s="7">
        <v>64</v>
      </c>
      <c r="C66" s="8">
        <v>32.5</v>
      </c>
      <c r="D66" s="8">
        <v>27</v>
      </c>
      <c r="E66" s="9">
        <v>1.1967874044604496</v>
      </c>
      <c r="K66" s="14">
        <f t="shared" si="0"/>
        <v>3.4812400893356918</v>
      </c>
      <c r="L66" s="14">
        <f t="shared" si="1"/>
        <v>3.2958368660043291</v>
      </c>
      <c r="M66" s="13">
        <f t="shared" si="2"/>
        <v>0.17964080383480807</v>
      </c>
      <c r="AB66" s="15">
        <f>'Modelo de Schumacher-Hall'!beta0 + 'Modelo de Schumacher-Hall'!beta1*K66+ beta2*L66</f>
        <v>0.1849583418494003</v>
      </c>
      <c r="AD66" s="33">
        <f t="shared" si="3"/>
        <v>-5.3175380145922269E-3</v>
      </c>
      <c r="AE66" s="35">
        <f t="shared" si="4"/>
        <v>-2.960094756357283E-2</v>
      </c>
      <c r="BD66" s="15">
        <f>EXP('Modelo de Schumacher-Hall'!beta0+'Modelo de Schumacher-Hall'!beta1*K66+beta2*L66)*$BB$3</f>
        <v>1.2077923816332181</v>
      </c>
      <c r="BF66" s="33">
        <f t="shared" si="5"/>
        <v>-1.1004977172768493E-2</v>
      </c>
      <c r="BG66" s="35">
        <f t="shared" si="6"/>
        <v>-9.1954319804442557E-3</v>
      </c>
    </row>
    <row r="67" spans="2:59" x14ac:dyDescent="0.25">
      <c r="B67" s="7">
        <v>65</v>
      </c>
      <c r="C67" s="8">
        <v>29</v>
      </c>
      <c r="D67" s="8">
        <v>27.55</v>
      </c>
      <c r="E67" s="9">
        <v>1.0722975413219025</v>
      </c>
      <c r="K67" s="14">
        <f t="shared" si="0"/>
        <v>3.3672958299864741</v>
      </c>
      <c r="L67" s="14">
        <f t="shared" si="1"/>
        <v>3.3160025355989236</v>
      </c>
      <c r="M67" s="13">
        <f t="shared" si="2"/>
        <v>6.9803581340002932E-2</v>
      </c>
      <c r="AB67" s="15">
        <f>'Modelo de Schumacher-Hall'!beta0 + 'Modelo de Schumacher-Hall'!beta1*K67+ beta2*L67</f>
        <v>-3.754990489679777E-2</v>
      </c>
      <c r="AD67" s="33">
        <f t="shared" si="3"/>
        <v>0.1073534862368007</v>
      </c>
      <c r="AE67" s="35">
        <f t="shared" si="4"/>
        <v>1.537936652761378</v>
      </c>
      <c r="BD67" s="15">
        <f>EXP('Modelo de Schumacher-Hall'!beta0+'Modelo de Schumacher-Hall'!beta1*K67+beta2*L67)*$BB$3</f>
        <v>0.96684795315343131</v>
      </c>
      <c r="BF67" s="33">
        <f t="shared" si="5"/>
        <v>0.10544958816847116</v>
      </c>
      <c r="BG67" s="35">
        <f t="shared" si="6"/>
        <v>9.8339858206217157E-2</v>
      </c>
    </row>
    <row r="68" spans="2:59" x14ac:dyDescent="0.25">
      <c r="B68" s="7">
        <v>66</v>
      </c>
      <c r="C68" s="8">
        <v>38</v>
      </c>
      <c r="D68" s="8">
        <v>26.349999999999998</v>
      </c>
      <c r="E68" s="9">
        <v>1.5664594759463404</v>
      </c>
      <c r="K68" s="14">
        <f t="shared" ref="K68:K102" si="7">LN(C68)</f>
        <v>3.6375861597263857</v>
      </c>
      <c r="L68" s="14">
        <f t="shared" ref="L68:L102" si="8">LN(D68)</f>
        <v>3.2714682749873711</v>
      </c>
      <c r="M68" s="13">
        <f t="shared" ref="M68:M102" si="9">LN(E68)</f>
        <v>0.4488179619062278</v>
      </c>
      <c r="AB68" s="15">
        <f>'Modelo de Schumacher-Hall'!beta0 + 'Modelo de Schumacher-Hall'!beta1*K68+ beta2*L68</f>
        <v>0.49144025502418121</v>
      </c>
      <c r="AD68" s="33">
        <f t="shared" ref="AD68:AD102" si="10">M68-AB68</f>
        <v>-4.2622293117953403E-2</v>
      </c>
      <c r="AE68" s="35">
        <f t="shared" ref="AE68:AE102" si="11">AD68/M68</f>
        <v>-9.4965658096496902E-2</v>
      </c>
      <c r="BD68" s="15">
        <f>EXP('Modelo de Schumacher-Hall'!beta0+'Modelo de Schumacher-Hall'!beta1*K68+beta2*L68)*$BB$3</f>
        <v>1.6409512897700524</v>
      </c>
      <c r="BF68" s="33">
        <f t="shared" ref="BF68:BF102" si="12">E68-BD68</f>
        <v>-7.4491813823712061E-2</v>
      </c>
      <c r="BG68" s="35">
        <f t="shared" ref="BG68:BG102" si="13">BF68/E68</f>
        <v>-4.7554255291991865E-2</v>
      </c>
    </row>
    <row r="69" spans="2:59" x14ac:dyDescent="0.25">
      <c r="B69" s="7">
        <v>67</v>
      </c>
      <c r="C69" s="8">
        <v>28.5</v>
      </c>
      <c r="D69" s="8">
        <v>25.6</v>
      </c>
      <c r="E69" s="9">
        <v>1.0255894805756665</v>
      </c>
      <c r="K69" s="14">
        <f t="shared" si="7"/>
        <v>3.3499040872746049</v>
      </c>
      <c r="L69" s="14">
        <f t="shared" si="8"/>
        <v>3.2425923514855168</v>
      </c>
      <c r="M69" s="13">
        <f t="shared" si="9"/>
        <v>2.5267550282667542E-2</v>
      </c>
      <c r="AB69" s="15">
        <f>'Modelo de Schumacher-Hall'!beta0 + 'Modelo de Schumacher-Hall'!beta1*K69+ beta2*L69</f>
        <v>-9.8670967619882033E-2</v>
      </c>
      <c r="AD69" s="33">
        <f t="shared" si="10"/>
        <v>0.12393851790254957</v>
      </c>
      <c r="AE69" s="35">
        <f t="shared" si="11"/>
        <v>4.9050468492612875</v>
      </c>
      <c r="BD69" s="15">
        <f>EXP('Modelo de Schumacher-Hall'!beta0+'Modelo de Schumacher-Hall'!beta1*K69+beta2*L69)*$BB$3</f>
        <v>0.90952290767136867</v>
      </c>
      <c r="BF69" s="33">
        <f t="shared" si="12"/>
        <v>0.11606657290429778</v>
      </c>
      <c r="BG69" s="35">
        <f t="shared" si="13"/>
        <v>0.11317059613282038</v>
      </c>
    </row>
    <row r="70" spans="2:59" x14ac:dyDescent="0.25">
      <c r="B70" s="7">
        <v>68</v>
      </c>
      <c r="C70" s="8">
        <v>31</v>
      </c>
      <c r="D70" s="8">
        <v>26.849999999999998</v>
      </c>
      <c r="E70" s="9">
        <v>1.1239610456001559</v>
      </c>
      <c r="K70" s="14">
        <f t="shared" si="7"/>
        <v>3.4339872044851463</v>
      </c>
      <c r="L70" s="14">
        <f t="shared" si="8"/>
        <v>3.2902658209548736</v>
      </c>
      <c r="M70" s="13">
        <f t="shared" si="9"/>
        <v>0.11685909393157062</v>
      </c>
      <c r="AB70" s="15">
        <f>'Modelo de Schumacher-Hall'!beta0 + 'Modelo de Schumacher-Hall'!beta1*K70+ beta2*L70</f>
        <v>8.773628587430804E-2</v>
      </c>
      <c r="AD70" s="33">
        <f t="shared" si="10"/>
        <v>2.9122808057262584E-2</v>
      </c>
      <c r="AE70" s="35">
        <f t="shared" si="11"/>
        <v>0.24921302294467623</v>
      </c>
      <c r="BD70" s="15">
        <f>EXP('Modelo de Schumacher-Hall'!beta0+'Modelo de Schumacher-Hall'!beta1*K70+beta2*L70)*$BB$3</f>
        <v>1.0958958528703426</v>
      </c>
      <c r="BF70" s="33">
        <f t="shared" si="12"/>
        <v>2.8065192729813226E-2</v>
      </c>
      <c r="BG70" s="35">
        <f t="shared" si="13"/>
        <v>2.4969898058012675E-2</v>
      </c>
    </row>
    <row r="71" spans="2:59" x14ac:dyDescent="0.25">
      <c r="B71" s="7">
        <v>69</v>
      </c>
      <c r="C71" s="8">
        <v>36.5</v>
      </c>
      <c r="D71" s="8">
        <v>26.4</v>
      </c>
      <c r="E71" s="9">
        <v>1.3659420233933688</v>
      </c>
      <c r="K71" s="14">
        <f t="shared" si="7"/>
        <v>3.597312260588446</v>
      </c>
      <c r="L71" s="14">
        <f t="shared" si="8"/>
        <v>3.2733640101522705</v>
      </c>
      <c r="M71" s="13">
        <f t="shared" si="9"/>
        <v>0.31184431763688142</v>
      </c>
      <c r="AB71" s="15">
        <f>'Modelo de Schumacher-Hall'!beta0 + 'Modelo de Schumacher-Hall'!beta1*K71+ beta2*L71</f>
        <v>0.41093643683944947</v>
      </c>
      <c r="AD71" s="33">
        <f t="shared" si="10"/>
        <v>-9.9092119202568052E-2</v>
      </c>
      <c r="AE71" s="35">
        <f t="shared" si="11"/>
        <v>-0.31776150341130527</v>
      </c>
      <c r="BD71" s="15">
        <f>EXP('Modelo de Schumacher-Hall'!beta0+'Modelo de Schumacher-Hall'!beta1*K71+beta2*L71)*$BB$3</f>
        <v>1.5140259732065382</v>
      </c>
      <c r="BF71" s="33">
        <f t="shared" si="12"/>
        <v>-0.14808394981316941</v>
      </c>
      <c r="BG71" s="35">
        <f t="shared" si="13"/>
        <v>-0.10841159234949731</v>
      </c>
    </row>
    <row r="72" spans="2:59" x14ac:dyDescent="0.25">
      <c r="B72" s="7">
        <v>70</v>
      </c>
      <c r="C72" s="8">
        <v>40</v>
      </c>
      <c r="D72" s="8">
        <v>24.700000000000003</v>
      </c>
      <c r="E72" s="9">
        <v>2.0198896669793127</v>
      </c>
      <c r="K72" s="14">
        <f t="shared" si="7"/>
        <v>3.6888794541139363</v>
      </c>
      <c r="L72" s="14">
        <f t="shared" si="8"/>
        <v>3.2068032436339315</v>
      </c>
      <c r="M72" s="13">
        <f t="shared" si="9"/>
        <v>0.70304288961409911</v>
      </c>
      <c r="AB72" s="15">
        <f>'Modelo de Schumacher-Hall'!beta0 + 'Modelo de Schumacher-Hall'!beta1*K72+ beta2*L72</f>
        <v>0.57186739328654013</v>
      </c>
      <c r="AD72" s="33">
        <f t="shared" si="10"/>
        <v>0.13117549632755898</v>
      </c>
      <c r="AE72" s="35">
        <f t="shared" si="11"/>
        <v>0.18658249484545864</v>
      </c>
      <c r="BD72" s="15">
        <f>EXP('Modelo de Schumacher-Hall'!beta0+'Modelo de Schumacher-Hall'!beta1*K72+beta2*L72)*$BB$3</f>
        <v>1.7783807631543211</v>
      </c>
      <c r="BF72" s="33">
        <f t="shared" si="12"/>
        <v>0.24150890382499157</v>
      </c>
      <c r="BG72" s="35">
        <f t="shared" si="13"/>
        <v>0.11956539397825686</v>
      </c>
    </row>
    <row r="73" spans="2:59" x14ac:dyDescent="0.25">
      <c r="B73" s="7">
        <v>71</v>
      </c>
      <c r="C73" s="8">
        <v>29.5</v>
      </c>
      <c r="D73" s="8">
        <v>24.200000000000003</v>
      </c>
      <c r="E73" s="9">
        <v>1.0073514880240264</v>
      </c>
      <c r="K73" s="14">
        <f t="shared" si="7"/>
        <v>3.3843902633457743</v>
      </c>
      <c r="L73" s="14">
        <f t="shared" si="8"/>
        <v>3.1863526331626408</v>
      </c>
      <c r="M73" s="13">
        <f t="shared" si="9"/>
        <v>7.3245975455404049E-3</v>
      </c>
      <c r="AB73" s="15">
        <f>'Modelo de Schumacher-Hall'!beta0 + 'Modelo de Schumacher-Hall'!beta1*K73+ beta2*L73</f>
        <v>-4.912902823027876E-2</v>
      </c>
      <c r="AD73" s="33">
        <f t="shared" si="10"/>
        <v>5.6453625775819166E-2</v>
      </c>
      <c r="AE73" s="35">
        <f t="shared" si="11"/>
        <v>7.7074030927734816</v>
      </c>
      <c r="BD73" s="15">
        <f>EXP('Modelo de Schumacher-Hall'!beta0+'Modelo de Schumacher-Hall'!beta1*K73+beta2*L73)*$BB$3</f>
        <v>0.95571726761243858</v>
      </c>
      <c r="BF73" s="33">
        <f t="shared" si="12"/>
        <v>5.1634220411587828E-2</v>
      </c>
      <c r="BG73" s="35">
        <f t="shared" si="13"/>
        <v>5.1257402232929739E-2</v>
      </c>
    </row>
    <row r="74" spans="2:59" x14ac:dyDescent="0.25">
      <c r="B74" s="7">
        <v>72</v>
      </c>
      <c r="C74" s="8">
        <v>31</v>
      </c>
      <c r="D74" s="8">
        <v>27.9</v>
      </c>
      <c r="E74" s="9">
        <v>1.2693717428766924</v>
      </c>
      <c r="K74" s="14">
        <f t="shared" si="7"/>
        <v>3.4339872044851463</v>
      </c>
      <c r="L74" s="14">
        <f t="shared" si="8"/>
        <v>3.3286266888273199</v>
      </c>
      <c r="M74" s="13">
        <f t="shared" si="9"/>
        <v>0.23852208742243911</v>
      </c>
      <c r="AB74" s="15">
        <f>'Modelo de Schumacher-Hall'!beta0 + 'Modelo de Schumacher-Hall'!beta1*K74+ beta2*L74</f>
        <v>0.10135715063488204</v>
      </c>
      <c r="AD74" s="33">
        <f t="shared" si="10"/>
        <v>0.13716493678755706</v>
      </c>
      <c r="AE74" s="35">
        <f t="shared" si="11"/>
        <v>0.57506178262069485</v>
      </c>
      <c r="BD74" s="15">
        <f>EXP('Modelo de Schumacher-Hall'!beta0+'Modelo de Schumacher-Hall'!beta1*K74+beta2*L74)*$BB$3</f>
        <v>1.1109250248733757</v>
      </c>
      <c r="BF74" s="33">
        <f t="shared" si="12"/>
        <v>0.15844671800331667</v>
      </c>
      <c r="BG74" s="35">
        <f t="shared" si="13"/>
        <v>0.12482294402129943</v>
      </c>
    </row>
    <row r="75" spans="2:59" x14ac:dyDescent="0.25">
      <c r="B75" s="7">
        <v>73</v>
      </c>
      <c r="C75" s="8">
        <v>26.5</v>
      </c>
      <c r="D75" s="8">
        <v>22.8</v>
      </c>
      <c r="E75" s="9">
        <v>0.68899285576499358</v>
      </c>
      <c r="K75" s="14">
        <f t="shared" si="7"/>
        <v>3.2771447329921766</v>
      </c>
      <c r="L75" s="14">
        <f t="shared" si="8"/>
        <v>3.1267605359603952</v>
      </c>
      <c r="M75" s="13">
        <f t="shared" si="9"/>
        <v>-0.37252437701353791</v>
      </c>
      <c r="AB75" s="15">
        <f>'Modelo de Schumacher-Hall'!beta0 + 'Modelo de Schumacher-Hall'!beta1*K75+ beta2*L75</f>
        <v>-0.28645491094156017</v>
      </c>
      <c r="AD75" s="33">
        <f t="shared" si="10"/>
        <v>-8.606946607197774E-2</v>
      </c>
      <c r="AE75" s="35">
        <f t="shared" si="11"/>
        <v>0.23104384943069078</v>
      </c>
      <c r="BD75" s="15">
        <f>EXP('Modelo de Schumacher-Hall'!beta0+'Modelo de Schumacher-Hall'!beta1*K75+beta2*L75)*$BB$3</f>
        <v>0.75380690528480931</v>
      </c>
      <c r="BF75" s="33">
        <f t="shared" si="12"/>
        <v>-6.4814049519815731E-2</v>
      </c>
      <c r="BG75" s="35">
        <f t="shared" si="13"/>
        <v>-9.407071347329464E-2</v>
      </c>
    </row>
    <row r="76" spans="2:59" x14ac:dyDescent="0.25">
      <c r="B76" s="7">
        <v>74</v>
      </c>
      <c r="C76" s="8">
        <v>32</v>
      </c>
      <c r="D76" s="8">
        <v>26</v>
      </c>
      <c r="E76" s="9">
        <v>1.238381829394591</v>
      </c>
      <c r="K76" s="14">
        <f t="shared" si="7"/>
        <v>3.4657359027997265</v>
      </c>
      <c r="L76" s="14">
        <f t="shared" si="8"/>
        <v>3.2580965380214821</v>
      </c>
      <c r="M76" s="13">
        <f t="shared" si="9"/>
        <v>0.21380555109919466</v>
      </c>
      <c r="AB76" s="15">
        <f>'Modelo de Schumacher-Hall'!beta0 + 'Modelo de Schumacher-Hall'!beta1*K76+ beta2*L76</f>
        <v>0.14030724030893404</v>
      </c>
      <c r="AD76" s="33">
        <f t="shared" si="10"/>
        <v>7.3498310790260618E-2</v>
      </c>
      <c r="AE76" s="35">
        <f t="shared" si="11"/>
        <v>0.34376240659982316</v>
      </c>
      <c r="BD76" s="15">
        <f>EXP('Modelo de Schumacher-Hall'!beta0+'Modelo de Schumacher-Hall'!beta1*K76+beta2*L76)*$BB$3</f>
        <v>1.1550494000809479</v>
      </c>
      <c r="BF76" s="33">
        <f t="shared" si="12"/>
        <v>8.3332429313643042E-2</v>
      </c>
      <c r="BG76" s="35">
        <f t="shared" si="13"/>
        <v>6.7291385690293803E-2</v>
      </c>
    </row>
    <row r="77" spans="2:59" x14ac:dyDescent="0.25">
      <c r="B77" s="7">
        <v>75</v>
      </c>
      <c r="C77" s="8">
        <v>32.5</v>
      </c>
      <c r="D77" s="8">
        <v>24.1</v>
      </c>
      <c r="E77" s="9">
        <v>1.1467110720606977</v>
      </c>
      <c r="K77" s="14">
        <f t="shared" si="7"/>
        <v>3.4812400893356918</v>
      </c>
      <c r="L77" s="14">
        <f t="shared" si="8"/>
        <v>3.1822118404966093</v>
      </c>
      <c r="M77" s="13">
        <f t="shared" si="9"/>
        <v>0.13689790760170864</v>
      </c>
      <c r="AB77" s="15">
        <f>'Modelo de Schumacher-Hall'!beta0 + 'Modelo de Schumacher-Hall'!beta1*K77+ beta2*L77</f>
        <v>0.14461329254020372</v>
      </c>
      <c r="AD77" s="33">
        <f t="shared" si="10"/>
        <v>-7.715384938495079E-3</v>
      </c>
      <c r="AE77" s="35">
        <f t="shared" si="11"/>
        <v>-5.6358676868475253E-2</v>
      </c>
      <c r="BD77" s="15">
        <f>EXP('Modelo de Schumacher-Hall'!beta0+'Modelo de Schumacher-Hall'!beta1*K77+beta2*L77)*$BB$3</f>
        <v>1.1600338270269759</v>
      </c>
      <c r="BF77" s="33">
        <f t="shared" si="12"/>
        <v>-1.3322754966278216E-2</v>
      </c>
      <c r="BG77" s="35">
        <f t="shared" si="13"/>
        <v>-1.1618231733244324E-2</v>
      </c>
    </row>
    <row r="78" spans="2:59" x14ac:dyDescent="0.25">
      <c r="B78" s="7">
        <v>76</v>
      </c>
      <c r="C78" s="8">
        <v>32</v>
      </c>
      <c r="D78" s="8">
        <v>25.700000000000003</v>
      </c>
      <c r="E78" s="9">
        <v>1.0965525084732386</v>
      </c>
      <c r="K78" s="14">
        <f t="shared" si="7"/>
        <v>3.4657359027997265</v>
      </c>
      <c r="L78" s="14">
        <f t="shared" si="8"/>
        <v>3.2464909919011742</v>
      </c>
      <c r="M78" s="13">
        <f t="shared" si="9"/>
        <v>9.2171175073738398E-2</v>
      </c>
      <c r="AB78" s="15">
        <f>'Modelo de Schumacher-Hall'!beta0 + 'Modelo de Schumacher-Hall'!beta1*K78+ beta2*L78</f>
        <v>0.13618643744537695</v>
      </c>
      <c r="AD78" s="33">
        <f t="shared" si="10"/>
        <v>-4.4015262371638553E-2</v>
      </c>
      <c r="AE78" s="35">
        <f t="shared" si="11"/>
        <v>-0.47753825788187737</v>
      </c>
      <c r="BD78" s="15">
        <f>EXP('Modelo de Schumacher-Hall'!beta0+'Modelo de Schumacher-Hall'!beta1*K78+beta2*L78)*$BB$3</f>
        <v>1.1502994627048768</v>
      </c>
      <c r="BF78" s="33">
        <f t="shared" si="12"/>
        <v>-5.3746954231638222E-2</v>
      </c>
      <c r="BG78" s="35">
        <f t="shared" si="13"/>
        <v>-4.9014482951182742E-2</v>
      </c>
    </row>
    <row r="79" spans="2:59" x14ac:dyDescent="0.25">
      <c r="B79" s="7">
        <v>77</v>
      </c>
      <c r="C79" s="8">
        <v>34.200000000000003</v>
      </c>
      <c r="D79" s="8">
        <v>25.55</v>
      </c>
      <c r="E79" s="9">
        <v>1.1735595679372355</v>
      </c>
      <c r="K79" s="14">
        <f t="shared" si="7"/>
        <v>3.5322256440685598</v>
      </c>
      <c r="L79" s="14">
        <f t="shared" si="8"/>
        <v>3.2406373166497136</v>
      </c>
      <c r="M79" s="13">
        <f t="shared" si="9"/>
        <v>0.16004149593861738</v>
      </c>
      <c r="AB79" s="15">
        <f>'Modelo de Schumacher-Hall'!beta0 + 'Modelo de Schumacher-Hall'!beta1*K79+ beta2*L79</f>
        <v>0.26812611973375877</v>
      </c>
      <c r="AD79" s="33">
        <f t="shared" si="10"/>
        <v>-0.10808462379514139</v>
      </c>
      <c r="AE79" s="35">
        <f t="shared" si="11"/>
        <v>-0.67535374598470621</v>
      </c>
      <c r="BD79" s="15">
        <f>EXP('Modelo de Schumacher-Hall'!beta0+'Modelo de Schumacher-Hall'!beta1*K79+beta2*L79)*$BB$3</f>
        <v>1.3125371149182781</v>
      </c>
      <c r="BF79" s="33">
        <f t="shared" si="12"/>
        <v>-0.13897754698104259</v>
      </c>
      <c r="BG79" s="35">
        <f t="shared" si="13"/>
        <v>-0.11842393925118201</v>
      </c>
    </row>
    <row r="80" spans="2:59" x14ac:dyDescent="0.25">
      <c r="B80" s="7">
        <v>78</v>
      </c>
      <c r="C80" s="8">
        <v>35.5</v>
      </c>
      <c r="D80" s="8">
        <v>25.5</v>
      </c>
      <c r="E80" s="9">
        <v>1.315048143865398</v>
      </c>
      <c r="K80" s="14">
        <f t="shared" si="7"/>
        <v>3.5695326964813701</v>
      </c>
      <c r="L80" s="14">
        <f t="shared" si="8"/>
        <v>3.2386784521643803</v>
      </c>
      <c r="M80" s="13">
        <f t="shared" si="9"/>
        <v>0.27387327626403563</v>
      </c>
      <c r="AB80" s="15">
        <f>'Modelo de Schumacher-Hall'!beta0 + 'Modelo de Schumacher-Hall'!beta1*K80+ beta2*L80</f>
        <v>0.34262748217580219</v>
      </c>
      <c r="AD80" s="33">
        <f t="shared" si="10"/>
        <v>-6.8754205911766564E-2</v>
      </c>
      <c r="AE80" s="35">
        <f t="shared" si="11"/>
        <v>-0.2510438654316971</v>
      </c>
      <c r="BD80" s="15">
        <f>EXP('Modelo de Schumacher-Hall'!beta0+'Modelo de Schumacher-Hall'!beta1*K80+beta2*L80)*$BB$3</f>
        <v>1.4140576755276584</v>
      </c>
      <c r="BF80" s="33">
        <f t="shared" si="12"/>
        <v>-9.9009531662260342E-2</v>
      </c>
      <c r="BG80" s="35">
        <f t="shared" si="13"/>
        <v>-7.5289663062247922E-2</v>
      </c>
    </row>
    <row r="81" spans="2:59" x14ac:dyDescent="0.25">
      <c r="B81" s="7">
        <v>79</v>
      </c>
      <c r="C81" s="8">
        <v>40.9</v>
      </c>
      <c r="D81" s="8">
        <v>25.200000000000003</v>
      </c>
      <c r="E81" s="9">
        <v>1.7861103665870106</v>
      </c>
      <c r="K81" s="14">
        <f t="shared" si="7"/>
        <v>3.7111300630487558</v>
      </c>
      <c r="L81" s="14">
        <f t="shared" si="8"/>
        <v>3.2268439945173779</v>
      </c>
      <c r="M81" s="13">
        <f t="shared" si="9"/>
        <v>0.58004027594651186</v>
      </c>
      <c r="AB81" s="15">
        <f>'Modelo de Schumacher-Hall'!beta0 + 'Modelo de Schumacher-Hall'!beta1*K81+ beta2*L81</f>
        <v>0.623832107646207</v>
      </c>
      <c r="AD81" s="33">
        <f t="shared" si="10"/>
        <v>-4.3791831699695138E-2</v>
      </c>
      <c r="AE81" s="35">
        <f t="shared" si="11"/>
        <v>-7.5497915430502591E-2</v>
      </c>
      <c r="BD81" s="15">
        <f>EXP('Modelo de Schumacher-Hall'!beta0+'Modelo de Schumacher-Hall'!beta1*K81+beta2*L81)*$BB$3</f>
        <v>1.8732370573239288</v>
      </c>
      <c r="BF81" s="33">
        <f t="shared" si="12"/>
        <v>-8.7126690736918144E-2</v>
      </c>
      <c r="BG81" s="35">
        <f t="shared" si="13"/>
        <v>-4.8780127122493668E-2</v>
      </c>
    </row>
    <row r="82" spans="2:59" x14ac:dyDescent="0.25">
      <c r="B82" s="7">
        <v>80</v>
      </c>
      <c r="C82" s="8">
        <v>32</v>
      </c>
      <c r="D82" s="8">
        <v>27.5</v>
      </c>
      <c r="E82" s="9">
        <v>1.2899035169444732</v>
      </c>
      <c r="K82" s="14">
        <f t="shared" si="7"/>
        <v>3.4657359027997265</v>
      </c>
      <c r="L82" s="14">
        <f t="shared" si="8"/>
        <v>3.3141860046725258</v>
      </c>
      <c r="M82" s="13">
        <f t="shared" si="9"/>
        <v>0.25456742251014008</v>
      </c>
      <c r="AB82" s="15">
        <f>'Modelo de Schumacher-Hall'!beta0 + 'Modelo de Schumacher-Hall'!beta1*K82+ beta2*L82</f>
        <v>0.16022303163792406</v>
      </c>
      <c r="AD82" s="33">
        <f t="shared" si="10"/>
        <v>9.4344390872216022E-2</v>
      </c>
      <c r="AE82" s="35">
        <f t="shared" si="11"/>
        <v>0.37060669406140545</v>
      </c>
      <c r="BD82" s="15">
        <f>EXP('Modelo de Schumacher-Hall'!beta0+'Modelo de Schumacher-Hall'!beta1*K82+beta2*L82)*$BB$3</f>
        <v>1.1782837198757787</v>
      </c>
      <c r="BF82" s="33">
        <f t="shared" si="12"/>
        <v>0.11161979706869452</v>
      </c>
      <c r="BG82" s="35">
        <f t="shared" si="13"/>
        <v>8.653344657366295E-2</v>
      </c>
    </row>
    <row r="83" spans="2:59" x14ac:dyDescent="0.25">
      <c r="B83" s="7">
        <v>81</v>
      </c>
      <c r="C83" s="8">
        <v>40</v>
      </c>
      <c r="D83" s="8">
        <v>26.05</v>
      </c>
      <c r="E83" s="9">
        <v>2.0423028492575432</v>
      </c>
      <c r="K83" s="14">
        <f t="shared" si="7"/>
        <v>3.6888794541139363</v>
      </c>
      <c r="L83" s="14">
        <f t="shared" si="8"/>
        <v>3.2600177681993761</v>
      </c>
      <c r="M83" s="13">
        <f t="shared" si="9"/>
        <v>0.71407801886194455</v>
      </c>
      <c r="AB83" s="15">
        <f>'Modelo de Schumacher-Hall'!beta0 + 'Modelo de Schumacher-Hall'!beta1*K83+ beta2*L83</f>
        <v>0.59076237357776518</v>
      </c>
      <c r="AD83" s="33">
        <f t="shared" si="10"/>
        <v>0.12331564528417938</v>
      </c>
      <c r="AE83" s="35">
        <f t="shared" si="11"/>
        <v>0.17269211770544707</v>
      </c>
      <c r="BD83" s="15">
        <f>EXP('Modelo de Schumacher-Hall'!beta0+'Modelo de Schumacher-Hall'!beta1*K83+beta2*L83)*$BB$3</f>
        <v>1.8123027005648606</v>
      </c>
      <c r="BF83" s="33">
        <f t="shared" si="12"/>
        <v>0.23000014869268259</v>
      </c>
      <c r="BG83" s="35">
        <f t="shared" si="13"/>
        <v>0.11261804231252805</v>
      </c>
    </row>
    <row r="84" spans="2:59" x14ac:dyDescent="0.25">
      <c r="B84" s="7">
        <v>82</v>
      </c>
      <c r="C84" s="8">
        <v>30.6</v>
      </c>
      <c r="D84" s="8">
        <v>25.200000000000003</v>
      </c>
      <c r="E84" s="9">
        <v>1.064482371447169</v>
      </c>
      <c r="K84" s="14">
        <f t="shared" si="7"/>
        <v>3.4210000089583352</v>
      </c>
      <c r="L84" s="14">
        <f t="shared" si="8"/>
        <v>3.2268439945173779</v>
      </c>
      <c r="M84" s="13">
        <f t="shared" si="9"/>
        <v>6.248864480766704E-2</v>
      </c>
      <c r="AB84" s="15">
        <f>'Modelo de Schumacher-Hall'!beta0 + 'Modelo de Schumacher-Hall'!beta1*K84+ beta2*L84</f>
        <v>3.9039708280182106E-2</v>
      </c>
      <c r="AD84" s="33">
        <f t="shared" si="10"/>
        <v>2.3448936527484934E-2</v>
      </c>
      <c r="AE84" s="35">
        <f t="shared" si="11"/>
        <v>0.37525116122550106</v>
      </c>
      <c r="BD84" s="15">
        <f>EXP('Modelo de Schumacher-Hall'!beta0+'Modelo de Schumacher-Hall'!beta1*K84+beta2*L84)*$BB$3</f>
        <v>1.0438080179137406</v>
      </c>
      <c r="BF84" s="33">
        <f t="shared" si="12"/>
        <v>2.0674353533428391E-2</v>
      </c>
      <c r="BG84" s="35">
        <f t="shared" si="13"/>
        <v>1.9421978313573673E-2</v>
      </c>
    </row>
    <row r="85" spans="2:59" x14ac:dyDescent="0.25">
      <c r="B85" s="7">
        <v>83</v>
      </c>
      <c r="C85" s="8">
        <v>36.6</v>
      </c>
      <c r="D85" s="8">
        <v>26.1</v>
      </c>
      <c r="E85" s="9">
        <v>1.544147452951556</v>
      </c>
      <c r="K85" s="14">
        <f t="shared" si="7"/>
        <v>3.6000482404073204</v>
      </c>
      <c r="L85" s="14">
        <f t="shared" si="8"/>
        <v>3.2619353143286478</v>
      </c>
      <c r="M85" s="13">
        <f t="shared" si="9"/>
        <v>0.43447194765898361</v>
      </c>
      <c r="AB85" s="15">
        <f>'Modelo de Schumacher-Hall'!beta0 + 'Modelo de Schumacher-Hall'!beta1*K85+ beta2*L85</f>
        <v>0.41239312851788146</v>
      </c>
      <c r="AD85" s="33">
        <f t="shared" si="10"/>
        <v>2.2078819141102157E-2</v>
      </c>
      <c r="AE85" s="35">
        <f t="shared" si="11"/>
        <v>5.0817594231496364E-2</v>
      </c>
      <c r="BD85" s="15">
        <f>EXP('Modelo de Schumacher-Hall'!beta0+'Modelo de Schumacher-Hall'!beta1*K85+beta2*L85)*$BB$3</f>
        <v>1.516233049367101</v>
      </c>
      <c r="BF85" s="33">
        <f t="shared" si="12"/>
        <v>2.7914403584454961E-2</v>
      </c>
      <c r="BG85" s="35">
        <f t="shared" si="13"/>
        <v>1.8077550515721838E-2</v>
      </c>
    </row>
    <row r="86" spans="2:59" x14ac:dyDescent="0.25">
      <c r="B86" s="7">
        <v>84</v>
      </c>
      <c r="C86" s="8">
        <v>32.1</v>
      </c>
      <c r="D86" s="8">
        <v>27.5</v>
      </c>
      <c r="E86" s="9">
        <v>1.1490528414046224</v>
      </c>
      <c r="K86" s="14">
        <f t="shared" si="7"/>
        <v>3.4688560301359703</v>
      </c>
      <c r="L86" s="14">
        <f t="shared" si="8"/>
        <v>3.3141860046725258</v>
      </c>
      <c r="M86" s="13">
        <f t="shared" si="9"/>
        <v>0.13893798684712078</v>
      </c>
      <c r="AB86" s="15">
        <f>'Modelo de Schumacher-Hall'!beta0 + 'Modelo de Schumacher-Hall'!beta1*K86+ beta2*L86</f>
        <v>0.16651202764355988</v>
      </c>
      <c r="AD86" s="33">
        <f t="shared" si="10"/>
        <v>-2.7574040796439103E-2</v>
      </c>
      <c r="AE86" s="35">
        <f t="shared" si="11"/>
        <v>-0.19846293603476464</v>
      </c>
      <c r="BD86" s="15">
        <f>EXP('Modelo de Schumacher-Hall'!beta0+'Modelo de Schumacher-Hall'!beta1*K86+beta2*L86)*$BB$3</f>
        <v>1.185717291835054</v>
      </c>
      <c r="BF86" s="33">
        <f t="shared" si="12"/>
        <v>-3.666445043043165E-2</v>
      </c>
      <c r="BG86" s="35">
        <f t="shared" si="13"/>
        <v>-3.1908411092402313E-2</v>
      </c>
    </row>
    <row r="87" spans="2:59" x14ac:dyDescent="0.25">
      <c r="B87" s="7">
        <v>85</v>
      </c>
      <c r="C87" s="8">
        <v>35.6</v>
      </c>
      <c r="D87" s="8">
        <v>27.15</v>
      </c>
      <c r="E87" s="9">
        <v>1.3884697167238225</v>
      </c>
      <c r="K87" s="14">
        <f t="shared" si="7"/>
        <v>3.572345637857985</v>
      </c>
      <c r="L87" s="14">
        <f t="shared" si="8"/>
        <v>3.3013770463799443</v>
      </c>
      <c r="M87" s="13">
        <f t="shared" si="9"/>
        <v>0.32820221746120803</v>
      </c>
      <c r="AB87" s="15">
        <f>'Modelo de Schumacher-Hall'!beta0 + 'Modelo de Schumacher-Hall'!beta1*K87+ beta2*L87</f>
        <v>0.37055981408630978</v>
      </c>
      <c r="AD87" s="33">
        <f t="shared" si="10"/>
        <v>-4.2357596625101746E-2</v>
      </c>
      <c r="AE87" s="35">
        <f t="shared" si="11"/>
        <v>-0.12905944680312287</v>
      </c>
      <c r="BD87" s="15">
        <f>EXP('Modelo de Schumacher-Hall'!beta0+'Modelo de Schumacher-Hall'!beta1*K87+beta2*L87)*$BB$3</f>
        <v>1.4541124106976526</v>
      </c>
      <c r="BF87" s="33">
        <f t="shared" si="12"/>
        <v>-6.5642693973830157E-2</v>
      </c>
      <c r="BG87" s="35">
        <f t="shared" si="13"/>
        <v>-4.7277008049349485E-2</v>
      </c>
    </row>
    <row r="88" spans="2:59" x14ac:dyDescent="0.25">
      <c r="B88" s="7">
        <v>86</v>
      </c>
      <c r="C88" s="8">
        <v>34.700000000000003</v>
      </c>
      <c r="D88" s="8">
        <v>26.7</v>
      </c>
      <c r="E88" s="9">
        <v>1.4651136604369419</v>
      </c>
      <c r="K88" s="14">
        <f t="shared" si="7"/>
        <v>3.5467396869528134</v>
      </c>
      <c r="L88" s="14">
        <f t="shared" si="8"/>
        <v>3.2846635654062037</v>
      </c>
      <c r="M88" s="13">
        <f t="shared" si="9"/>
        <v>0.38193282337555556</v>
      </c>
      <c r="AB88" s="15">
        <f>'Modelo de Schumacher-Hall'!beta0 + 'Modelo de Schumacher-Hall'!beta1*K88+ beta2*L88</f>
        <v>0.3130134199477197</v>
      </c>
      <c r="AD88" s="33">
        <f t="shared" si="10"/>
        <v>6.8919403427835868E-2</v>
      </c>
      <c r="AE88" s="35">
        <f t="shared" si="11"/>
        <v>0.18044901932942076</v>
      </c>
      <c r="BD88" s="15">
        <f>EXP('Modelo de Schumacher-Hall'!beta0+'Modelo de Schumacher-Hall'!beta1*K88+beta2*L88)*$BB$3</f>
        <v>1.372795666872364</v>
      </c>
      <c r="BF88" s="33">
        <f t="shared" si="12"/>
        <v>9.2317993564577927E-2</v>
      </c>
      <c r="BG88" s="35">
        <f t="shared" si="13"/>
        <v>6.3010806640793907E-2</v>
      </c>
    </row>
    <row r="89" spans="2:59" x14ac:dyDescent="0.25">
      <c r="B89" s="7">
        <v>87</v>
      </c>
      <c r="C89" s="8">
        <v>27</v>
      </c>
      <c r="D89" s="8">
        <v>25.5</v>
      </c>
      <c r="E89" s="9">
        <v>0.86001927487082974</v>
      </c>
      <c r="K89" s="14">
        <f t="shared" si="7"/>
        <v>3.2958368660043291</v>
      </c>
      <c r="L89" s="14">
        <f t="shared" si="8"/>
        <v>3.2386784521643803</v>
      </c>
      <c r="M89" s="13">
        <f t="shared" si="9"/>
        <v>-0.15080047734524341</v>
      </c>
      <c r="AB89" s="15">
        <f>'Modelo de Schumacher-Hall'!beta0 + 'Modelo de Schumacher-Hall'!beta1*K89+ beta2*L89</f>
        <v>-0.20903974134893977</v>
      </c>
      <c r="AD89" s="33">
        <f t="shared" si="10"/>
        <v>5.8239264003696362E-2</v>
      </c>
      <c r="AE89" s="35">
        <f t="shared" si="11"/>
        <v>-0.38620079345215258</v>
      </c>
      <c r="BD89" s="15">
        <f>EXP('Modelo de Schumacher-Hall'!beta0+'Modelo de Schumacher-Hall'!beta1*K89+beta2*L89)*$BB$3</f>
        <v>0.81448125284818829</v>
      </c>
      <c r="BF89" s="33">
        <f t="shared" si="12"/>
        <v>4.5538022022641456E-2</v>
      </c>
      <c r="BG89" s="35">
        <f t="shared" si="13"/>
        <v>5.2950001649068879E-2</v>
      </c>
    </row>
    <row r="90" spans="2:59" x14ac:dyDescent="0.25">
      <c r="B90" s="7">
        <v>88</v>
      </c>
      <c r="C90" s="8">
        <v>33.299999999999997</v>
      </c>
      <c r="D90" s="8">
        <v>27.8</v>
      </c>
      <c r="E90" s="9">
        <v>1.2668917303660405</v>
      </c>
      <c r="K90" s="14">
        <f t="shared" si="7"/>
        <v>3.505557396986398</v>
      </c>
      <c r="L90" s="14">
        <f t="shared" si="8"/>
        <v>3.3250360206965914</v>
      </c>
      <c r="M90" s="13">
        <f t="shared" si="9"/>
        <v>0.23656644414860364</v>
      </c>
      <c r="AB90" s="15">
        <f>'Modelo de Schumacher-Hall'!beta0 + 'Modelo de Schumacher-Hall'!beta1*K90+ beta2*L90</f>
        <v>0.24434063023756813</v>
      </c>
      <c r="AD90" s="33">
        <f t="shared" si="10"/>
        <v>-7.7741860889644909E-3</v>
      </c>
      <c r="AE90" s="35">
        <f t="shared" si="11"/>
        <v>-3.2862590114771266E-2</v>
      </c>
      <c r="BD90" s="15">
        <f>EXP('Modelo de Schumacher-Hall'!beta0+'Modelo de Schumacher-Hall'!beta1*K90+beta2*L90)*$BB$3</f>
        <v>1.2816861344738921</v>
      </c>
      <c r="BF90" s="33">
        <f t="shared" si="12"/>
        <v>-1.47944041078516E-2</v>
      </c>
      <c r="BG90" s="35">
        <f t="shared" si="13"/>
        <v>-1.1677717798013475E-2</v>
      </c>
    </row>
    <row r="91" spans="2:59" x14ac:dyDescent="0.25">
      <c r="B91" s="7">
        <v>89</v>
      </c>
      <c r="C91" s="8">
        <v>28.3</v>
      </c>
      <c r="D91" s="8">
        <v>25.5</v>
      </c>
      <c r="E91" s="9">
        <v>0.88165711208215403</v>
      </c>
      <c r="K91" s="14">
        <f t="shared" si="7"/>
        <v>3.3428618046491918</v>
      </c>
      <c r="L91" s="14">
        <f t="shared" si="8"/>
        <v>3.2386784521643803</v>
      </c>
      <c r="M91" s="13">
        <f t="shared" si="9"/>
        <v>-0.12595206037442658</v>
      </c>
      <c r="AB91" s="15">
        <f>'Modelo de Schumacher-Hall'!beta0 + 'Modelo de Schumacher-Hall'!beta1*K91+ beta2*L91</f>
        <v>-0.11425526000183028</v>
      </c>
      <c r="AD91" s="33">
        <f t="shared" si="10"/>
        <v>-1.1696800372596294E-2</v>
      </c>
      <c r="AE91" s="35">
        <f t="shared" si="11"/>
        <v>9.2867082426634315E-2</v>
      </c>
      <c r="BD91" s="15">
        <f>EXP('Modelo de Schumacher-Hall'!beta0+'Modelo de Schumacher-Hall'!beta1*K91+beta2*L91)*$BB$3</f>
        <v>0.89545851321847225</v>
      </c>
      <c r="BF91" s="33">
        <f t="shared" si="12"/>
        <v>-1.3801401136318225E-2</v>
      </c>
      <c r="BG91" s="35">
        <f t="shared" si="13"/>
        <v>-1.5653932744584032E-2</v>
      </c>
    </row>
    <row r="92" spans="2:59" x14ac:dyDescent="0.25">
      <c r="B92" s="7">
        <v>90</v>
      </c>
      <c r="C92" s="8">
        <v>25.2</v>
      </c>
      <c r="D92" s="8">
        <v>25.35</v>
      </c>
      <c r="E92" s="9">
        <v>0.71248800255312017</v>
      </c>
      <c r="K92" s="14">
        <f t="shared" si="7"/>
        <v>3.2268439945173775</v>
      </c>
      <c r="L92" s="14">
        <f t="shared" si="8"/>
        <v>3.2327787300371922</v>
      </c>
      <c r="M92" s="13">
        <f t="shared" si="9"/>
        <v>-0.33899220550303755</v>
      </c>
      <c r="AB92" s="15">
        <f>'Modelo de Schumacher-Hall'!beta0 + 'Modelo de Schumacher-Hall'!beta1*K92+ beta2*L92</f>
        <v>-0.35019808761909443</v>
      </c>
      <c r="AD92" s="33">
        <f t="shared" si="10"/>
        <v>1.1205882116056887E-2</v>
      </c>
      <c r="AE92" s="35">
        <f t="shared" si="11"/>
        <v>-3.305645951188832E-2</v>
      </c>
      <c r="BD92" s="15">
        <f>EXP('Modelo de Schumacher-Hall'!beta0+'Modelo de Schumacher-Hall'!beta1*K92+beta2*L92)*$BB$3</f>
        <v>0.70725626241840223</v>
      </c>
      <c r="BF92" s="33">
        <f t="shared" si="12"/>
        <v>5.2317401347179437E-3</v>
      </c>
      <c r="BG92" s="35">
        <f t="shared" si="13"/>
        <v>7.3429168153998307E-3</v>
      </c>
    </row>
    <row r="93" spans="2:59" x14ac:dyDescent="0.25">
      <c r="B93" s="7">
        <v>91</v>
      </c>
      <c r="C93" s="8">
        <v>41</v>
      </c>
      <c r="D93" s="8">
        <v>26.5</v>
      </c>
      <c r="E93" s="9">
        <v>1.8266877925293377</v>
      </c>
      <c r="K93" s="14">
        <f t="shared" si="7"/>
        <v>3.713572066704308</v>
      </c>
      <c r="L93" s="14">
        <f t="shared" si="8"/>
        <v>3.2771447329921766</v>
      </c>
      <c r="M93" s="13">
        <f t="shared" si="9"/>
        <v>0.6025043774782245</v>
      </c>
      <c r="AB93" s="15">
        <f>'Modelo de Schumacher-Hall'!beta0 + 'Modelo de Schumacher-Hall'!beta1*K93+ beta2*L93</f>
        <v>0.64661463976429645</v>
      </c>
      <c r="AD93" s="33">
        <f t="shared" si="10"/>
        <v>-4.4110262286071955E-2</v>
      </c>
      <c r="AE93" s="35">
        <f t="shared" si="11"/>
        <v>-7.3211521666771917E-2</v>
      </c>
      <c r="BD93" s="15">
        <f>EXP('Modelo de Schumacher-Hall'!beta0+'Modelo de Schumacher-Hall'!beta1*K93+beta2*L93)*$BB$3</f>
        <v>1.916403999761914</v>
      </c>
      <c r="BF93" s="33">
        <f t="shared" si="12"/>
        <v>-8.9716207232576339E-2</v>
      </c>
      <c r="BG93" s="35">
        <f t="shared" si="13"/>
        <v>-4.9114143971121682E-2</v>
      </c>
    </row>
    <row r="94" spans="2:59" x14ac:dyDescent="0.25">
      <c r="B94" s="7">
        <v>92</v>
      </c>
      <c r="C94" s="8">
        <v>28.5</v>
      </c>
      <c r="D94" s="8">
        <v>27.55</v>
      </c>
      <c r="E94" s="9">
        <v>0.91549919899463328</v>
      </c>
      <c r="K94" s="14">
        <f t="shared" si="7"/>
        <v>3.3499040872746049</v>
      </c>
      <c r="L94" s="14">
        <f t="shared" si="8"/>
        <v>3.3160025355989236</v>
      </c>
      <c r="M94" s="13">
        <f t="shared" si="9"/>
        <v>-8.8285789805547771E-2</v>
      </c>
      <c r="AB94" s="15">
        <f>'Modelo de Schumacher-Hall'!beta0 + 'Modelo de Schumacher-Hall'!beta1*K94+ beta2*L94</f>
        <v>-7.2605076900663867E-2</v>
      </c>
      <c r="AD94" s="33">
        <f t="shared" si="10"/>
        <v>-1.5680712904883903E-2</v>
      </c>
      <c r="AE94" s="35">
        <f t="shared" si="11"/>
        <v>0.1776131010372243</v>
      </c>
      <c r="BD94" s="15">
        <f>EXP('Modelo de Schumacher-Hall'!beta0+'Modelo de Schumacher-Hall'!beta1*K94+beta2*L94)*$BB$3</f>
        <v>0.93354211345254878</v>
      </c>
      <c r="BF94" s="33">
        <f t="shared" si="12"/>
        <v>-1.8042914457915504E-2</v>
      </c>
      <c r="BG94" s="35">
        <f t="shared" si="13"/>
        <v>-1.9708279895525361E-2</v>
      </c>
    </row>
    <row r="95" spans="2:59" x14ac:dyDescent="0.25">
      <c r="B95" s="7">
        <v>93</v>
      </c>
      <c r="C95" s="8">
        <v>35.6</v>
      </c>
      <c r="D95" s="8">
        <v>26</v>
      </c>
      <c r="E95" s="9">
        <v>1.4183650862354442</v>
      </c>
      <c r="K95" s="14">
        <f t="shared" si="7"/>
        <v>3.572345637857985</v>
      </c>
      <c r="L95" s="14">
        <f t="shared" si="8"/>
        <v>3.2580965380214821</v>
      </c>
      <c r="M95" s="13">
        <f t="shared" si="9"/>
        <v>0.34950486058168079</v>
      </c>
      <c r="AB95" s="15">
        <f>'Modelo de Schumacher-Hall'!beta0 + 'Modelo de Schumacher-Hall'!beta1*K95+ beta2*L95</f>
        <v>0.35519212342092343</v>
      </c>
      <c r="AD95" s="33">
        <f t="shared" si="10"/>
        <v>-5.6872628392426461E-3</v>
      </c>
      <c r="AE95" s="35">
        <f t="shared" si="11"/>
        <v>-1.6272342621436901E-2</v>
      </c>
      <c r="BD95" s="15">
        <f>EXP('Modelo de Schumacher-Hall'!beta0+'Modelo de Schumacher-Hall'!beta1*K95+beta2*L95)*$BB$3</f>
        <v>1.4319368906668899</v>
      </c>
      <c r="BF95" s="33">
        <f t="shared" si="12"/>
        <v>-1.3571804431445678E-2</v>
      </c>
      <c r="BG95" s="35">
        <f t="shared" si="13"/>
        <v>-9.5686255697870447E-3</v>
      </c>
    </row>
    <row r="96" spans="2:59" x14ac:dyDescent="0.25">
      <c r="B96" s="7">
        <v>94</v>
      </c>
      <c r="C96" s="8">
        <v>38.5</v>
      </c>
      <c r="D96" s="8">
        <v>27.099999999999998</v>
      </c>
      <c r="E96" s="9">
        <v>1.7651692037265589</v>
      </c>
      <c r="K96" s="14">
        <f t="shared" si="7"/>
        <v>3.6506582412937387</v>
      </c>
      <c r="L96" s="14">
        <f t="shared" si="8"/>
        <v>3.2995337278856551</v>
      </c>
      <c r="M96" s="13">
        <f t="shared" si="9"/>
        <v>0.56824655192442364</v>
      </c>
      <c r="AB96" s="15">
        <f>'Modelo de Schumacher-Hall'!beta0 + 'Modelo de Schumacher-Hall'!beta1*K96+ beta2*L96</f>
        <v>0.52775387738876245</v>
      </c>
      <c r="AD96" s="33">
        <f t="shared" si="10"/>
        <v>4.0492674535661188E-2</v>
      </c>
      <c r="AE96" s="35">
        <f t="shared" si="11"/>
        <v>7.1258988547363303E-2</v>
      </c>
      <c r="BD96" s="15">
        <f>EXP('Modelo de Schumacher-Hall'!beta0+'Modelo de Schumacher-Hall'!beta1*K96+beta2*L96)*$BB$3</f>
        <v>1.7016353355677261</v>
      </c>
      <c r="BF96" s="33">
        <f t="shared" si="12"/>
        <v>6.3533868158832885E-2</v>
      </c>
      <c r="BG96" s="35">
        <f t="shared" si="13"/>
        <v>3.5993075352041361E-2</v>
      </c>
    </row>
    <row r="97" spans="2:59" x14ac:dyDescent="0.25">
      <c r="B97" s="7">
        <v>95</v>
      </c>
      <c r="C97" s="8">
        <v>26.5</v>
      </c>
      <c r="D97" s="8">
        <v>23.5</v>
      </c>
      <c r="E97" s="9">
        <v>0.80150179717014747</v>
      </c>
      <c r="K97" s="14">
        <f t="shared" si="7"/>
        <v>3.2771447329921766</v>
      </c>
      <c r="L97" s="14">
        <f t="shared" si="8"/>
        <v>3.1570004211501135</v>
      </c>
      <c r="M97" s="13">
        <f t="shared" si="9"/>
        <v>-0.22126806467659352</v>
      </c>
      <c r="AB97" s="15">
        <f>'Modelo de Schumacher-Hall'!beta0 + 'Modelo de Schumacher-Hall'!beta1*K97+ beta2*L97</f>
        <v>-0.27571757861857882</v>
      </c>
      <c r="AD97" s="33">
        <f t="shared" si="10"/>
        <v>5.44495139419853E-2</v>
      </c>
      <c r="AE97" s="35">
        <f t="shared" si="11"/>
        <v>-0.24607940608857845</v>
      </c>
      <c r="BD97" s="15">
        <f>EXP('Modelo de Schumacher-Hall'!beta0+'Modelo de Schumacher-Hall'!beta1*K97+beta2*L97)*$BB$3</f>
        <v>0.76194438979097912</v>
      </c>
      <c r="BF97" s="33">
        <f t="shared" si="12"/>
        <v>3.9557407379168352E-2</v>
      </c>
      <c r="BG97" s="35">
        <f t="shared" si="13"/>
        <v>4.9354109396676595E-2</v>
      </c>
    </row>
    <row r="98" spans="2:59" x14ac:dyDescent="0.25">
      <c r="B98" s="7">
        <v>96</v>
      </c>
      <c r="C98" s="8">
        <v>29.5</v>
      </c>
      <c r="D98" s="8">
        <v>25.75</v>
      </c>
      <c r="E98" s="9">
        <v>0.98261533359791564</v>
      </c>
      <c r="K98" s="14">
        <f t="shared" si="7"/>
        <v>3.3843902633457743</v>
      </c>
      <c r="L98" s="14">
        <f t="shared" si="8"/>
        <v>3.2484346271097451</v>
      </c>
      <c r="M98" s="13">
        <f t="shared" si="9"/>
        <v>-1.7537554242220255E-2</v>
      </c>
      <c r="AB98" s="15">
        <f>'Modelo de Schumacher-Hall'!beta0 + 'Modelo de Schumacher-Hall'!beta1*K98+ beta2*L98</f>
        <v>-2.7085459079757568E-2</v>
      </c>
      <c r="AD98" s="33">
        <f t="shared" si="10"/>
        <v>9.5479048375373132E-3</v>
      </c>
      <c r="AE98" s="35">
        <f t="shared" si="11"/>
        <v>-0.54442624699352316</v>
      </c>
      <c r="BD98" s="15">
        <f>EXP('Modelo de Schumacher-Hall'!beta0+'Modelo de Schumacher-Hall'!beta1*K98+beta2*L98)*$BB$3</f>
        <v>0.97701860347117286</v>
      </c>
      <c r="BF98" s="33">
        <f t="shared" si="12"/>
        <v>5.5967301267427771E-3</v>
      </c>
      <c r="BG98" s="35">
        <f t="shared" si="13"/>
        <v>5.6957488198865706E-3</v>
      </c>
    </row>
    <row r="99" spans="2:59" x14ac:dyDescent="0.25">
      <c r="B99" s="7">
        <v>97</v>
      </c>
      <c r="C99" s="8">
        <v>28.5</v>
      </c>
      <c r="D99" s="8">
        <v>25.700000000000003</v>
      </c>
      <c r="E99" s="9">
        <v>0.94511399810235086</v>
      </c>
      <c r="K99" s="14">
        <f t="shared" si="7"/>
        <v>3.3499040872746049</v>
      </c>
      <c r="L99" s="14">
        <f t="shared" si="8"/>
        <v>3.2464909919011742</v>
      </c>
      <c r="M99" s="13">
        <f t="shared" si="9"/>
        <v>-5.6449725851418386E-2</v>
      </c>
      <c r="AB99" s="15">
        <f>'Modelo de Schumacher-Hall'!beta0 + 'Modelo de Schumacher-Hall'!beta1*K99+ beta2*L99</f>
        <v>-9.7286670110546369E-2</v>
      </c>
      <c r="AD99" s="33">
        <f t="shared" si="10"/>
        <v>4.0836944259127983E-2</v>
      </c>
      <c r="AE99" s="35">
        <f t="shared" si="11"/>
        <v>-0.72342148067494805</v>
      </c>
      <c r="BD99" s="15">
        <f>EXP('Modelo de Schumacher-Hall'!beta0+'Modelo de Schumacher-Hall'!beta1*K99+beta2*L99)*$BB$3</f>
        <v>0.91078282981949077</v>
      </c>
      <c r="BF99" s="33">
        <f t="shared" si="12"/>
        <v>3.4331168282860092E-2</v>
      </c>
      <c r="BG99" s="35">
        <f t="shared" si="13"/>
        <v>3.6324896628123167E-2</v>
      </c>
    </row>
    <row r="100" spans="2:59" x14ac:dyDescent="0.25">
      <c r="B100" s="7">
        <v>98</v>
      </c>
      <c r="C100" s="8">
        <v>39.1</v>
      </c>
      <c r="D100" s="8">
        <v>27.9</v>
      </c>
      <c r="E100" s="9">
        <v>1.8309820093475906</v>
      </c>
      <c r="K100" s="14">
        <f t="shared" si="7"/>
        <v>3.6661224669913199</v>
      </c>
      <c r="L100" s="14">
        <f t="shared" si="8"/>
        <v>3.3286266888273199</v>
      </c>
      <c r="M100" s="13">
        <f t="shared" si="9"/>
        <v>0.60485244005567551</v>
      </c>
      <c r="AB100" s="15">
        <f>'Modelo de Schumacher-Hall'!beta0 + 'Modelo de Schumacher-Hall'!beta1*K100+ beta2*L100</f>
        <v>0.56925399628927886</v>
      </c>
      <c r="AD100" s="33">
        <f t="shared" si="10"/>
        <v>3.5598443766396648E-2</v>
      </c>
      <c r="AE100" s="35">
        <f t="shared" si="11"/>
        <v>5.8854757638276002E-2</v>
      </c>
      <c r="BD100" s="15">
        <f>EXP('Modelo de Schumacher-Hall'!beta0+'Modelo de Schumacher-Hall'!beta1*K100+beta2*L100)*$BB$3</f>
        <v>1.7737392159524199</v>
      </c>
      <c r="BF100" s="33">
        <f t="shared" si="12"/>
        <v>5.7242793395170688E-2</v>
      </c>
      <c r="BG100" s="35">
        <f t="shared" si="13"/>
        <v>3.126343847341638E-2</v>
      </c>
    </row>
    <row r="101" spans="2:59" x14ac:dyDescent="0.25">
      <c r="B101" s="7">
        <v>99</v>
      </c>
      <c r="C101" s="8">
        <v>37.5</v>
      </c>
      <c r="D101" s="8">
        <v>24.200000000000003</v>
      </c>
      <c r="E101" s="9">
        <v>1.6166850732670459</v>
      </c>
      <c r="K101" s="14">
        <f t="shared" si="7"/>
        <v>3.6243409329763652</v>
      </c>
      <c r="L101" s="14">
        <f t="shared" si="8"/>
        <v>3.1863526331626408</v>
      </c>
      <c r="M101" s="13">
        <f t="shared" si="9"/>
        <v>0.4803778017424753</v>
      </c>
      <c r="AB101" s="15">
        <f>'Modelo de Schumacher-Hall'!beta0 + 'Modelo de Schumacher-Hall'!beta1*K101+ beta2*L101</f>
        <v>0.4345207207165358</v>
      </c>
      <c r="AD101" s="33">
        <f t="shared" si="10"/>
        <v>4.5857081025939495E-2</v>
      </c>
      <c r="AE101" s="35">
        <f t="shared" si="11"/>
        <v>9.5460449795144606E-2</v>
      </c>
      <c r="BD101" s="15">
        <f>EXP('Modelo de Schumacher-Hall'!beta0+'Modelo de Schumacher-Hall'!beta1*K101+beta2*L101)*$BB$3</f>
        <v>1.5501575859212595</v>
      </c>
      <c r="BF101" s="33">
        <f t="shared" si="12"/>
        <v>6.6527487345786396E-2</v>
      </c>
      <c r="BG101" s="35">
        <f t="shared" si="13"/>
        <v>4.1150554579777031E-2</v>
      </c>
    </row>
    <row r="102" spans="2:59" x14ac:dyDescent="0.25">
      <c r="B102" s="7">
        <v>100</v>
      </c>
      <c r="C102" s="8">
        <v>35.5</v>
      </c>
      <c r="D102" s="8">
        <v>27.65</v>
      </c>
      <c r="E102" s="9">
        <v>1.3835696306723551</v>
      </c>
      <c r="K102" s="14">
        <f t="shared" si="7"/>
        <v>3.5695326964813701</v>
      </c>
      <c r="L102" s="14">
        <f t="shared" si="8"/>
        <v>3.3196257279683437</v>
      </c>
      <c r="M102" s="13">
        <f t="shared" si="9"/>
        <v>0.32466684834038395</v>
      </c>
      <c r="AB102" s="15">
        <f>'Modelo de Schumacher-Hall'!beta0 + 'Modelo de Schumacher-Hall'!beta1*K102+ beta2*L102</f>
        <v>0.37136958207116511</v>
      </c>
      <c r="AD102" s="33">
        <f t="shared" si="10"/>
        <v>-4.6702733730781154E-2</v>
      </c>
      <c r="AE102" s="35">
        <f t="shared" si="11"/>
        <v>-0.14384817535117581</v>
      </c>
      <c r="BD102" s="15">
        <f>EXP('Modelo de Schumacher-Hall'!beta0+'Modelo de Schumacher-Hall'!beta1*K102+beta2*L102)*$BB$3</f>
        <v>1.4552903812512685</v>
      </c>
      <c r="BF102" s="33">
        <f t="shared" si="12"/>
        <v>-7.1720750578913472E-2</v>
      </c>
      <c r="BG102" s="35">
        <f t="shared" si="13"/>
        <v>-5.1837470980091033E-2</v>
      </c>
    </row>
  </sheetData>
  <mergeCells count="3">
    <mergeCell ref="G2:I3"/>
    <mergeCell ref="G6:I7"/>
    <mergeCell ref="AL2:AR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C4B5-D749-4E58-8075-D595C08EB6D0}">
  <dimension ref="D3:F9"/>
  <sheetViews>
    <sheetView showGridLines="0" workbookViewId="0">
      <selection activeCell="I15" sqref="I15"/>
    </sheetView>
  </sheetViews>
  <sheetFormatPr defaultRowHeight="15" x14ac:dyDescent="0.25"/>
  <cols>
    <col min="4" max="4" width="19.42578125" customWidth="1"/>
  </cols>
  <sheetData>
    <row r="3" spans="4:6" x14ac:dyDescent="0.25">
      <c r="D3" s="41" t="s">
        <v>57</v>
      </c>
      <c r="E3" s="41" t="s">
        <v>38</v>
      </c>
      <c r="F3" s="41" t="s">
        <v>34</v>
      </c>
    </row>
    <row r="4" spans="4:6" x14ac:dyDescent="0.25">
      <c r="D4" s="28" t="s">
        <v>58</v>
      </c>
      <c r="E4" s="39">
        <f>'Modelo de Spurr'!AI3</f>
        <v>0.89574583802473007</v>
      </c>
      <c r="F4" s="39">
        <f>'Modelo de Spurr'!AF3</f>
        <v>0.11676693946488491</v>
      </c>
    </row>
    <row r="5" spans="4:6" x14ac:dyDescent="0.25">
      <c r="D5" s="38" t="s">
        <v>59</v>
      </c>
      <c r="E5" s="40">
        <f>'Modelo de Schumacher-Hall'!BL3</f>
        <v>0.91280651095345278</v>
      </c>
      <c r="F5" s="40">
        <f>'Modelo de Schumacher-Hall'!BI3</f>
        <v>0.10678622266731558</v>
      </c>
    </row>
    <row r="8" spans="4:6" x14ac:dyDescent="0.25">
      <c r="D8" s="42" t="s">
        <v>60</v>
      </c>
      <c r="E8" s="42"/>
      <c r="F8" s="42"/>
    </row>
    <row r="9" spans="4:6" x14ac:dyDescent="0.25">
      <c r="D9" s="42"/>
      <c r="E9" s="42"/>
      <c r="F9" s="42"/>
    </row>
  </sheetData>
  <mergeCells count="1">
    <mergeCell ref="D8:F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Base de Dados</vt:lpstr>
      <vt:lpstr>Modelo de Spurr</vt:lpstr>
      <vt:lpstr>Modelo de Schumacher-Hall</vt:lpstr>
      <vt:lpstr>Comparando os Modelos</vt:lpstr>
      <vt:lpstr>'Modelo de Schumacher-Hall'!beta0</vt:lpstr>
      <vt:lpstr>beta0</vt:lpstr>
      <vt:lpstr>'Modelo de Schumacher-Hall'!beta1</vt:lpstr>
      <vt:lpstr>beta1</vt:lpstr>
      <vt:lpstr>beta2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2026-04-30T19:36:11Z</dcterms:created>
  <dcterms:modified xsi:type="dcterms:W3CDTF">2026-05-14T12:42:36Z</dcterms:modified>
</cp:coreProperties>
</file>