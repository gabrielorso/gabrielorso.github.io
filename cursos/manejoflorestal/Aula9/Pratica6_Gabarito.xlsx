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SM/Manejo Florestal/manejo_quarto/Aula 9/"/>
    </mc:Choice>
  </mc:AlternateContent>
  <xr:revisionPtr revIDLastSave="705" documentId="8_{50EDB737-B514-4450-BC91-730BBF19F99C}" xr6:coauthVersionLast="47" xr6:coauthVersionMax="47" xr10:uidLastSave="{43B53C87-C9C8-42D6-8672-56BB28F9C785}"/>
  <bookViews>
    <workbookView xWindow="2175" yWindow="3345" windowWidth="21600" windowHeight="11235" activeTab="1" xr2:uid="{EA16FAB6-A93B-439F-A853-62603BD192D6}"/>
  </bookViews>
  <sheets>
    <sheet name="Ref" sheetId="4" r:id="rId1"/>
    <sheet name="Planilha6" sheetId="7" r:id="rId2"/>
  </sheets>
  <definedNames>
    <definedName name="_xlnm._FilterDatabase" localSheetId="1" hidden="1">Planilha6!$B$2:$AA$1850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G3" i="7"/>
  <c r="H3" i="7"/>
  <c r="F4" i="7"/>
  <c r="G4" i="7"/>
  <c r="H4" i="7"/>
  <c r="F5" i="7"/>
  <c r="G5" i="7"/>
  <c r="H5" i="7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F54" i="7"/>
  <c r="G54" i="7"/>
  <c r="H54" i="7"/>
  <c r="F55" i="7"/>
  <c r="G55" i="7"/>
  <c r="H55" i="7"/>
  <c r="F56" i="7"/>
  <c r="G56" i="7"/>
  <c r="H56" i="7"/>
  <c r="F57" i="7"/>
  <c r="G57" i="7"/>
  <c r="H57" i="7"/>
  <c r="F58" i="7"/>
  <c r="G58" i="7"/>
  <c r="H58" i="7"/>
  <c r="F59" i="7"/>
  <c r="G59" i="7"/>
  <c r="H59" i="7"/>
  <c r="F60" i="7"/>
  <c r="G60" i="7"/>
  <c r="H60" i="7"/>
  <c r="F61" i="7"/>
  <c r="G61" i="7"/>
  <c r="H61" i="7"/>
  <c r="F62" i="7"/>
  <c r="G62" i="7"/>
  <c r="H62" i="7"/>
  <c r="F63" i="7"/>
  <c r="G63" i="7"/>
  <c r="H63" i="7"/>
  <c r="F64" i="7"/>
  <c r="G64" i="7"/>
  <c r="H64" i="7"/>
  <c r="F65" i="7"/>
  <c r="G65" i="7"/>
  <c r="H65" i="7"/>
  <c r="F66" i="7"/>
  <c r="G66" i="7"/>
  <c r="H66" i="7"/>
  <c r="F67" i="7"/>
  <c r="G67" i="7"/>
  <c r="H67" i="7"/>
  <c r="F68" i="7"/>
  <c r="G68" i="7"/>
  <c r="H68" i="7"/>
  <c r="F69" i="7"/>
  <c r="G69" i="7"/>
  <c r="H69" i="7"/>
  <c r="F70" i="7"/>
  <c r="G70" i="7"/>
  <c r="H70" i="7"/>
  <c r="F71" i="7"/>
  <c r="G71" i="7"/>
  <c r="H71" i="7"/>
  <c r="F72" i="7"/>
  <c r="G72" i="7"/>
  <c r="H72" i="7"/>
  <c r="F73" i="7"/>
  <c r="G73" i="7"/>
  <c r="H73" i="7"/>
  <c r="F74" i="7"/>
  <c r="G74" i="7"/>
  <c r="H74" i="7"/>
  <c r="F75" i="7"/>
  <c r="G75" i="7"/>
  <c r="H75" i="7"/>
  <c r="F76" i="7"/>
  <c r="G76" i="7"/>
  <c r="H76" i="7"/>
  <c r="F77" i="7"/>
  <c r="G77" i="7"/>
  <c r="H77" i="7"/>
  <c r="F78" i="7"/>
  <c r="G78" i="7"/>
  <c r="H78" i="7"/>
  <c r="F79" i="7"/>
  <c r="G79" i="7"/>
  <c r="H79" i="7"/>
  <c r="F80" i="7"/>
  <c r="G80" i="7"/>
  <c r="H80" i="7"/>
  <c r="F81" i="7"/>
  <c r="G81" i="7"/>
  <c r="H81" i="7"/>
  <c r="F82" i="7"/>
  <c r="G82" i="7"/>
  <c r="H82" i="7"/>
  <c r="F83" i="7"/>
  <c r="G83" i="7"/>
  <c r="H83" i="7"/>
  <c r="F84" i="7"/>
  <c r="G84" i="7"/>
  <c r="H84" i="7"/>
  <c r="F85" i="7"/>
  <c r="G85" i="7"/>
  <c r="H85" i="7"/>
  <c r="F86" i="7"/>
  <c r="G86" i="7"/>
  <c r="H86" i="7"/>
  <c r="F87" i="7"/>
  <c r="G87" i="7"/>
  <c r="H87" i="7"/>
  <c r="F88" i="7"/>
  <c r="G88" i="7"/>
  <c r="H88" i="7"/>
  <c r="F89" i="7"/>
  <c r="G89" i="7"/>
  <c r="H89" i="7"/>
  <c r="F90" i="7"/>
  <c r="G90" i="7"/>
  <c r="H90" i="7"/>
  <c r="F91" i="7"/>
  <c r="G91" i="7"/>
  <c r="H91" i="7"/>
  <c r="F92" i="7"/>
  <c r="G92" i="7"/>
  <c r="H92" i="7"/>
  <c r="F93" i="7"/>
  <c r="G93" i="7"/>
  <c r="H93" i="7"/>
  <c r="F94" i="7"/>
  <c r="G94" i="7"/>
  <c r="H94" i="7"/>
  <c r="F95" i="7"/>
  <c r="G95" i="7"/>
  <c r="H95" i="7"/>
  <c r="F96" i="7"/>
  <c r="G96" i="7"/>
  <c r="H96" i="7"/>
  <c r="F97" i="7"/>
  <c r="G97" i="7"/>
  <c r="H97" i="7"/>
  <c r="F98" i="7"/>
  <c r="G98" i="7"/>
  <c r="H98" i="7"/>
  <c r="F99" i="7"/>
  <c r="G99" i="7"/>
  <c r="H99" i="7"/>
  <c r="F100" i="7"/>
  <c r="G100" i="7"/>
  <c r="H100" i="7"/>
  <c r="F101" i="7"/>
  <c r="G101" i="7"/>
  <c r="H101" i="7"/>
  <c r="F102" i="7"/>
  <c r="G102" i="7"/>
  <c r="H102" i="7"/>
  <c r="F103" i="7"/>
  <c r="G103" i="7"/>
  <c r="H103" i="7"/>
  <c r="F104" i="7"/>
  <c r="G104" i="7"/>
  <c r="H104" i="7"/>
  <c r="F105" i="7"/>
  <c r="G105" i="7"/>
  <c r="H105" i="7"/>
  <c r="F106" i="7"/>
  <c r="G106" i="7"/>
  <c r="H106" i="7"/>
  <c r="F107" i="7"/>
  <c r="G107" i="7"/>
  <c r="H107" i="7"/>
  <c r="F108" i="7"/>
  <c r="G108" i="7"/>
  <c r="H108" i="7"/>
  <c r="F109" i="7"/>
  <c r="G109" i="7"/>
  <c r="H109" i="7"/>
  <c r="F110" i="7"/>
  <c r="G110" i="7"/>
  <c r="H110" i="7"/>
  <c r="F111" i="7"/>
  <c r="G111" i="7"/>
  <c r="H111" i="7"/>
  <c r="F112" i="7"/>
  <c r="G112" i="7"/>
  <c r="H112" i="7"/>
  <c r="F113" i="7"/>
  <c r="G113" i="7"/>
  <c r="H113" i="7"/>
  <c r="F114" i="7"/>
  <c r="G114" i="7"/>
  <c r="H114" i="7"/>
  <c r="F115" i="7"/>
  <c r="G115" i="7"/>
  <c r="H115" i="7"/>
  <c r="F116" i="7"/>
  <c r="G116" i="7"/>
  <c r="H116" i="7"/>
  <c r="F117" i="7"/>
  <c r="G117" i="7"/>
  <c r="H117" i="7"/>
  <c r="F118" i="7"/>
  <c r="G118" i="7"/>
  <c r="H118" i="7"/>
  <c r="F119" i="7"/>
  <c r="G119" i="7"/>
  <c r="H119" i="7"/>
  <c r="F120" i="7"/>
  <c r="G120" i="7"/>
  <c r="H120" i="7"/>
  <c r="F121" i="7"/>
  <c r="G121" i="7"/>
  <c r="H121" i="7"/>
  <c r="F122" i="7"/>
  <c r="G122" i="7"/>
  <c r="H122" i="7"/>
  <c r="F123" i="7"/>
  <c r="G123" i="7"/>
  <c r="H123" i="7"/>
  <c r="F124" i="7"/>
  <c r="G124" i="7"/>
  <c r="H124" i="7"/>
  <c r="F125" i="7"/>
  <c r="G125" i="7"/>
  <c r="H125" i="7"/>
  <c r="F126" i="7"/>
  <c r="G126" i="7"/>
  <c r="H126" i="7"/>
  <c r="F127" i="7"/>
  <c r="G127" i="7"/>
  <c r="H127" i="7"/>
  <c r="F128" i="7"/>
  <c r="G128" i="7"/>
  <c r="H128" i="7"/>
  <c r="F129" i="7"/>
  <c r="G129" i="7"/>
  <c r="H129" i="7"/>
  <c r="F130" i="7"/>
  <c r="G130" i="7"/>
  <c r="H130" i="7"/>
  <c r="F131" i="7"/>
  <c r="G131" i="7"/>
  <c r="H131" i="7"/>
  <c r="F132" i="7"/>
  <c r="G132" i="7"/>
  <c r="H132" i="7"/>
  <c r="F133" i="7"/>
  <c r="G133" i="7"/>
  <c r="H133" i="7"/>
  <c r="F134" i="7"/>
  <c r="G134" i="7"/>
  <c r="H134" i="7"/>
  <c r="F135" i="7"/>
  <c r="G135" i="7"/>
  <c r="H135" i="7"/>
  <c r="F136" i="7"/>
  <c r="G136" i="7"/>
  <c r="H136" i="7"/>
  <c r="F137" i="7"/>
  <c r="G137" i="7"/>
  <c r="H137" i="7"/>
  <c r="F138" i="7"/>
  <c r="G138" i="7"/>
  <c r="H138" i="7"/>
  <c r="F139" i="7"/>
  <c r="G139" i="7"/>
  <c r="H139" i="7"/>
  <c r="F140" i="7"/>
  <c r="G140" i="7"/>
  <c r="H140" i="7"/>
  <c r="F141" i="7"/>
  <c r="G141" i="7"/>
  <c r="H141" i="7"/>
  <c r="F142" i="7"/>
  <c r="G142" i="7"/>
  <c r="H142" i="7"/>
  <c r="F143" i="7"/>
  <c r="G143" i="7"/>
  <c r="H143" i="7"/>
  <c r="F144" i="7"/>
  <c r="G144" i="7"/>
  <c r="H144" i="7"/>
  <c r="F145" i="7"/>
  <c r="G145" i="7"/>
  <c r="H145" i="7"/>
  <c r="F146" i="7"/>
  <c r="G146" i="7"/>
  <c r="H146" i="7"/>
  <c r="F147" i="7"/>
  <c r="G147" i="7"/>
  <c r="H147" i="7"/>
  <c r="F148" i="7"/>
  <c r="G148" i="7"/>
  <c r="H148" i="7"/>
  <c r="F149" i="7"/>
  <c r="G149" i="7"/>
  <c r="H149" i="7"/>
  <c r="F150" i="7"/>
  <c r="G150" i="7"/>
  <c r="H150" i="7"/>
  <c r="F151" i="7"/>
  <c r="G151" i="7"/>
  <c r="H151" i="7"/>
  <c r="F152" i="7"/>
  <c r="G152" i="7"/>
  <c r="H152" i="7"/>
  <c r="F153" i="7"/>
  <c r="G153" i="7"/>
  <c r="H153" i="7"/>
  <c r="F154" i="7"/>
  <c r="G154" i="7"/>
  <c r="H154" i="7"/>
  <c r="F155" i="7"/>
  <c r="G155" i="7"/>
  <c r="H155" i="7"/>
  <c r="F156" i="7"/>
  <c r="G156" i="7"/>
  <c r="H156" i="7"/>
  <c r="F157" i="7"/>
  <c r="G157" i="7"/>
  <c r="H157" i="7"/>
  <c r="F158" i="7"/>
  <c r="G158" i="7"/>
  <c r="H158" i="7"/>
  <c r="F159" i="7"/>
  <c r="G159" i="7"/>
  <c r="H159" i="7"/>
  <c r="F160" i="7"/>
  <c r="G160" i="7"/>
  <c r="H160" i="7"/>
  <c r="F161" i="7"/>
  <c r="G161" i="7"/>
  <c r="H161" i="7"/>
  <c r="F162" i="7"/>
  <c r="G162" i="7"/>
  <c r="H162" i="7"/>
  <c r="F163" i="7"/>
  <c r="G163" i="7"/>
  <c r="H163" i="7"/>
  <c r="F164" i="7"/>
  <c r="G164" i="7"/>
  <c r="H164" i="7"/>
  <c r="F165" i="7"/>
  <c r="G165" i="7"/>
  <c r="H165" i="7"/>
  <c r="F166" i="7"/>
  <c r="G166" i="7"/>
  <c r="H166" i="7"/>
  <c r="F167" i="7"/>
  <c r="G167" i="7"/>
  <c r="H167" i="7"/>
  <c r="F168" i="7"/>
  <c r="G168" i="7"/>
  <c r="H168" i="7"/>
  <c r="F169" i="7"/>
  <c r="G169" i="7"/>
  <c r="H169" i="7"/>
  <c r="F170" i="7"/>
  <c r="G170" i="7"/>
  <c r="H170" i="7"/>
  <c r="F171" i="7"/>
  <c r="G171" i="7"/>
  <c r="H171" i="7"/>
  <c r="F172" i="7"/>
  <c r="G172" i="7"/>
  <c r="H172" i="7"/>
  <c r="F173" i="7"/>
  <c r="G173" i="7"/>
  <c r="H173" i="7"/>
  <c r="F174" i="7"/>
  <c r="G174" i="7"/>
  <c r="H174" i="7"/>
  <c r="F175" i="7"/>
  <c r="G175" i="7"/>
  <c r="H175" i="7"/>
  <c r="F176" i="7"/>
  <c r="G176" i="7"/>
  <c r="H176" i="7"/>
  <c r="F177" i="7"/>
  <c r="G177" i="7"/>
  <c r="H177" i="7"/>
  <c r="F178" i="7"/>
  <c r="G178" i="7"/>
  <c r="H178" i="7"/>
  <c r="F179" i="7"/>
  <c r="G179" i="7"/>
  <c r="H179" i="7"/>
  <c r="F180" i="7"/>
  <c r="G180" i="7"/>
  <c r="H180" i="7"/>
  <c r="F181" i="7"/>
  <c r="G181" i="7"/>
  <c r="H181" i="7"/>
  <c r="F182" i="7"/>
  <c r="G182" i="7"/>
  <c r="H182" i="7"/>
  <c r="F183" i="7"/>
  <c r="G183" i="7"/>
  <c r="H183" i="7"/>
  <c r="F184" i="7"/>
  <c r="G184" i="7"/>
  <c r="H184" i="7"/>
  <c r="F185" i="7"/>
  <c r="G185" i="7"/>
  <c r="H185" i="7"/>
  <c r="F186" i="7"/>
  <c r="G186" i="7"/>
  <c r="H186" i="7"/>
  <c r="F187" i="7"/>
  <c r="G187" i="7"/>
  <c r="H187" i="7"/>
  <c r="F188" i="7"/>
  <c r="G188" i="7"/>
  <c r="H188" i="7"/>
  <c r="F189" i="7"/>
  <c r="G189" i="7"/>
  <c r="H189" i="7"/>
  <c r="F190" i="7"/>
  <c r="G190" i="7"/>
  <c r="H190" i="7"/>
  <c r="F191" i="7"/>
  <c r="G191" i="7"/>
  <c r="H191" i="7"/>
  <c r="F192" i="7"/>
  <c r="G192" i="7"/>
  <c r="H192" i="7"/>
  <c r="F193" i="7"/>
  <c r="G193" i="7"/>
  <c r="H193" i="7"/>
  <c r="F194" i="7"/>
  <c r="G194" i="7"/>
  <c r="H194" i="7"/>
  <c r="F195" i="7"/>
  <c r="G195" i="7"/>
  <c r="H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H206" i="7"/>
  <c r="F207" i="7"/>
  <c r="G207" i="7"/>
  <c r="H207" i="7"/>
  <c r="F208" i="7"/>
  <c r="G208" i="7"/>
  <c r="H208" i="7"/>
  <c r="F209" i="7"/>
  <c r="G209" i="7"/>
  <c r="H209" i="7"/>
  <c r="F210" i="7"/>
  <c r="G210" i="7"/>
  <c r="H210" i="7"/>
  <c r="F211" i="7"/>
  <c r="G211" i="7"/>
  <c r="H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H222" i="7"/>
  <c r="F223" i="7"/>
  <c r="G223" i="7"/>
  <c r="H223" i="7"/>
  <c r="F224" i="7"/>
  <c r="G224" i="7"/>
  <c r="H224" i="7"/>
  <c r="F225" i="7"/>
  <c r="G225" i="7"/>
  <c r="H225" i="7"/>
  <c r="F226" i="7"/>
  <c r="G226" i="7"/>
  <c r="H226" i="7"/>
  <c r="F227" i="7"/>
  <c r="G227" i="7"/>
  <c r="H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H238" i="7"/>
  <c r="F239" i="7"/>
  <c r="G239" i="7"/>
  <c r="H239" i="7"/>
  <c r="F240" i="7"/>
  <c r="G240" i="7"/>
  <c r="H240" i="7"/>
  <c r="F241" i="7"/>
  <c r="G241" i="7"/>
  <c r="H241" i="7"/>
  <c r="F242" i="7"/>
  <c r="G242" i="7"/>
  <c r="H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H254" i="7"/>
  <c r="F255" i="7"/>
  <c r="G255" i="7"/>
  <c r="H255" i="7"/>
  <c r="F256" i="7"/>
  <c r="G256" i="7"/>
  <c r="H256" i="7"/>
  <c r="F257" i="7"/>
  <c r="G257" i="7"/>
  <c r="H257" i="7"/>
  <c r="F258" i="7"/>
  <c r="G258" i="7"/>
  <c r="H258" i="7"/>
  <c r="F259" i="7"/>
  <c r="G259" i="7"/>
  <c r="H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F264" i="7"/>
  <c r="G264" i="7"/>
  <c r="H264" i="7"/>
  <c r="F265" i="7"/>
  <c r="G265" i="7"/>
  <c r="H265" i="7"/>
  <c r="F266" i="7"/>
  <c r="G266" i="7"/>
  <c r="H266" i="7"/>
  <c r="F267" i="7"/>
  <c r="G267" i="7"/>
  <c r="H267" i="7"/>
  <c r="F268" i="7"/>
  <c r="G268" i="7"/>
  <c r="H268" i="7"/>
  <c r="F269" i="7"/>
  <c r="G269" i="7"/>
  <c r="H269" i="7"/>
  <c r="F270" i="7"/>
  <c r="G270" i="7"/>
  <c r="H270" i="7"/>
  <c r="F271" i="7"/>
  <c r="G271" i="7"/>
  <c r="H271" i="7"/>
  <c r="F272" i="7"/>
  <c r="G272" i="7"/>
  <c r="H272" i="7"/>
  <c r="F273" i="7"/>
  <c r="G273" i="7"/>
  <c r="H273" i="7"/>
  <c r="F274" i="7"/>
  <c r="G274" i="7"/>
  <c r="H274" i="7"/>
  <c r="F275" i="7"/>
  <c r="G275" i="7"/>
  <c r="H275" i="7"/>
  <c r="F276" i="7"/>
  <c r="G276" i="7"/>
  <c r="H276" i="7"/>
  <c r="F277" i="7"/>
  <c r="G277" i="7"/>
  <c r="H277" i="7"/>
  <c r="F278" i="7"/>
  <c r="G278" i="7"/>
  <c r="H278" i="7"/>
  <c r="F279" i="7"/>
  <c r="G279" i="7"/>
  <c r="H279" i="7"/>
  <c r="F280" i="7"/>
  <c r="G280" i="7"/>
  <c r="H280" i="7"/>
  <c r="F281" i="7"/>
  <c r="G281" i="7"/>
  <c r="H281" i="7"/>
  <c r="F282" i="7"/>
  <c r="G282" i="7"/>
  <c r="H282" i="7"/>
  <c r="F283" i="7"/>
  <c r="G283" i="7"/>
  <c r="H283" i="7"/>
  <c r="F284" i="7"/>
  <c r="G284" i="7"/>
  <c r="H284" i="7"/>
  <c r="F285" i="7"/>
  <c r="G285" i="7"/>
  <c r="H285" i="7"/>
  <c r="F286" i="7"/>
  <c r="G286" i="7"/>
  <c r="H286" i="7"/>
  <c r="F287" i="7"/>
  <c r="G287" i="7"/>
  <c r="H287" i="7"/>
  <c r="F288" i="7"/>
  <c r="G288" i="7"/>
  <c r="H288" i="7"/>
  <c r="F289" i="7"/>
  <c r="G289" i="7"/>
  <c r="H289" i="7"/>
  <c r="F290" i="7"/>
  <c r="G290" i="7"/>
  <c r="H290" i="7"/>
  <c r="F291" i="7"/>
  <c r="G291" i="7"/>
  <c r="H291" i="7"/>
  <c r="F292" i="7"/>
  <c r="G292" i="7"/>
  <c r="H292" i="7"/>
  <c r="F293" i="7"/>
  <c r="G293" i="7"/>
  <c r="H293" i="7"/>
  <c r="F294" i="7"/>
  <c r="G294" i="7"/>
  <c r="H294" i="7"/>
  <c r="F295" i="7"/>
  <c r="G295" i="7"/>
  <c r="H295" i="7"/>
  <c r="F296" i="7"/>
  <c r="G296" i="7"/>
  <c r="H296" i="7"/>
  <c r="F297" i="7"/>
  <c r="G297" i="7"/>
  <c r="H297" i="7"/>
  <c r="F298" i="7"/>
  <c r="G298" i="7"/>
  <c r="H298" i="7"/>
  <c r="F299" i="7"/>
  <c r="G299" i="7"/>
  <c r="H299" i="7"/>
  <c r="F300" i="7"/>
  <c r="G300" i="7"/>
  <c r="H300" i="7"/>
  <c r="F301" i="7"/>
  <c r="G301" i="7"/>
  <c r="H301" i="7"/>
  <c r="F302" i="7"/>
  <c r="G302" i="7"/>
  <c r="H302" i="7"/>
  <c r="F303" i="7"/>
  <c r="G303" i="7"/>
  <c r="H303" i="7"/>
  <c r="F304" i="7"/>
  <c r="G304" i="7"/>
  <c r="H304" i="7"/>
  <c r="F305" i="7"/>
  <c r="G305" i="7"/>
  <c r="H305" i="7"/>
  <c r="F306" i="7"/>
  <c r="G306" i="7"/>
  <c r="H306" i="7"/>
  <c r="F307" i="7"/>
  <c r="G307" i="7"/>
  <c r="H307" i="7"/>
  <c r="F308" i="7"/>
  <c r="G308" i="7"/>
  <c r="H308" i="7"/>
  <c r="F309" i="7"/>
  <c r="G309" i="7"/>
  <c r="H309" i="7"/>
  <c r="F310" i="7"/>
  <c r="G310" i="7"/>
  <c r="H310" i="7"/>
  <c r="F311" i="7"/>
  <c r="G311" i="7"/>
  <c r="H311" i="7"/>
  <c r="F312" i="7"/>
  <c r="G312" i="7"/>
  <c r="H312" i="7"/>
  <c r="F313" i="7"/>
  <c r="G313" i="7"/>
  <c r="H313" i="7"/>
  <c r="F314" i="7"/>
  <c r="G314" i="7"/>
  <c r="H314" i="7"/>
  <c r="F315" i="7"/>
  <c r="G315" i="7"/>
  <c r="H315" i="7"/>
  <c r="F316" i="7"/>
  <c r="G316" i="7"/>
  <c r="H316" i="7"/>
  <c r="F317" i="7"/>
  <c r="G317" i="7"/>
  <c r="H317" i="7"/>
  <c r="F318" i="7"/>
  <c r="G318" i="7"/>
  <c r="H318" i="7"/>
  <c r="F319" i="7"/>
  <c r="G319" i="7"/>
  <c r="H319" i="7"/>
  <c r="F320" i="7"/>
  <c r="G320" i="7"/>
  <c r="H320" i="7"/>
  <c r="F321" i="7"/>
  <c r="G321" i="7"/>
  <c r="H321" i="7"/>
  <c r="F322" i="7"/>
  <c r="G322" i="7"/>
  <c r="H322" i="7"/>
  <c r="F323" i="7"/>
  <c r="G323" i="7"/>
  <c r="H323" i="7"/>
  <c r="F324" i="7"/>
  <c r="G324" i="7"/>
  <c r="H324" i="7"/>
  <c r="F325" i="7"/>
  <c r="G325" i="7"/>
  <c r="H325" i="7"/>
  <c r="F326" i="7"/>
  <c r="G326" i="7"/>
  <c r="H326" i="7"/>
  <c r="F327" i="7"/>
  <c r="G327" i="7"/>
  <c r="H327" i="7"/>
  <c r="F328" i="7"/>
  <c r="G328" i="7"/>
  <c r="H328" i="7"/>
  <c r="F329" i="7"/>
  <c r="G329" i="7"/>
  <c r="H329" i="7"/>
  <c r="F330" i="7"/>
  <c r="G330" i="7"/>
  <c r="H330" i="7"/>
  <c r="F331" i="7"/>
  <c r="G331" i="7"/>
  <c r="H331" i="7"/>
  <c r="F332" i="7"/>
  <c r="G332" i="7"/>
  <c r="H332" i="7"/>
  <c r="F333" i="7"/>
  <c r="G333" i="7"/>
  <c r="H333" i="7"/>
  <c r="F334" i="7"/>
  <c r="G334" i="7"/>
  <c r="H334" i="7"/>
  <c r="F335" i="7"/>
  <c r="G335" i="7"/>
  <c r="H335" i="7"/>
  <c r="F336" i="7"/>
  <c r="G336" i="7"/>
  <c r="H336" i="7"/>
  <c r="F337" i="7"/>
  <c r="G337" i="7"/>
  <c r="H337" i="7"/>
  <c r="F338" i="7"/>
  <c r="G338" i="7"/>
  <c r="H338" i="7"/>
  <c r="F339" i="7"/>
  <c r="G339" i="7"/>
  <c r="H339" i="7"/>
  <c r="F340" i="7"/>
  <c r="G340" i="7"/>
  <c r="H340" i="7"/>
  <c r="F341" i="7"/>
  <c r="G341" i="7"/>
  <c r="H341" i="7"/>
  <c r="F342" i="7"/>
  <c r="G342" i="7"/>
  <c r="H342" i="7"/>
  <c r="F343" i="7"/>
  <c r="G343" i="7"/>
  <c r="H343" i="7"/>
  <c r="F344" i="7"/>
  <c r="G344" i="7"/>
  <c r="H344" i="7"/>
  <c r="F345" i="7"/>
  <c r="G345" i="7"/>
  <c r="H345" i="7"/>
  <c r="F346" i="7"/>
  <c r="G346" i="7"/>
  <c r="H346" i="7"/>
  <c r="F347" i="7"/>
  <c r="G347" i="7"/>
  <c r="H347" i="7"/>
  <c r="F348" i="7"/>
  <c r="G348" i="7"/>
  <c r="H348" i="7"/>
  <c r="F349" i="7"/>
  <c r="G349" i="7"/>
  <c r="H349" i="7"/>
  <c r="F350" i="7"/>
  <c r="G350" i="7"/>
  <c r="H350" i="7"/>
  <c r="F351" i="7"/>
  <c r="G351" i="7"/>
  <c r="H351" i="7"/>
  <c r="F352" i="7"/>
  <c r="G352" i="7"/>
  <c r="H352" i="7"/>
  <c r="F353" i="7"/>
  <c r="G353" i="7"/>
  <c r="H353" i="7"/>
  <c r="F354" i="7"/>
  <c r="G354" i="7"/>
  <c r="H354" i="7"/>
  <c r="F355" i="7"/>
  <c r="G355" i="7"/>
  <c r="H355" i="7"/>
  <c r="F356" i="7"/>
  <c r="G356" i="7"/>
  <c r="H356" i="7"/>
  <c r="F357" i="7"/>
  <c r="G357" i="7"/>
  <c r="H357" i="7"/>
  <c r="F358" i="7"/>
  <c r="G358" i="7"/>
  <c r="H358" i="7"/>
  <c r="F359" i="7"/>
  <c r="G359" i="7"/>
  <c r="H359" i="7"/>
  <c r="F360" i="7"/>
  <c r="G360" i="7"/>
  <c r="H360" i="7"/>
  <c r="F361" i="7"/>
  <c r="G361" i="7"/>
  <c r="H361" i="7"/>
  <c r="F362" i="7"/>
  <c r="G362" i="7"/>
  <c r="H362" i="7"/>
  <c r="F363" i="7"/>
  <c r="G363" i="7"/>
  <c r="H363" i="7"/>
  <c r="F364" i="7"/>
  <c r="G364" i="7"/>
  <c r="H364" i="7"/>
  <c r="F365" i="7"/>
  <c r="G365" i="7"/>
  <c r="H365" i="7"/>
  <c r="F366" i="7"/>
  <c r="G366" i="7"/>
  <c r="H366" i="7"/>
  <c r="F367" i="7"/>
  <c r="G367" i="7"/>
  <c r="H367" i="7"/>
  <c r="F368" i="7"/>
  <c r="G368" i="7"/>
  <c r="H368" i="7"/>
  <c r="F369" i="7"/>
  <c r="G369" i="7"/>
  <c r="H369" i="7"/>
  <c r="F370" i="7"/>
  <c r="G370" i="7"/>
  <c r="H370" i="7"/>
  <c r="F371" i="7"/>
  <c r="G371" i="7"/>
  <c r="H371" i="7"/>
  <c r="F372" i="7"/>
  <c r="G372" i="7"/>
  <c r="H372" i="7"/>
  <c r="F373" i="7"/>
  <c r="G373" i="7"/>
  <c r="H373" i="7"/>
  <c r="F374" i="7"/>
  <c r="G374" i="7"/>
  <c r="H374" i="7"/>
  <c r="F375" i="7"/>
  <c r="G375" i="7"/>
  <c r="H375" i="7"/>
  <c r="F376" i="7"/>
  <c r="G376" i="7"/>
  <c r="H376" i="7"/>
  <c r="F377" i="7"/>
  <c r="G377" i="7"/>
  <c r="H377" i="7"/>
  <c r="F378" i="7"/>
  <c r="G378" i="7"/>
  <c r="H378" i="7"/>
  <c r="F379" i="7"/>
  <c r="G379" i="7"/>
  <c r="H379" i="7"/>
  <c r="F380" i="7"/>
  <c r="G380" i="7"/>
  <c r="H380" i="7"/>
  <c r="F381" i="7"/>
  <c r="G381" i="7"/>
  <c r="H381" i="7"/>
  <c r="F382" i="7"/>
  <c r="G382" i="7"/>
  <c r="H382" i="7"/>
  <c r="F383" i="7"/>
  <c r="G383" i="7"/>
  <c r="H383" i="7"/>
  <c r="F384" i="7"/>
  <c r="G384" i="7"/>
  <c r="H384" i="7"/>
  <c r="F385" i="7"/>
  <c r="G385" i="7"/>
  <c r="H385" i="7"/>
  <c r="F386" i="7"/>
  <c r="G386" i="7"/>
  <c r="H386" i="7"/>
  <c r="F387" i="7"/>
  <c r="G387" i="7"/>
  <c r="H387" i="7"/>
  <c r="F388" i="7"/>
  <c r="G388" i="7"/>
  <c r="H388" i="7"/>
  <c r="F389" i="7"/>
  <c r="G389" i="7"/>
  <c r="H389" i="7"/>
  <c r="F390" i="7"/>
  <c r="G390" i="7"/>
  <c r="H390" i="7"/>
  <c r="F391" i="7"/>
  <c r="G391" i="7"/>
  <c r="H391" i="7"/>
  <c r="F392" i="7"/>
  <c r="G392" i="7"/>
  <c r="H392" i="7"/>
  <c r="F393" i="7"/>
  <c r="G393" i="7"/>
  <c r="H393" i="7"/>
  <c r="F394" i="7"/>
  <c r="G394" i="7"/>
  <c r="H394" i="7"/>
  <c r="F395" i="7"/>
  <c r="G395" i="7"/>
  <c r="H395" i="7"/>
  <c r="F396" i="7"/>
  <c r="G396" i="7"/>
  <c r="H396" i="7"/>
  <c r="F397" i="7"/>
  <c r="G397" i="7"/>
  <c r="H397" i="7"/>
  <c r="F398" i="7"/>
  <c r="G398" i="7"/>
  <c r="H398" i="7"/>
  <c r="F399" i="7"/>
  <c r="G399" i="7"/>
  <c r="H399" i="7"/>
  <c r="F400" i="7"/>
  <c r="G400" i="7"/>
  <c r="H400" i="7"/>
  <c r="F401" i="7"/>
  <c r="G401" i="7"/>
  <c r="H401" i="7"/>
  <c r="F402" i="7"/>
  <c r="G402" i="7"/>
  <c r="H402" i="7"/>
  <c r="F403" i="7"/>
  <c r="G403" i="7"/>
  <c r="H403" i="7"/>
  <c r="F404" i="7"/>
  <c r="G404" i="7"/>
  <c r="H404" i="7"/>
  <c r="F405" i="7"/>
  <c r="G405" i="7"/>
  <c r="H405" i="7"/>
  <c r="F406" i="7"/>
  <c r="G406" i="7"/>
  <c r="H406" i="7"/>
  <c r="F407" i="7"/>
  <c r="G407" i="7"/>
  <c r="H407" i="7"/>
  <c r="F408" i="7"/>
  <c r="G408" i="7"/>
  <c r="H408" i="7"/>
  <c r="F409" i="7"/>
  <c r="G409" i="7"/>
  <c r="H409" i="7"/>
  <c r="F410" i="7"/>
  <c r="G410" i="7"/>
  <c r="H410" i="7"/>
  <c r="F411" i="7"/>
  <c r="G411" i="7"/>
  <c r="H411" i="7"/>
  <c r="F412" i="7"/>
  <c r="G412" i="7"/>
  <c r="H412" i="7"/>
  <c r="F413" i="7"/>
  <c r="G413" i="7"/>
  <c r="H413" i="7"/>
  <c r="F414" i="7"/>
  <c r="G414" i="7"/>
  <c r="H414" i="7"/>
  <c r="F415" i="7"/>
  <c r="G415" i="7"/>
  <c r="H415" i="7"/>
  <c r="F416" i="7"/>
  <c r="G416" i="7"/>
  <c r="H416" i="7"/>
  <c r="F417" i="7"/>
  <c r="G417" i="7"/>
  <c r="H417" i="7"/>
  <c r="F418" i="7"/>
  <c r="G418" i="7"/>
  <c r="H418" i="7"/>
  <c r="F419" i="7"/>
  <c r="G419" i="7"/>
  <c r="H419" i="7"/>
  <c r="F420" i="7"/>
  <c r="G420" i="7"/>
  <c r="H420" i="7"/>
  <c r="F421" i="7"/>
  <c r="G421" i="7"/>
  <c r="H421" i="7"/>
  <c r="F422" i="7"/>
  <c r="G422" i="7"/>
  <c r="H422" i="7"/>
  <c r="F423" i="7"/>
  <c r="G423" i="7"/>
  <c r="H423" i="7"/>
  <c r="F424" i="7"/>
  <c r="G424" i="7"/>
  <c r="H424" i="7"/>
  <c r="F425" i="7"/>
  <c r="G425" i="7"/>
  <c r="H425" i="7"/>
  <c r="F426" i="7"/>
  <c r="G426" i="7"/>
  <c r="H426" i="7"/>
  <c r="F427" i="7"/>
  <c r="G427" i="7"/>
  <c r="H427" i="7"/>
  <c r="F428" i="7"/>
  <c r="G428" i="7"/>
  <c r="H428" i="7"/>
  <c r="F429" i="7"/>
  <c r="G429" i="7"/>
  <c r="H429" i="7"/>
  <c r="F430" i="7"/>
  <c r="G430" i="7"/>
  <c r="H430" i="7"/>
  <c r="F431" i="7"/>
  <c r="G431" i="7"/>
  <c r="H431" i="7"/>
  <c r="F432" i="7"/>
  <c r="G432" i="7"/>
  <c r="H432" i="7"/>
  <c r="F433" i="7"/>
  <c r="G433" i="7"/>
  <c r="H433" i="7"/>
  <c r="F434" i="7"/>
  <c r="G434" i="7"/>
  <c r="H434" i="7"/>
  <c r="F435" i="7"/>
  <c r="G435" i="7"/>
  <c r="H435" i="7"/>
  <c r="F436" i="7"/>
  <c r="G436" i="7"/>
  <c r="H436" i="7"/>
  <c r="F437" i="7"/>
  <c r="G437" i="7"/>
  <c r="H437" i="7"/>
  <c r="F438" i="7"/>
  <c r="G438" i="7"/>
  <c r="H438" i="7"/>
  <c r="F439" i="7"/>
  <c r="G439" i="7"/>
  <c r="H439" i="7"/>
  <c r="F440" i="7"/>
  <c r="G440" i="7"/>
  <c r="H440" i="7"/>
  <c r="F441" i="7"/>
  <c r="G441" i="7"/>
  <c r="H441" i="7"/>
  <c r="F442" i="7"/>
  <c r="G442" i="7"/>
  <c r="H442" i="7"/>
  <c r="F443" i="7"/>
  <c r="G443" i="7"/>
  <c r="H443" i="7"/>
  <c r="F444" i="7"/>
  <c r="G444" i="7"/>
  <c r="H444" i="7"/>
  <c r="F445" i="7"/>
  <c r="G445" i="7"/>
  <c r="H445" i="7"/>
  <c r="F446" i="7"/>
  <c r="G446" i="7"/>
  <c r="H446" i="7"/>
  <c r="F447" i="7"/>
  <c r="G447" i="7"/>
  <c r="H447" i="7"/>
  <c r="F448" i="7"/>
  <c r="G448" i="7"/>
  <c r="H448" i="7"/>
  <c r="F449" i="7"/>
  <c r="G449" i="7"/>
  <c r="H449" i="7"/>
  <c r="F450" i="7"/>
  <c r="G450" i="7"/>
  <c r="H450" i="7"/>
  <c r="F451" i="7"/>
  <c r="G451" i="7"/>
  <c r="H451" i="7"/>
  <c r="F452" i="7"/>
  <c r="G452" i="7"/>
  <c r="H452" i="7"/>
  <c r="F453" i="7"/>
  <c r="G453" i="7"/>
  <c r="H453" i="7"/>
  <c r="F454" i="7"/>
  <c r="G454" i="7"/>
  <c r="H454" i="7"/>
  <c r="F455" i="7"/>
  <c r="G455" i="7"/>
  <c r="H455" i="7"/>
  <c r="F456" i="7"/>
  <c r="G456" i="7"/>
  <c r="H456" i="7"/>
  <c r="F457" i="7"/>
  <c r="G457" i="7"/>
  <c r="H457" i="7"/>
  <c r="F458" i="7"/>
  <c r="G458" i="7"/>
  <c r="H458" i="7"/>
  <c r="F459" i="7"/>
  <c r="G459" i="7"/>
  <c r="H459" i="7"/>
  <c r="F460" i="7"/>
  <c r="G460" i="7"/>
  <c r="H460" i="7"/>
  <c r="F461" i="7"/>
  <c r="G461" i="7"/>
  <c r="H461" i="7"/>
  <c r="F462" i="7"/>
  <c r="G462" i="7"/>
  <c r="H462" i="7"/>
  <c r="F463" i="7"/>
  <c r="G463" i="7"/>
  <c r="H463" i="7"/>
  <c r="F464" i="7"/>
  <c r="G464" i="7"/>
  <c r="H464" i="7"/>
  <c r="F465" i="7"/>
  <c r="G465" i="7"/>
  <c r="H465" i="7"/>
  <c r="F466" i="7"/>
  <c r="G466" i="7"/>
  <c r="H466" i="7"/>
  <c r="F467" i="7"/>
  <c r="G467" i="7"/>
  <c r="H467" i="7"/>
  <c r="F468" i="7"/>
  <c r="G468" i="7"/>
  <c r="H468" i="7"/>
  <c r="F469" i="7"/>
  <c r="G469" i="7"/>
  <c r="H469" i="7"/>
  <c r="F470" i="7"/>
  <c r="G470" i="7"/>
  <c r="H470" i="7"/>
  <c r="F471" i="7"/>
  <c r="G471" i="7"/>
  <c r="H471" i="7"/>
  <c r="F472" i="7"/>
  <c r="G472" i="7"/>
  <c r="H472" i="7"/>
  <c r="F473" i="7"/>
  <c r="G473" i="7"/>
  <c r="H473" i="7"/>
  <c r="F474" i="7"/>
  <c r="G474" i="7"/>
  <c r="H474" i="7"/>
  <c r="F475" i="7"/>
  <c r="G475" i="7"/>
  <c r="H475" i="7"/>
  <c r="F476" i="7"/>
  <c r="G476" i="7"/>
  <c r="H476" i="7"/>
  <c r="F477" i="7"/>
  <c r="G477" i="7"/>
  <c r="H477" i="7"/>
  <c r="F478" i="7"/>
  <c r="G478" i="7"/>
  <c r="H478" i="7"/>
  <c r="F479" i="7"/>
  <c r="G479" i="7"/>
  <c r="H479" i="7"/>
  <c r="F480" i="7"/>
  <c r="G480" i="7"/>
  <c r="H480" i="7"/>
  <c r="F481" i="7"/>
  <c r="G481" i="7"/>
  <c r="H481" i="7"/>
  <c r="F482" i="7"/>
  <c r="G482" i="7"/>
  <c r="H482" i="7"/>
  <c r="F483" i="7"/>
  <c r="G483" i="7"/>
  <c r="H483" i="7"/>
  <c r="F484" i="7"/>
  <c r="G484" i="7"/>
  <c r="H484" i="7"/>
  <c r="F485" i="7"/>
  <c r="G485" i="7"/>
  <c r="H485" i="7"/>
  <c r="F486" i="7"/>
  <c r="G486" i="7"/>
  <c r="H486" i="7"/>
  <c r="F487" i="7"/>
  <c r="G487" i="7"/>
  <c r="H487" i="7"/>
  <c r="F488" i="7"/>
  <c r="G488" i="7"/>
  <c r="H488" i="7"/>
  <c r="F489" i="7"/>
  <c r="G489" i="7"/>
  <c r="H489" i="7"/>
  <c r="F490" i="7"/>
  <c r="G490" i="7"/>
  <c r="H490" i="7"/>
  <c r="F491" i="7"/>
  <c r="G491" i="7"/>
  <c r="H491" i="7"/>
  <c r="F492" i="7"/>
  <c r="G492" i="7"/>
  <c r="H492" i="7"/>
  <c r="F493" i="7"/>
  <c r="G493" i="7"/>
  <c r="H493" i="7"/>
  <c r="F494" i="7"/>
  <c r="G494" i="7"/>
  <c r="H494" i="7"/>
  <c r="F495" i="7"/>
  <c r="G495" i="7"/>
  <c r="H495" i="7"/>
  <c r="F496" i="7"/>
  <c r="G496" i="7"/>
  <c r="H496" i="7"/>
  <c r="F497" i="7"/>
  <c r="G497" i="7"/>
  <c r="H497" i="7"/>
  <c r="F498" i="7"/>
  <c r="G498" i="7"/>
  <c r="H498" i="7"/>
  <c r="F499" i="7"/>
  <c r="G499" i="7"/>
  <c r="H499" i="7"/>
  <c r="F500" i="7"/>
  <c r="G500" i="7"/>
  <c r="H500" i="7"/>
  <c r="F501" i="7"/>
  <c r="G501" i="7"/>
  <c r="H501" i="7"/>
  <c r="F502" i="7"/>
  <c r="G502" i="7"/>
  <c r="H502" i="7"/>
  <c r="F503" i="7"/>
  <c r="G503" i="7"/>
  <c r="H503" i="7"/>
  <c r="F504" i="7"/>
  <c r="G504" i="7"/>
  <c r="H504" i="7"/>
  <c r="F505" i="7"/>
  <c r="G505" i="7"/>
  <c r="H505" i="7"/>
  <c r="F506" i="7"/>
  <c r="G506" i="7"/>
  <c r="H506" i="7"/>
  <c r="F507" i="7"/>
  <c r="G507" i="7"/>
  <c r="H507" i="7"/>
  <c r="F508" i="7"/>
  <c r="G508" i="7"/>
  <c r="H508" i="7"/>
  <c r="F509" i="7"/>
  <c r="G509" i="7"/>
  <c r="H509" i="7"/>
  <c r="F510" i="7"/>
  <c r="G510" i="7"/>
  <c r="H510" i="7"/>
  <c r="F511" i="7"/>
  <c r="G511" i="7"/>
  <c r="H511" i="7"/>
  <c r="F512" i="7"/>
  <c r="G512" i="7"/>
  <c r="H512" i="7"/>
  <c r="F513" i="7"/>
  <c r="G513" i="7"/>
  <c r="H513" i="7"/>
  <c r="F514" i="7"/>
  <c r="G514" i="7"/>
  <c r="H514" i="7"/>
  <c r="F515" i="7"/>
  <c r="G515" i="7"/>
  <c r="H515" i="7"/>
  <c r="F516" i="7"/>
  <c r="G516" i="7"/>
  <c r="H516" i="7"/>
  <c r="F517" i="7"/>
  <c r="G517" i="7"/>
  <c r="H517" i="7"/>
  <c r="F518" i="7"/>
  <c r="G518" i="7"/>
  <c r="H518" i="7"/>
  <c r="F519" i="7"/>
  <c r="G519" i="7"/>
  <c r="H519" i="7"/>
  <c r="F520" i="7"/>
  <c r="G520" i="7"/>
  <c r="H520" i="7"/>
  <c r="F521" i="7"/>
  <c r="G521" i="7"/>
  <c r="H521" i="7"/>
  <c r="F522" i="7"/>
  <c r="G522" i="7"/>
  <c r="H522" i="7"/>
  <c r="F523" i="7"/>
  <c r="G523" i="7"/>
  <c r="H523" i="7"/>
  <c r="F524" i="7"/>
  <c r="G524" i="7"/>
  <c r="H524" i="7"/>
  <c r="F525" i="7"/>
  <c r="G525" i="7"/>
  <c r="H525" i="7"/>
  <c r="F526" i="7"/>
  <c r="G526" i="7"/>
  <c r="H526" i="7"/>
  <c r="F527" i="7"/>
  <c r="G527" i="7"/>
  <c r="H527" i="7"/>
  <c r="F528" i="7"/>
  <c r="G528" i="7"/>
  <c r="H528" i="7"/>
  <c r="F529" i="7"/>
  <c r="G529" i="7"/>
  <c r="H529" i="7"/>
  <c r="F530" i="7"/>
  <c r="G530" i="7"/>
  <c r="H530" i="7"/>
  <c r="F531" i="7"/>
  <c r="G531" i="7"/>
  <c r="H531" i="7"/>
  <c r="F532" i="7"/>
  <c r="G532" i="7"/>
  <c r="H532" i="7"/>
  <c r="F533" i="7"/>
  <c r="G533" i="7"/>
  <c r="H533" i="7"/>
  <c r="F534" i="7"/>
  <c r="G534" i="7"/>
  <c r="H534" i="7"/>
  <c r="F535" i="7"/>
  <c r="G535" i="7"/>
  <c r="H535" i="7"/>
  <c r="F536" i="7"/>
  <c r="G536" i="7"/>
  <c r="H536" i="7"/>
  <c r="F537" i="7"/>
  <c r="G537" i="7"/>
  <c r="H537" i="7"/>
  <c r="F538" i="7"/>
  <c r="G538" i="7"/>
  <c r="H538" i="7"/>
  <c r="F539" i="7"/>
  <c r="G539" i="7"/>
  <c r="H539" i="7"/>
  <c r="F540" i="7"/>
  <c r="G540" i="7"/>
  <c r="H540" i="7"/>
  <c r="F541" i="7"/>
  <c r="G541" i="7"/>
  <c r="H541" i="7"/>
  <c r="F542" i="7"/>
  <c r="G542" i="7"/>
  <c r="H542" i="7"/>
  <c r="F543" i="7"/>
  <c r="G543" i="7"/>
  <c r="H543" i="7"/>
  <c r="F544" i="7"/>
  <c r="G544" i="7"/>
  <c r="H544" i="7"/>
  <c r="F545" i="7"/>
  <c r="G545" i="7"/>
  <c r="H545" i="7"/>
  <c r="F546" i="7"/>
  <c r="G546" i="7"/>
  <c r="H546" i="7"/>
  <c r="F547" i="7"/>
  <c r="G547" i="7"/>
  <c r="H547" i="7"/>
  <c r="F548" i="7"/>
  <c r="G548" i="7"/>
  <c r="H548" i="7"/>
  <c r="F549" i="7"/>
  <c r="G549" i="7"/>
  <c r="H549" i="7"/>
  <c r="F550" i="7"/>
  <c r="G550" i="7"/>
  <c r="H550" i="7"/>
  <c r="F551" i="7"/>
  <c r="G551" i="7"/>
  <c r="H551" i="7"/>
  <c r="F552" i="7"/>
  <c r="G552" i="7"/>
  <c r="H552" i="7"/>
  <c r="F553" i="7"/>
  <c r="G553" i="7"/>
  <c r="H553" i="7"/>
  <c r="F554" i="7"/>
  <c r="G554" i="7"/>
  <c r="H554" i="7"/>
  <c r="F555" i="7"/>
  <c r="G555" i="7"/>
  <c r="H555" i="7"/>
  <c r="F556" i="7"/>
  <c r="G556" i="7"/>
  <c r="H556" i="7"/>
  <c r="F557" i="7"/>
  <c r="G557" i="7"/>
  <c r="H557" i="7"/>
  <c r="F558" i="7"/>
  <c r="G558" i="7"/>
  <c r="H558" i="7"/>
  <c r="F559" i="7"/>
  <c r="G559" i="7"/>
  <c r="H559" i="7"/>
  <c r="F560" i="7"/>
  <c r="G560" i="7"/>
  <c r="H560" i="7"/>
  <c r="F561" i="7"/>
  <c r="G561" i="7"/>
  <c r="H561" i="7"/>
  <c r="F562" i="7"/>
  <c r="G562" i="7"/>
  <c r="H562" i="7"/>
  <c r="F563" i="7"/>
  <c r="G563" i="7"/>
  <c r="H563" i="7"/>
  <c r="F564" i="7"/>
  <c r="G564" i="7"/>
  <c r="H564" i="7"/>
  <c r="F565" i="7"/>
  <c r="G565" i="7"/>
  <c r="H565" i="7"/>
  <c r="F566" i="7"/>
  <c r="G566" i="7"/>
  <c r="H566" i="7"/>
  <c r="F567" i="7"/>
  <c r="G567" i="7"/>
  <c r="H567" i="7"/>
  <c r="F568" i="7"/>
  <c r="G568" i="7"/>
  <c r="H568" i="7"/>
  <c r="F569" i="7"/>
  <c r="G569" i="7"/>
  <c r="H569" i="7"/>
  <c r="F570" i="7"/>
  <c r="G570" i="7"/>
  <c r="H570" i="7"/>
  <c r="F571" i="7"/>
  <c r="G571" i="7"/>
  <c r="H571" i="7"/>
  <c r="F572" i="7"/>
  <c r="G572" i="7"/>
  <c r="H572" i="7"/>
  <c r="F573" i="7"/>
  <c r="G573" i="7"/>
  <c r="H573" i="7"/>
  <c r="F574" i="7"/>
  <c r="G574" i="7"/>
  <c r="H574" i="7"/>
  <c r="F575" i="7"/>
  <c r="G575" i="7"/>
  <c r="H575" i="7"/>
  <c r="F576" i="7"/>
  <c r="G576" i="7"/>
  <c r="H576" i="7"/>
  <c r="F577" i="7"/>
  <c r="G577" i="7"/>
  <c r="H577" i="7"/>
  <c r="F578" i="7"/>
  <c r="G578" i="7"/>
  <c r="H578" i="7"/>
  <c r="F579" i="7"/>
  <c r="G579" i="7"/>
  <c r="H579" i="7"/>
  <c r="F580" i="7"/>
  <c r="G580" i="7"/>
  <c r="H580" i="7"/>
  <c r="F581" i="7"/>
  <c r="G581" i="7"/>
  <c r="H581" i="7"/>
  <c r="F582" i="7"/>
  <c r="G582" i="7"/>
  <c r="H582" i="7"/>
  <c r="F583" i="7"/>
  <c r="G583" i="7"/>
  <c r="H583" i="7"/>
  <c r="F584" i="7"/>
  <c r="G584" i="7"/>
  <c r="H584" i="7"/>
  <c r="F585" i="7"/>
  <c r="G585" i="7"/>
  <c r="H585" i="7"/>
  <c r="F586" i="7"/>
  <c r="G586" i="7"/>
  <c r="H586" i="7"/>
  <c r="F587" i="7"/>
  <c r="G587" i="7"/>
  <c r="H587" i="7"/>
  <c r="F588" i="7"/>
  <c r="G588" i="7"/>
  <c r="H588" i="7"/>
  <c r="F589" i="7"/>
  <c r="G589" i="7"/>
  <c r="H589" i="7"/>
  <c r="F590" i="7"/>
  <c r="G590" i="7"/>
  <c r="H590" i="7"/>
  <c r="F591" i="7"/>
  <c r="G591" i="7"/>
  <c r="H591" i="7"/>
  <c r="F592" i="7"/>
  <c r="G592" i="7"/>
  <c r="H592" i="7"/>
  <c r="F593" i="7"/>
  <c r="G593" i="7"/>
  <c r="H593" i="7"/>
  <c r="F594" i="7"/>
  <c r="G594" i="7"/>
  <c r="H594" i="7"/>
  <c r="F595" i="7"/>
  <c r="G595" i="7"/>
  <c r="H595" i="7"/>
  <c r="F596" i="7"/>
  <c r="G596" i="7"/>
  <c r="H596" i="7"/>
  <c r="F597" i="7"/>
  <c r="G597" i="7"/>
  <c r="H597" i="7"/>
  <c r="F598" i="7"/>
  <c r="G598" i="7"/>
  <c r="H598" i="7"/>
  <c r="F599" i="7"/>
  <c r="G599" i="7"/>
  <c r="H599" i="7"/>
  <c r="F600" i="7"/>
  <c r="G600" i="7"/>
  <c r="H600" i="7"/>
  <c r="F601" i="7"/>
  <c r="G601" i="7"/>
  <c r="H601" i="7"/>
  <c r="F602" i="7"/>
  <c r="G602" i="7"/>
  <c r="H602" i="7"/>
  <c r="F603" i="7"/>
  <c r="G603" i="7"/>
  <c r="H603" i="7"/>
  <c r="F604" i="7"/>
  <c r="G604" i="7"/>
  <c r="H604" i="7"/>
  <c r="F605" i="7"/>
  <c r="G605" i="7"/>
  <c r="H605" i="7"/>
  <c r="F606" i="7"/>
  <c r="G606" i="7"/>
  <c r="H606" i="7"/>
  <c r="F607" i="7"/>
  <c r="G607" i="7"/>
  <c r="H607" i="7"/>
  <c r="F608" i="7"/>
  <c r="G608" i="7"/>
  <c r="H608" i="7"/>
  <c r="F609" i="7"/>
  <c r="G609" i="7"/>
  <c r="H609" i="7"/>
  <c r="F610" i="7"/>
  <c r="G610" i="7"/>
  <c r="H610" i="7"/>
  <c r="F611" i="7"/>
  <c r="G611" i="7"/>
  <c r="H611" i="7"/>
  <c r="F612" i="7"/>
  <c r="G612" i="7"/>
  <c r="H612" i="7"/>
  <c r="F613" i="7"/>
  <c r="G613" i="7"/>
  <c r="H613" i="7"/>
  <c r="F614" i="7"/>
  <c r="G614" i="7"/>
  <c r="H614" i="7"/>
  <c r="F615" i="7"/>
  <c r="G615" i="7"/>
  <c r="H615" i="7"/>
  <c r="F616" i="7"/>
  <c r="G616" i="7"/>
  <c r="H616" i="7"/>
  <c r="F617" i="7"/>
  <c r="G617" i="7"/>
  <c r="H617" i="7"/>
  <c r="F618" i="7"/>
  <c r="G618" i="7"/>
  <c r="H618" i="7"/>
  <c r="F619" i="7"/>
  <c r="G619" i="7"/>
  <c r="H619" i="7"/>
  <c r="F620" i="7"/>
  <c r="G620" i="7"/>
  <c r="H620" i="7"/>
  <c r="F621" i="7"/>
  <c r="G621" i="7"/>
  <c r="H621" i="7"/>
  <c r="F622" i="7"/>
  <c r="G622" i="7"/>
  <c r="H622" i="7"/>
  <c r="F623" i="7"/>
  <c r="G623" i="7"/>
  <c r="H623" i="7"/>
  <c r="F624" i="7"/>
  <c r="G624" i="7"/>
  <c r="H624" i="7"/>
  <c r="F625" i="7"/>
  <c r="G625" i="7"/>
  <c r="H625" i="7"/>
  <c r="F626" i="7"/>
  <c r="G626" i="7"/>
  <c r="H626" i="7"/>
  <c r="F627" i="7"/>
  <c r="G627" i="7"/>
  <c r="H627" i="7"/>
  <c r="F628" i="7"/>
  <c r="G628" i="7"/>
  <c r="H628" i="7"/>
  <c r="F629" i="7"/>
  <c r="G629" i="7"/>
  <c r="H629" i="7"/>
  <c r="F630" i="7"/>
  <c r="G630" i="7"/>
  <c r="H630" i="7"/>
  <c r="F631" i="7"/>
  <c r="G631" i="7"/>
  <c r="H631" i="7"/>
  <c r="F632" i="7"/>
  <c r="G632" i="7"/>
  <c r="H632" i="7"/>
  <c r="F633" i="7"/>
  <c r="G633" i="7"/>
  <c r="H633" i="7"/>
  <c r="F634" i="7"/>
  <c r="G634" i="7"/>
  <c r="H634" i="7"/>
  <c r="F635" i="7"/>
  <c r="G635" i="7"/>
  <c r="H635" i="7"/>
  <c r="F636" i="7"/>
  <c r="G636" i="7"/>
  <c r="H636" i="7"/>
  <c r="F637" i="7"/>
  <c r="G637" i="7"/>
  <c r="H637" i="7"/>
  <c r="F638" i="7"/>
  <c r="G638" i="7"/>
  <c r="H638" i="7"/>
  <c r="F639" i="7"/>
  <c r="G639" i="7"/>
  <c r="H639" i="7"/>
  <c r="F640" i="7"/>
  <c r="G640" i="7"/>
  <c r="H640" i="7"/>
  <c r="F641" i="7"/>
  <c r="G641" i="7"/>
  <c r="H641" i="7"/>
  <c r="F642" i="7"/>
  <c r="G642" i="7"/>
  <c r="H642" i="7"/>
  <c r="F643" i="7"/>
  <c r="G643" i="7"/>
  <c r="H643" i="7"/>
  <c r="F644" i="7"/>
  <c r="G644" i="7"/>
  <c r="H644" i="7"/>
  <c r="F645" i="7"/>
  <c r="G645" i="7"/>
  <c r="H645" i="7"/>
  <c r="F646" i="7"/>
  <c r="G646" i="7"/>
  <c r="H646" i="7"/>
  <c r="F647" i="7"/>
  <c r="G647" i="7"/>
  <c r="H647" i="7"/>
  <c r="F648" i="7"/>
  <c r="G648" i="7"/>
  <c r="H648" i="7"/>
  <c r="F649" i="7"/>
  <c r="G649" i="7"/>
  <c r="H649" i="7"/>
  <c r="F650" i="7"/>
  <c r="G650" i="7"/>
  <c r="H650" i="7"/>
  <c r="F651" i="7"/>
  <c r="G651" i="7"/>
  <c r="H651" i="7"/>
  <c r="F652" i="7"/>
  <c r="G652" i="7"/>
  <c r="H652" i="7"/>
  <c r="F653" i="7"/>
  <c r="G653" i="7"/>
  <c r="H653" i="7"/>
  <c r="F654" i="7"/>
  <c r="G654" i="7"/>
  <c r="H654" i="7"/>
  <c r="F655" i="7"/>
  <c r="G655" i="7"/>
  <c r="H655" i="7"/>
  <c r="F656" i="7"/>
  <c r="G656" i="7"/>
  <c r="H656" i="7"/>
  <c r="F657" i="7"/>
  <c r="G657" i="7"/>
  <c r="H657" i="7"/>
  <c r="F658" i="7"/>
  <c r="G658" i="7"/>
  <c r="H658" i="7"/>
  <c r="F659" i="7"/>
  <c r="G659" i="7"/>
  <c r="H659" i="7"/>
  <c r="F660" i="7"/>
  <c r="G660" i="7"/>
  <c r="H660" i="7"/>
  <c r="F661" i="7"/>
  <c r="G661" i="7"/>
  <c r="H661" i="7"/>
  <c r="F662" i="7"/>
  <c r="G662" i="7"/>
  <c r="H662" i="7"/>
  <c r="F663" i="7"/>
  <c r="G663" i="7"/>
  <c r="H663" i="7"/>
  <c r="F664" i="7"/>
  <c r="G664" i="7"/>
  <c r="H664" i="7"/>
  <c r="F665" i="7"/>
  <c r="G665" i="7"/>
  <c r="H665" i="7"/>
  <c r="F666" i="7"/>
  <c r="G666" i="7"/>
  <c r="H666" i="7"/>
  <c r="F667" i="7"/>
  <c r="G667" i="7"/>
  <c r="H667" i="7"/>
  <c r="F668" i="7"/>
  <c r="G668" i="7"/>
  <c r="H668" i="7"/>
  <c r="F669" i="7"/>
  <c r="G669" i="7"/>
  <c r="H669" i="7"/>
  <c r="F670" i="7"/>
  <c r="G670" i="7"/>
  <c r="H670" i="7"/>
  <c r="F671" i="7"/>
  <c r="G671" i="7"/>
  <c r="H671" i="7"/>
  <c r="F672" i="7"/>
  <c r="G672" i="7"/>
  <c r="H672" i="7"/>
  <c r="F673" i="7"/>
  <c r="G673" i="7"/>
  <c r="H673" i="7"/>
  <c r="F674" i="7"/>
  <c r="G674" i="7"/>
  <c r="H674" i="7"/>
  <c r="F675" i="7"/>
  <c r="G675" i="7"/>
  <c r="H675" i="7"/>
  <c r="F676" i="7"/>
  <c r="G676" i="7"/>
  <c r="H676" i="7"/>
  <c r="F677" i="7"/>
  <c r="G677" i="7"/>
  <c r="H677" i="7"/>
  <c r="F678" i="7"/>
  <c r="G678" i="7"/>
  <c r="H678" i="7"/>
  <c r="F679" i="7"/>
  <c r="G679" i="7"/>
  <c r="H679" i="7"/>
  <c r="F680" i="7"/>
  <c r="G680" i="7"/>
  <c r="H680" i="7"/>
  <c r="F681" i="7"/>
  <c r="G681" i="7"/>
  <c r="H681" i="7"/>
  <c r="F682" i="7"/>
  <c r="G682" i="7"/>
  <c r="H682" i="7"/>
  <c r="F683" i="7"/>
  <c r="G683" i="7"/>
  <c r="H683" i="7"/>
  <c r="F684" i="7"/>
  <c r="G684" i="7"/>
  <c r="H684" i="7"/>
  <c r="F685" i="7"/>
  <c r="G685" i="7"/>
  <c r="H685" i="7"/>
  <c r="F686" i="7"/>
  <c r="G686" i="7"/>
  <c r="H686" i="7"/>
  <c r="F687" i="7"/>
  <c r="G687" i="7"/>
  <c r="H687" i="7"/>
  <c r="F688" i="7"/>
  <c r="G688" i="7"/>
  <c r="H688" i="7"/>
  <c r="F689" i="7"/>
  <c r="G689" i="7"/>
  <c r="H689" i="7"/>
  <c r="F690" i="7"/>
  <c r="G690" i="7"/>
  <c r="H690" i="7"/>
  <c r="F691" i="7"/>
  <c r="G691" i="7"/>
  <c r="H691" i="7"/>
  <c r="F692" i="7"/>
  <c r="G692" i="7"/>
  <c r="H692" i="7"/>
  <c r="F693" i="7"/>
  <c r="G693" i="7"/>
  <c r="H693" i="7"/>
  <c r="F694" i="7"/>
  <c r="G694" i="7"/>
  <c r="H694" i="7"/>
  <c r="F695" i="7"/>
  <c r="G695" i="7"/>
  <c r="H695" i="7"/>
  <c r="F696" i="7"/>
  <c r="G696" i="7"/>
  <c r="H696" i="7"/>
  <c r="F697" i="7"/>
  <c r="G697" i="7"/>
  <c r="H697" i="7"/>
  <c r="F698" i="7"/>
  <c r="G698" i="7"/>
  <c r="H698" i="7"/>
  <c r="F699" i="7"/>
  <c r="G699" i="7"/>
  <c r="H699" i="7"/>
  <c r="F700" i="7"/>
  <c r="G700" i="7"/>
  <c r="H700" i="7"/>
  <c r="F701" i="7"/>
  <c r="G701" i="7"/>
  <c r="H701" i="7"/>
  <c r="F702" i="7"/>
  <c r="G702" i="7"/>
  <c r="H702" i="7"/>
  <c r="F703" i="7"/>
  <c r="G703" i="7"/>
  <c r="H703" i="7"/>
  <c r="F704" i="7"/>
  <c r="G704" i="7"/>
  <c r="H704" i="7"/>
  <c r="F705" i="7"/>
  <c r="G705" i="7"/>
  <c r="H705" i="7"/>
  <c r="F706" i="7"/>
  <c r="G706" i="7"/>
  <c r="H706" i="7"/>
  <c r="F707" i="7"/>
  <c r="G707" i="7"/>
  <c r="H707" i="7"/>
  <c r="F708" i="7"/>
  <c r="G708" i="7"/>
  <c r="H708" i="7"/>
  <c r="F709" i="7"/>
  <c r="G709" i="7"/>
  <c r="H709" i="7"/>
  <c r="F710" i="7"/>
  <c r="G710" i="7"/>
  <c r="H710" i="7"/>
  <c r="F711" i="7"/>
  <c r="G711" i="7"/>
  <c r="H711" i="7"/>
  <c r="F712" i="7"/>
  <c r="G712" i="7"/>
  <c r="H712" i="7"/>
  <c r="F713" i="7"/>
  <c r="G713" i="7"/>
  <c r="H713" i="7"/>
  <c r="F714" i="7"/>
  <c r="G714" i="7"/>
  <c r="H714" i="7"/>
  <c r="F715" i="7"/>
  <c r="G715" i="7"/>
  <c r="H715" i="7"/>
  <c r="F716" i="7"/>
  <c r="G716" i="7"/>
  <c r="H716" i="7"/>
  <c r="F717" i="7"/>
  <c r="G717" i="7"/>
  <c r="H717" i="7"/>
  <c r="F718" i="7"/>
  <c r="G718" i="7"/>
  <c r="H718" i="7"/>
  <c r="F719" i="7"/>
  <c r="G719" i="7"/>
  <c r="H719" i="7"/>
  <c r="F720" i="7"/>
  <c r="G720" i="7"/>
  <c r="H720" i="7"/>
  <c r="F721" i="7"/>
  <c r="G721" i="7"/>
  <c r="H721" i="7"/>
  <c r="F722" i="7"/>
  <c r="G722" i="7"/>
  <c r="H722" i="7"/>
  <c r="F723" i="7"/>
  <c r="G723" i="7"/>
  <c r="H723" i="7"/>
  <c r="F724" i="7"/>
  <c r="G724" i="7"/>
  <c r="H724" i="7"/>
  <c r="F725" i="7"/>
  <c r="G725" i="7"/>
  <c r="H725" i="7"/>
  <c r="F726" i="7"/>
  <c r="G726" i="7"/>
  <c r="H726" i="7"/>
  <c r="F727" i="7"/>
  <c r="G727" i="7"/>
  <c r="H727" i="7"/>
  <c r="F728" i="7"/>
  <c r="G728" i="7"/>
  <c r="H728" i="7"/>
  <c r="F729" i="7"/>
  <c r="G729" i="7"/>
  <c r="H729" i="7"/>
  <c r="F730" i="7"/>
  <c r="G730" i="7"/>
  <c r="H730" i="7"/>
  <c r="F731" i="7"/>
  <c r="G731" i="7"/>
  <c r="H731" i="7"/>
  <c r="F732" i="7"/>
  <c r="G732" i="7"/>
  <c r="H732" i="7"/>
  <c r="F733" i="7"/>
  <c r="G733" i="7"/>
  <c r="H733" i="7"/>
  <c r="F734" i="7"/>
  <c r="G734" i="7"/>
  <c r="H734" i="7"/>
  <c r="F735" i="7"/>
  <c r="G735" i="7"/>
  <c r="H735" i="7"/>
  <c r="F736" i="7"/>
  <c r="G736" i="7"/>
  <c r="H736" i="7"/>
  <c r="F737" i="7"/>
  <c r="G737" i="7"/>
  <c r="H737" i="7"/>
  <c r="F738" i="7"/>
  <c r="G738" i="7"/>
  <c r="H738" i="7"/>
  <c r="F739" i="7"/>
  <c r="G739" i="7"/>
  <c r="H739" i="7"/>
  <c r="F740" i="7"/>
  <c r="G740" i="7"/>
  <c r="H740" i="7"/>
  <c r="F741" i="7"/>
  <c r="G741" i="7"/>
  <c r="H741" i="7"/>
  <c r="F742" i="7"/>
  <c r="G742" i="7"/>
  <c r="H742" i="7"/>
  <c r="F743" i="7"/>
  <c r="G743" i="7"/>
  <c r="H743" i="7"/>
  <c r="F744" i="7"/>
  <c r="G744" i="7"/>
  <c r="H744" i="7"/>
  <c r="F745" i="7"/>
  <c r="G745" i="7"/>
  <c r="H745" i="7"/>
  <c r="F746" i="7"/>
  <c r="G746" i="7"/>
  <c r="H746" i="7"/>
  <c r="F747" i="7"/>
  <c r="G747" i="7"/>
  <c r="H747" i="7"/>
  <c r="F748" i="7"/>
  <c r="G748" i="7"/>
  <c r="H748" i="7"/>
  <c r="F749" i="7"/>
  <c r="G749" i="7"/>
  <c r="H749" i="7"/>
  <c r="F750" i="7"/>
  <c r="G750" i="7"/>
  <c r="H750" i="7"/>
  <c r="F751" i="7"/>
  <c r="G751" i="7"/>
  <c r="H751" i="7"/>
  <c r="F752" i="7"/>
  <c r="G752" i="7"/>
  <c r="H752" i="7"/>
  <c r="F753" i="7"/>
  <c r="G753" i="7"/>
  <c r="H753" i="7"/>
  <c r="F754" i="7"/>
  <c r="G754" i="7"/>
  <c r="H754" i="7"/>
  <c r="F755" i="7"/>
  <c r="G755" i="7"/>
  <c r="H755" i="7"/>
  <c r="F756" i="7"/>
  <c r="G756" i="7"/>
  <c r="H756" i="7"/>
  <c r="F757" i="7"/>
  <c r="G757" i="7"/>
  <c r="H757" i="7"/>
  <c r="F758" i="7"/>
  <c r="G758" i="7"/>
  <c r="H758" i="7"/>
  <c r="F759" i="7"/>
  <c r="G759" i="7"/>
  <c r="H759" i="7"/>
  <c r="F760" i="7"/>
  <c r="G760" i="7"/>
  <c r="H760" i="7"/>
  <c r="F761" i="7"/>
  <c r="G761" i="7"/>
  <c r="H761" i="7"/>
  <c r="F762" i="7"/>
  <c r="G762" i="7"/>
  <c r="H762" i="7"/>
  <c r="F763" i="7"/>
  <c r="G763" i="7"/>
  <c r="H763" i="7"/>
  <c r="F764" i="7"/>
  <c r="G764" i="7"/>
  <c r="H764" i="7"/>
  <c r="F765" i="7"/>
  <c r="G765" i="7"/>
  <c r="H765" i="7"/>
  <c r="F766" i="7"/>
  <c r="G766" i="7"/>
  <c r="H766" i="7"/>
  <c r="F767" i="7"/>
  <c r="G767" i="7"/>
  <c r="H767" i="7"/>
  <c r="F768" i="7"/>
  <c r="G768" i="7"/>
  <c r="H768" i="7"/>
  <c r="F769" i="7"/>
  <c r="G769" i="7"/>
  <c r="H769" i="7"/>
  <c r="F770" i="7"/>
  <c r="G770" i="7"/>
  <c r="H770" i="7"/>
  <c r="F771" i="7"/>
  <c r="G771" i="7"/>
  <c r="H771" i="7"/>
  <c r="F772" i="7"/>
  <c r="G772" i="7"/>
  <c r="H772" i="7"/>
  <c r="F773" i="7"/>
  <c r="G773" i="7"/>
  <c r="H773" i="7"/>
  <c r="F774" i="7"/>
  <c r="G774" i="7"/>
  <c r="H774" i="7"/>
  <c r="F775" i="7"/>
  <c r="G775" i="7"/>
  <c r="H775" i="7"/>
  <c r="F776" i="7"/>
  <c r="G776" i="7"/>
  <c r="H776" i="7"/>
  <c r="F777" i="7"/>
  <c r="G777" i="7"/>
  <c r="H777" i="7"/>
  <c r="F778" i="7"/>
  <c r="G778" i="7"/>
  <c r="H778" i="7"/>
  <c r="F779" i="7"/>
  <c r="G779" i="7"/>
  <c r="H779" i="7"/>
  <c r="F780" i="7"/>
  <c r="G780" i="7"/>
  <c r="H780" i="7"/>
  <c r="F781" i="7"/>
  <c r="G781" i="7"/>
  <c r="H781" i="7"/>
  <c r="F782" i="7"/>
  <c r="G782" i="7"/>
  <c r="H782" i="7"/>
  <c r="F783" i="7"/>
  <c r="G783" i="7"/>
  <c r="H783" i="7"/>
  <c r="F784" i="7"/>
  <c r="G784" i="7"/>
  <c r="H784" i="7"/>
  <c r="F785" i="7"/>
  <c r="G785" i="7"/>
  <c r="H785" i="7"/>
  <c r="F786" i="7"/>
  <c r="G786" i="7"/>
  <c r="H786" i="7"/>
  <c r="F787" i="7"/>
  <c r="G787" i="7"/>
  <c r="H787" i="7"/>
  <c r="F788" i="7"/>
  <c r="G788" i="7"/>
  <c r="H788" i="7"/>
  <c r="F789" i="7"/>
  <c r="G789" i="7"/>
  <c r="H789" i="7"/>
  <c r="F790" i="7"/>
  <c r="G790" i="7"/>
  <c r="H790" i="7"/>
  <c r="F791" i="7"/>
  <c r="G791" i="7"/>
  <c r="H791" i="7"/>
  <c r="F792" i="7"/>
  <c r="G792" i="7"/>
  <c r="H792" i="7"/>
  <c r="F793" i="7"/>
  <c r="G793" i="7"/>
  <c r="H793" i="7"/>
  <c r="F794" i="7"/>
  <c r="G794" i="7"/>
  <c r="H794" i="7"/>
  <c r="F795" i="7"/>
  <c r="G795" i="7"/>
  <c r="H795" i="7"/>
  <c r="F796" i="7"/>
  <c r="G796" i="7"/>
  <c r="H796" i="7"/>
  <c r="F797" i="7"/>
  <c r="G797" i="7"/>
  <c r="H797" i="7"/>
  <c r="F798" i="7"/>
  <c r="G798" i="7"/>
  <c r="H798" i="7"/>
  <c r="F799" i="7"/>
  <c r="G799" i="7"/>
  <c r="H799" i="7"/>
  <c r="F800" i="7"/>
  <c r="G800" i="7"/>
  <c r="H800" i="7"/>
  <c r="F801" i="7"/>
  <c r="G801" i="7"/>
  <c r="H801" i="7"/>
  <c r="F802" i="7"/>
  <c r="G802" i="7"/>
  <c r="H802" i="7"/>
  <c r="F803" i="7"/>
  <c r="G803" i="7"/>
  <c r="H803" i="7"/>
  <c r="F804" i="7"/>
  <c r="G804" i="7"/>
  <c r="H804" i="7"/>
  <c r="F805" i="7"/>
  <c r="G805" i="7"/>
  <c r="H805" i="7"/>
  <c r="F806" i="7"/>
  <c r="G806" i="7"/>
  <c r="H806" i="7"/>
  <c r="F807" i="7"/>
  <c r="G807" i="7"/>
  <c r="H807" i="7"/>
  <c r="F808" i="7"/>
  <c r="G808" i="7"/>
  <c r="H808" i="7"/>
  <c r="F809" i="7"/>
  <c r="G809" i="7"/>
  <c r="H809" i="7"/>
  <c r="F810" i="7"/>
  <c r="G810" i="7"/>
  <c r="H810" i="7"/>
  <c r="F811" i="7"/>
  <c r="G811" i="7"/>
  <c r="H811" i="7"/>
  <c r="F812" i="7"/>
  <c r="G812" i="7"/>
  <c r="H812" i="7"/>
  <c r="F813" i="7"/>
  <c r="G813" i="7"/>
  <c r="H813" i="7"/>
  <c r="F814" i="7"/>
  <c r="G814" i="7"/>
  <c r="H814" i="7"/>
  <c r="F815" i="7"/>
  <c r="G815" i="7"/>
  <c r="H815" i="7"/>
  <c r="F816" i="7"/>
  <c r="G816" i="7"/>
  <c r="H816" i="7"/>
  <c r="F817" i="7"/>
  <c r="G817" i="7"/>
  <c r="H817" i="7"/>
  <c r="F818" i="7"/>
  <c r="G818" i="7"/>
  <c r="H818" i="7"/>
  <c r="F819" i="7"/>
  <c r="G819" i="7"/>
  <c r="H819" i="7"/>
  <c r="F820" i="7"/>
  <c r="G820" i="7"/>
  <c r="H820" i="7"/>
  <c r="F821" i="7"/>
  <c r="G821" i="7"/>
  <c r="H821" i="7"/>
  <c r="F822" i="7"/>
  <c r="G822" i="7"/>
  <c r="H822" i="7"/>
  <c r="F823" i="7"/>
  <c r="G823" i="7"/>
  <c r="H823" i="7"/>
  <c r="F824" i="7"/>
  <c r="G824" i="7"/>
  <c r="H824" i="7"/>
  <c r="F825" i="7"/>
  <c r="G825" i="7"/>
  <c r="H825" i="7"/>
  <c r="F826" i="7"/>
  <c r="G826" i="7"/>
  <c r="H826" i="7"/>
  <c r="F827" i="7"/>
  <c r="G827" i="7"/>
  <c r="H827" i="7"/>
  <c r="F828" i="7"/>
  <c r="G828" i="7"/>
  <c r="H828" i="7"/>
  <c r="F829" i="7"/>
  <c r="G829" i="7"/>
  <c r="H829" i="7"/>
  <c r="F830" i="7"/>
  <c r="G830" i="7"/>
  <c r="H830" i="7"/>
  <c r="F831" i="7"/>
  <c r="G831" i="7"/>
  <c r="H831" i="7"/>
  <c r="F832" i="7"/>
  <c r="G832" i="7"/>
  <c r="H832" i="7"/>
  <c r="F833" i="7"/>
  <c r="G833" i="7"/>
  <c r="H833" i="7"/>
  <c r="F834" i="7"/>
  <c r="G834" i="7"/>
  <c r="H834" i="7"/>
  <c r="F835" i="7"/>
  <c r="G835" i="7"/>
  <c r="H835" i="7"/>
  <c r="F836" i="7"/>
  <c r="G836" i="7"/>
  <c r="H836" i="7"/>
  <c r="F837" i="7"/>
  <c r="G837" i="7"/>
  <c r="H837" i="7"/>
  <c r="F838" i="7"/>
  <c r="G838" i="7"/>
  <c r="H838" i="7"/>
  <c r="F839" i="7"/>
  <c r="G839" i="7"/>
  <c r="H839" i="7"/>
  <c r="F840" i="7"/>
  <c r="G840" i="7"/>
  <c r="H840" i="7"/>
  <c r="F841" i="7"/>
  <c r="G841" i="7"/>
  <c r="H841" i="7"/>
  <c r="F842" i="7"/>
  <c r="G842" i="7"/>
  <c r="H842" i="7"/>
  <c r="F843" i="7"/>
  <c r="G843" i="7"/>
  <c r="H843" i="7"/>
  <c r="F844" i="7"/>
  <c r="G844" i="7"/>
  <c r="H844" i="7"/>
  <c r="F845" i="7"/>
  <c r="G845" i="7"/>
  <c r="H845" i="7"/>
  <c r="F846" i="7"/>
  <c r="G846" i="7"/>
  <c r="H846" i="7"/>
  <c r="F847" i="7"/>
  <c r="G847" i="7"/>
  <c r="H847" i="7"/>
  <c r="F848" i="7"/>
  <c r="G848" i="7"/>
  <c r="H848" i="7"/>
  <c r="F849" i="7"/>
  <c r="G849" i="7"/>
  <c r="H849" i="7"/>
  <c r="F850" i="7"/>
  <c r="G850" i="7"/>
  <c r="H850" i="7"/>
  <c r="F851" i="7"/>
  <c r="G851" i="7"/>
  <c r="H851" i="7"/>
  <c r="F852" i="7"/>
  <c r="G852" i="7"/>
  <c r="H852" i="7"/>
  <c r="F853" i="7"/>
  <c r="G853" i="7"/>
  <c r="H853" i="7"/>
  <c r="F854" i="7"/>
  <c r="G854" i="7"/>
  <c r="H854" i="7"/>
  <c r="F855" i="7"/>
  <c r="G855" i="7"/>
  <c r="H855" i="7"/>
  <c r="F856" i="7"/>
  <c r="G856" i="7"/>
  <c r="H856" i="7"/>
  <c r="F857" i="7"/>
  <c r="G857" i="7"/>
  <c r="H857" i="7"/>
  <c r="F858" i="7"/>
  <c r="G858" i="7"/>
  <c r="H858" i="7"/>
  <c r="F859" i="7"/>
  <c r="G859" i="7"/>
  <c r="H859" i="7"/>
  <c r="F860" i="7"/>
  <c r="G860" i="7"/>
  <c r="H860" i="7"/>
  <c r="F861" i="7"/>
  <c r="G861" i="7"/>
  <c r="H861" i="7"/>
  <c r="F862" i="7"/>
  <c r="G862" i="7"/>
  <c r="H862" i="7"/>
  <c r="F863" i="7"/>
  <c r="G863" i="7"/>
  <c r="H863" i="7"/>
  <c r="F864" i="7"/>
  <c r="G864" i="7"/>
  <c r="H864" i="7"/>
  <c r="F865" i="7"/>
  <c r="G865" i="7"/>
  <c r="H865" i="7"/>
  <c r="F866" i="7"/>
  <c r="G866" i="7"/>
  <c r="H866" i="7"/>
  <c r="F867" i="7"/>
  <c r="G867" i="7"/>
  <c r="H867" i="7"/>
  <c r="F868" i="7"/>
  <c r="G868" i="7"/>
  <c r="H868" i="7"/>
  <c r="F869" i="7"/>
  <c r="G869" i="7"/>
  <c r="H869" i="7"/>
  <c r="F870" i="7"/>
  <c r="G870" i="7"/>
  <c r="H870" i="7"/>
  <c r="F871" i="7"/>
  <c r="G871" i="7"/>
  <c r="H871" i="7"/>
  <c r="F872" i="7"/>
  <c r="G872" i="7"/>
  <c r="H872" i="7"/>
  <c r="F873" i="7"/>
  <c r="G873" i="7"/>
  <c r="H873" i="7"/>
  <c r="F874" i="7"/>
  <c r="G874" i="7"/>
  <c r="H874" i="7"/>
  <c r="F875" i="7"/>
  <c r="G875" i="7"/>
  <c r="H875" i="7"/>
  <c r="F876" i="7"/>
  <c r="G876" i="7"/>
  <c r="H876" i="7"/>
  <c r="F877" i="7"/>
  <c r="G877" i="7"/>
  <c r="H877" i="7"/>
  <c r="F878" i="7"/>
  <c r="G878" i="7"/>
  <c r="H878" i="7"/>
  <c r="F879" i="7"/>
  <c r="G879" i="7"/>
  <c r="H879" i="7"/>
  <c r="F880" i="7"/>
  <c r="G880" i="7"/>
  <c r="H880" i="7"/>
  <c r="F881" i="7"/>
  <c r="G881" i="7"/>
  <c r="H881" i="7"/>
  <c r="F882" i="7"/>
  <c r="G882" i="7"/>
  <c r="H882" i="7"/>
  <c r="F883" i="7"/>
  <c r="G883" i="7"/>
  <c r="H883" i="7"/>
  <c r="F884" i="7"/>
  <c r="G884" i="7"/>
  <c r="H884" i="7"/>
  <c r="F885" i="7"/>
  <c r="G885" i="7"/>
  <c r="H885" i="7"/>
  <c r="F886" i="7"/>
  <c r="G886" i="7"/>
  <c r="H886" i="7"/>
  <c r="F887" i="7"/>
  <c r="G887" i="7"/>
  <c r="H887" i="7"/>
  <c r="F888" i="7"/>
  <c r="G888" i="7"/>
  <c r="H888" i="7"/>
  <c r="F889" i="7"/>
  <c r="G889" i="7"/>
  <c r="H889" i="7"/>
  <c r="F890" i="7"/>
  <c r="G890" i="7"/>
  <c r="H890" i="7"/>
  <c r="F891" i="7"/>
  <c r="G891" i="7"/>
  <c r="H891" i="7"/>
  <c r="F892" i="7"/>
  <c r="G892" i="7"/>
  <c r="H892" i="7"/>
  <c r="F893" i="7"/>
  <c r="G893" i="7"/>
  <c r="H893" i="7"/>
  <c r="F894" i="7"/>
  <c r="G894" i="7"/>
  <c r="H894" i="7"/>
  <c r="F895" i="7"/>
  <c r="G895" i="7"/>
  <c r="H895" i="7"/>
  <c r="F896" i="7"/>
  <c r="G896" i="7"/>
  <c r="H896" i="7"/>
  <c r="F897" i="7"/>
  <c r="G897" i="7"/>
  <c r="H897" i="7"/>
  <c r="F898" i="7"/>
  <c r="G898" i="7"/>
  <c r="H898" i="7"/>
  <c r="F899" i="7"/>
  <c r="G899" i="7"/>
  <c r="H899" i="7"/>
  <c r="F900" i="7"/>
  <c r="G900" i="7"/>
  <c r="H900" i="7"/>
  <c r="F901" i="7"/>
  <c r="G901" i="7"/>
  <c r="H901" i="7"/>
  <c r="F902" i="7"/>
  <c r="G902" i="7"/>
  <c r="H902" i="7"/>
  <c r="F903" i="7"/>
  <c r="G903" i="7"/>
  <c r="H903" i="7"/>
  <c r="F904" i="7"/>
  <c r="G904" i="7"/>
  <c r="H904" i="7"/>
  <c r="F905" i="7"/>
  <c r="G905" i="7"/>
  <c r="H905" i="7"/>
  <c r="F906" i="7"/>
  <c r="G906" i="7"/>
  <c r="H906" i="7"/>
  <c r="F907" i="7"/>
  <c r="G907" i="7"/>
  <c r="H907" i="7"/>
  <c r="F908" i="7"/>
  <c r="G908" i="7"/>
  <c r="H908" i="7"/>
  <c r="F909" i="7"/>
  <c r="G909" i="7"/>
  <c r="H909" i="7"/>
  <c r="F910" i="7"/>
  <c r="G910" i="7"/>
  <c r="H910" i="7"/>
  <c r="F911" i="7"/>
  <c r="G911" i="7"/>
  <c r="H911" i="7"/>
  <c r="F912" i="7"/>
  <c r="G912" i="7"/>
  <c r="H912" i="7"/>
  <c r="F913" i="7"/>
  <c r="G913" i="7"/>
  <c r="H913" i="7"/>
  <c r="F914" i="7"/>
  <c r="G914" i="7"/>
  <c r="H914" i="7"/>
  <c r="F915" i="7"/>
  <c r="G915" i="7"/>
  <c r="H915" i="7"/>
  <c r="F916" i="7"/>
  <c r="G916" i="7"/>
  <c r="H916" i="7"/>
  <c r="F917" i="7"/>
  <c r="G917" i="7"/>
  <c r="H917" i="7"/>
  <c r="F918" i="7"/>
  <c r="G918" i="7"/>
  <c r="H918" i="7"/>
  <c r="F919" i="7"/>
  <c r="G919" i="7"/>
  <c r="H919" i="7"/>
  <c r="F920" i="7"/>
  <c r="G920" i="7"/>
  <c r="H920" i="7"/>
  <c r="F921" i="7"/>
  <c r="G921" i="7"/>
  <c r="H921" i="7"/>
  <c r="F922" i="7"/>
  <c r="G922" i="7"/>
  <c r="H922" i="7"/>
  <c r="F923" i="7"/>
  <c r="G923" i="7"/>
  <c r="H923" i="7"/>
  <c r="F924" i="7"/>
  <c r="G924" i="7"/>
  <c r="H924" i="7"/>
  <c r="F925" i="7"/>
  <c r="G925" i="7"/>
  <c r="H925" i="7"/>
  <c r="F926" i="7"/>
  <c r="G926" i="7"/>
  <c r="H926" i="7"/>
  <c r="F927" i="7"/>
  <c r="G927" i="7"/>
  <c r="H927" i="7"/>
  <c r="F928" i="7"/>
  <c r="G928" i="7"/>
  <c r="H928" i="7"/>
  <c r="F929" i="7"/>
  <c r="G929" i="7"/>
  <c r="H929" i="7"/>
  <c r="F930" i="7"/>
  <c r="G930" i="7"/>
  <c r="H930" i="7"/>
  <c r="F931" i="7"/>
  <c r="G931" i="7"/>
  <c r="H931" i="7"/>
  <c r="F932" i="7"/>
  <c r="G932" i="7"/>
  <c r="H932" i="7"/>
  <c r="F933" i="7"/>
  <c r="G933" i="7"/>
  <c r="H933" i="7"/>
  <c r="F934" i="7"/>
  <c r="G934" i="7"/>
  <c r="H934" i="7"/>
  <c r="F935" i="7"/>
  <c r="G935" i="7"/>
  <c r="H935" i="7"/>
  <c r="F936" i="7"/>
  <c r="G936" i="7"/>
  <c r="H936" i="7"/>
  <c r="F937" i="7"/>
  <c r="G937" i="7"/>
  <c r="H937" i="7"/>
  <c r="F938" i="7"/>
  <c r="G938" i="7"/>
  <c r="H938" i="7"/>
  <c r="F939" i="7"/>
  <c r="G939" i="7"/>
  <c r="H939" i="7"/>
  <c r="F940" i="7"/>
  <c r="G940" i="7"/>
  <c r="H940" i="7"/>
  <c r="F941" i="7"/>
  <c r="G941" i="7"/>
  <c r="H941" i="7"/>
  <c r="F942" i="7"/>
  <c r="G942" i="7"/>
  <c r="H942" i="7"/>
  <c r="F943" i="7"/>
  <c r="G943" i="7"/>
  <c r="H943" i="7"/>
  <c r="F944" i="7"/>
  <c r="G944" i="7"/>
  <c r="H944" i="7"/>
  <c r="F945" i="7"/>
  <c r="G945" i="7"/>
  <c r="H945" i="7"/>
  <c r="F946" i="7"/>
  <c r="G946" i="7"/>
  <c r="H946" i="7"/>
  <c r="F947" i="7"/>
  <c r="G947" i="7"/>
  <c r="H947" i="7"/>
  <c r="F948" i="7"/>
  <c r="G948" i="7"/>
  <c r="H948" i="7"/>
  <c r="F949" i="7"/>
  <c r="G949" i="7"/>
  <c r="H949" i="7"/>
  <c r="F950" i="7"/>
  <c r="G950" i="7"/>
  <c r="H950" i="7"/>
  <c r="F951" i="7"/>
  <c r="G951" i="7"/>
  <c r="H951" i="7"/>
  <c r="F952" i="7"/>
  <c r="G952" i="7"/>
  <c r="H952" i="7"/>
  <c r="F953" i="7"/>
  <c r="G953" i="7"/>
  <c r="H953" i="7"/>
  <c r="F954" i="7"/>
  <c r="G954" i="7"/>
  <c r="H954" i="7"/>
  <c r="F955" i="7"/>
  <c r="G955" i="7"/>
  <c r="H955" i="7"/>
  <c r="F956" i="7"/>
  <c r="G956" i="7"/>
  <c r="H956" i="7"/>
  <c r="F957" i="7"/>
  <c r="G957" i="7"/>
  <c r="H957" i="7"/>
  <c r="F958" i="7"/>
  <c r="G958" i="7"/>
  <c r="H958" i="7"/>
  <c r="F959" i="7"/>
  <c r="G959" i="7"/>
  <c r="H959" i="7"/>
  <c r="F960" i="7"/>
  <c r="G960" i="7"/>
  <c r="H960" i="7"/>
  <c r="F961" i="7"/>
  <c r="G961" i="7"/>
  <c r="H961" i="7"/>
  <c r="F962" i="7"/>
  <c r="G962" i="7"/>
  <c r="H962" i="7"/>
  <c r="F963" i="7"/>
  <c r="G963" i="7"/>
  <c r="H963" i="7"/>
  <c r="F964" i="7"/>
  <c r="G964" i="7"/>
  <c r="H964" i="7"/>
  <c r="F965" i="7"/>
  <c r="G965" i="7"/>
  <c r="H965" i="7"/>
  <c r="F966" i="7"/>
  <c r="G966" i="7"/>
  <c r="H966" i="7"/>
  <c r="F967" i="7"/>
  <c r="G967" i="7"/>
  <c r="H967" i="7"/>
  <c r="F968" i="7"/>
  <c r="G968" i="7"/>
  <c r="H968" i="7"/>
  <c r="F969" i="7"/>
  <c r="G969" i="7"/>
  <c r="H969" i="7"/>
  <c r="F970" i="7"/>
  <c r="G970" i="7"/>
  <c r="H970" i="7"/>
  <c r="F971" i="7"/>
  <c r="G971" i="7"/>
  <c r="H971" i="7"/>
  <c r="F972" i="7"/>
  <c r="G972" i="7"/>
  <c r="H972" i="7"/>
  <c r="F973" i="7"/>
  <c r="G973" i="7"/>
  <c r="H973" i="7"/>
  <c r="F974" i="7"/>
  <c r="G974" i="7"/>
  <c r="H974" i="7"/>
  <c r="F975" i="7"/>
  <c r="G975" i="7"/>
  <c r="H975" i="7"/>
  <c r="F976" i="7"/>
  <c r="G976" i="7"/>
  <c r="H976" i="7"/>
  <c r="F977" i="7"/>
  <c r="G977" i="7"/>
  <c r="H977" i="7"/>
  <c r="F978" i="7"/>
  <c r="G978" i="7"/>
  <c r="H978" i="7"/>
  <c r="F979" i="7"/>
  <c r="G979" i="7"/>
  <c r="H979" i="7"/>
  <c r="F980" i="7"/>
  <c r="G980" i="7"/>
  <c r="H980" i="7"/>
  <c r="F981" i="7"/>
  <c r="G981" i="7"/>
  <c r="H981" i="7"/>
  <c r="F982" i="7"/>
  <c r="G982" i="7"/>
  <c r="H982" i="7"/>
  <c r="F983" i="7"/>
  <c r="G983" i="7"/>
  <c r="H983" i="7"/>
  <c r="F984" i="7"/>
  <c r="G984" i="7"/>
  <c r="H984" i="7"/>
  <c r="F985" i="7"/>
  <c r="G985" i="7"/>
  <c r="H985" i="7"/>
  <c r="F986" i="7"/>
  <c r="G986" i="7"/>
  <c r="H986" i="7"/>
  <c r="F987" i="7"/>
  <c r="G987" i="7"/>
  <c r="H987" i="7"/>
  <c r="F988" i="7"/>
  <c r="G988" i="7"/>
  <c r="H988" i="7"/>
  <c r="F989" i="7"/>
  <c r="G989" i="7"/>
  <c r="H989" i="7"/>
  <c r="F990" i="7"/>
  <c r="G990" i="7"/>
  <c r="H990" i="7"/>
  <c r="F991" i="7"/>
  <c r="G991" i="7"/>
  <c r="H991" i="7"/>
  <c r="F992" i="7"/>
  <c r="G992" i="7"/>
  <c r="H992" i="7"/>
  <c r="F993" i="7"/>
  <c r="G993" i="7"/>
  <c r="H993" i="7"/>
  <c r="F994" i="7"/>
  <c r="G994" i="7"/>
  <c r="H994" i="7"/>
  <c r="F995" i="7"/>
  <c r="G995" i="7"/>
  <c r="H995" i="7"/>
  <c r="F996" i="7"/>
  <c r="G996" i="7"/>
  <c r="H996" i="7"/>
  <c r="F997" i="7"/>
  <c r="G997" i="7"/>
  <c r="H997" i="7"/>
  <c r="F998" i="7"/>
  <c r="G998" i="7"/>
  <c r="H998" i="7"/>
  <c r="F999" i="7"/>
  <c r="G999" i="7"/>
  <c r="H999" i="7"/>
  <c r="F1000" i="7"/>
  <c r="G1000" i="7"/>
  <c r="H1000" i="7"/>
  <c r="F1001" i="7"/>
  <c r="G1001" i="7"/>
  <c r="H1001" i="7"/>
  <c r="F1002" i="7"/>
  <c r="G1002" i="7"/>
  <c r="H1002" i="7"/>
  <c r="F1003" i="7"/>
  <c r="G1003" i="7"/>
  <c r="H1003" i="7"/>
  <c r="F1004" i="7"/>
  <c r="G1004" i="7"/>
  <c r="H1004" i="7"/>
  <c r="F1005" i="7"/>
  <c r="G1005" i="7"/>
  <c r="H1005" i="7"/>
  <c r="F1006" i="7"/>
  <c r="G1006" i="7"/>
  <c r="H1006" i="7"/>
  <c r="F1007" i="7"/>
  <c r="G1007" i="7"/>
  <c r="H1007" i="7"/>
  <c r="F1008" i="7"/>
  <c r="G1008" i="7"/>
  <c r="H1008" i="7"/>
  <c r="F1009" i="7"/>
  <c r="G1009" i="7"/>
  <c r="H1009" i="7"/>
  <c r="F1010" i="7"/>
  <c r="G1010" i="7"/>
  <c r="H1010" i="7"/>
  <c r="F1011" i="7"/>
  <c r="G1011" i="7"/>
  <c r="H1011" i="7"/>
  <c r="F1012" i="7"/>
  <c r="G1012" i="7"/>
  <c r="H1012" i="7"/>
  <c r="F1013" i="7"/>
  <c r="G1013" i="7"/>
  <c r="H1013" i="7"/>
  <c r="F1014" i="7"/>
  <c r="G1014" i="7"/>
  <c r="H1014" i="7"/>
  <c r="F1015" i="7"/>
  <c r="G1015" i="7"/>
  <c r="H1015" i="7"/>
  <c r="F1016" i="7"/>
  <c r="G1016" i="7"/>
  <c r="H1016" i="7"/>
  <c r="F1017" i="7"/>
  <c r="G1017" i="7"/>
  <c r="H1017" i="7"/>
  <c r="F1018" i="7"/>
  <c r="G1018" i="7"/>
  <c r="H1018" i="7"/>
  <c r="F1019" i="7"/>
  <c r="G1019" i="7"/>
  <c r="H1019" i="7"/>
  <c r="F1020" i="7"/>
  <c r="G1020" i="7"/>
  <c r="H1020" i="7"/>
  <c r="F1021" i="7"/>
  <c r="G1021" i="7"/>
  <c r="H1021" i="7"/>
  <c r="F1022" i="7"/>
  <c r="G1022" i="7"/>
  <c r="H1022" i="7"/>
  <c r="F1023" i="7"/>
  <c r="G1023" i="7"/>
  <c r="H1023" i="7"/>
  <c r="F1024" i="7"/>
  <c r="G1024" i="7"/>
  <c r="H1024" i="7"/>
  <c r="F1025" i="7"/>
  <c r="G1025" i="7"/>
  <c r="H1025" i="7"/>
  <c r="F1026" i="7"/>
  <c r="G1026" i="7"/>
  <c r="H1026" i="7"/>
  <c r="F1027" i="7"/>
  <c r="G1027" i="7"/>
  <c r="H1027" i="7"/>
  <c r="F1028" i="7"/>
  <c r="G1028" i="7"/>
  <c r="H1028" i="7"/>
  <c r="F1029" i="7"/>
  <c r="G1029" i="7"/>
  <c r="H1029" i="7"/>
  <c r="F1030" i="7"/>
  <c r="G1030" i="7"/>
  <c r="H1030" i="7"/>
  <c r="F1031" i="7"/>
  <c r="G1031" i="7"/>
  <c r="H1031" i="7"/>
  <c r="F1032" i="7"/>
  <c r="G1032" i="7"/>
  <c r="H1032" i="7"/>
  <c r="F1033" i="7"/>
  <c r="G1033" i="7"/>
  <c r="H1033" i="7"/>
  <c r="F1034" i="7"/>
  <c r="G1034" i="7"/>
  <c r="H1034" i="7"/>
  <c r="F1035" i="7"/>
  <c r="G1035" i="7"/>
  <c r="H1035" i="7"/>
  <c r="F1036" i="7"/>
  <c r="G1036" i="7"/>
  <c r="H1036" i="7"/>
  <c r="F1037" i="7"/>
  <c r="G1037" i="7"/>
  <c r="H1037" i="7"/>
  <c r="F1038" i="7"/>
  <c r="G1038" i="7"/>
  <c r="H1038" i="7"/>
  <c r="F1039" i="7"/>
  <c r="G1039" i="7"/>
  <c r="H1039" i="7"/>
  <c r="F1040" i="7"/>
  <c r="G1040" i="7"/>
  <c r="H1040" i="7"/>
  <c r="F1041" i="7"/>
  <c r="G1041" i="7"/>
  <c r="H1041" i="7"/>
  <c r="F1042" i="7"/>
  <c r="G1042" i="7"/>
  <c r="H1042" i="7"/>
  <c r="F1043" i="7"/>
  <c r="G1043" i="7"/>
  <c r="H1043" i="7"/>
  <c r="F1044" i="7"/>
  <c r="G1044" i="7"/>
  <c r="H1044" i="7"/>
  <c r="F1045" i="7"/>
  <c r="G1045" i="7"/>
  <c r="H1045" i="7"/>
  <c r="F1046" i="7"/>
  <c r="G1046" i="7"/>
  <c r="H1046" i="7"/>
  <c r="F1047" i="7"/>
  <c r="G1047" i="7"/>
  <c r="H1047" i="7"/>
  <c r="F1048" i="7"/>
  <c r="G1048" i="7"/>
  <c r="H1048" i="7"/>
  <c r="F1049" i="7"/>
  <c r="G1049" i="7"/>
  <c r="H1049" i="7"/>
  <c r="F1050" i="7"/>
  <c r="G1050" i="7"/>
  <c r="H1050" i="7"/>
  <c r="F1051" i="7"/>
  <c r="G1051" i="7"/>
  <c r="H1051" i="7"/>
  <c r="F1052" i="7"/>
  <c r="G1052" i="7"/>
  <c r="H1052" i="7"/>
  <c r="F1053" i="7"/>
  <c r="G1053" i="7"/>
  <c r="H1053" i="7"/>
  <c r="F1054" i="7"/>
  <c r="G1054" i="7"/>
  <c r="H1054" i="7"/>
  <c r="F1055" i="7"/>
  <c r="G1055" i="7"/>
  <c r="H1055" i="7"/>
  <c r="F1056" i="7"/>
  <c r="G1056" i="7"/>
  <c r="H1056" i="7"/>
  <c r="F1057" i="7"/>
  <c r="G1057" i="7"/>
  <c r="H1057" i="7"/>
  <c r="F1058" i="7"/>
  <c r="G1058" i="7"/>
  <c r="H1058" i="7"/>
  <c r="F1059" i="7"/>
  <c r="G1059" i="7"/>
  <c r="H1059" i="7"/>
  <c r="F1060" i="7"/>
  <c r="G1060" i="7"/>
  <c r="H1060" i="7"/>
  <c r="F1061" i="7"/>
  <c r="G1061" i="7"/>
  <c r="H1061" i="7"/>
  <c r="F1062" i="7"/>
  <c r="G1062" i="7"/>
  <c r="H1062" i="7"/>
  <c r="F1063" i="7"/>
  <c r="G1063" i="7"/>
  <c r="H1063" i="7"/>
  <c r="F1064" i="7"/>
  <c r="G1064" i="7"/>
  <c r="H1064" i="7"/>
  <c r="F1065" i="7"/>
  <c r="G1065" i="7"/>
  <c r="H1065" i="7"/>
  <c r="F1066" i="7"/>
  <c r="G1066" i="7"/>
  <c r="H1066" i="7"/>
  <c r="F1067" i="7"/>
  <c r="G1067" i="7"/>
  <c r="H1067" i="7"/>
  <c r="F1068" i="7"/>
  <c r="G1068" i="7"/>
  <c r="H1068" i="7"/>
  <c r="F1069" i="7"/>
  <c r="G1069" i="7"/>
  <c r="H1069" i="7"/>
  <c r="F1070" i="7"/>
  <c r="G1070" i="7"/>
  <c r="H1070" i="7"/>
  <c r="F1071" i="7"/>
  <c r="G1071" i="7"/>
  <c r="H1071" i="7"/>
  <c r="F1072" i="7"/>
  <c r="G1072" i="7"/>
  <c r="H1072" i="7"/>
  <c r="F1073" i="7"/>
  <c r="G1073" i="7"/>
  <c r="H1073" i="7"/>
  <c r="F1074" i="7"/>
  <c r="G1074" i="7"/>
  <c r="H1074" i="7"/>
  <c r="F1075" i="7"/>
  <c r="G1075" i="7"/>
  <c r="H1075" i="7"/>
  <c r="F1076" i="7"/>
  <c r="G1076" i="7"/>
  <c r="H1076" i="7"/>
  <c r="F1077" i="7"/>
  <c r="G1077" i="7"/>
  <c r="H1077" i="7"/>
  <c r="F1078" i="7"/>
  <c r="G1078" i="7"/>
  <c r="H1078" i="7"/>
  <c r="F1079" i="7"/>
  <c r="G1079" i="7"/>
  <c r="H1079" i="7"/>
  <c r="F1080" i="7"/>
  <c r="G1080" i="7"/>
  <c r="H1080" i="7"/>
  <c r="F1081" i="7"/>
  <c r="G1081" i="7"/>
  <c r="H1081" i="7"/>
  <c r="F1082" i="7"/>
  <c r="G1082" i="7"/>
  <c r="H1082" i="7"/>
  <c r="F1083" i="7"/>
  <c r="G1083" i="7"/>
  <c r="H1083" i="7"/>
  <c r="F1084" i="7"/>
  <c r="G1084" i="7"/>
  <c r="H1084" i="7"/>
  <c r="F1085" i="7"/>
  <c r="G1085" i="7"/>
  <c r="H1085" i="7"/>
  <c r="F1086" i="7"/>
  <c r="G1086" i="7"/>
  <c r="H1086" i="7"/>
  <c r="F1087" i="7"/>
  <c r="G1087" i="7"/>
  <c r="H1087" i="7"/>
  <c r="F1088" i="7"/>
  <c r="G1088" i="7"/>
  <c r="H1088" i="7"/>
  <c r="F1089" i="7"/>
  <c r="G1089" i="7"/>
  <c r="H1089" i="7"/>
  <c r="F1090" i="7"/>
  <c r="G1090" i="7"/>
  <c r="H1090" i="7"/>
  <c r="F1091" i="7"/>
  <c r="G1091" i="7"/>
  <c r="H1091" i="7"/>
  <c r="F1092" i="7"/>
  <c r="G1092" i="7"/>
  <c r="H1092" i="7"/>
  <c r="F1093" i="7"/>
  <c r="G1093" i="7"/>
  <c r="H1093" i="7"/>
  <c r="F1094" i="7"/>
  <c r="G1094" i="7"/>
  <c r="H1094" i="7"/>
  <c r="F1095" i="7"/>
  <c r="G1095" i="7"/>
  <c r="H1095" i="7"/>
  <c r="F1096" i="7"/>
  <c r="G1096" i="7"/>
  <c r="H1096" i="7"/>
  <c r="F1097" i="7"/>
  <c r="G1097" i="7"/>
  <c r="H1097" i="7"/>
  <c r="F1098" i="7"/>
  <c r="G1098" i="7"/>
  <c r="H1098" i="7"/>
  <c r="F1099" i="7"/>
  <c r="G1099" i="7"/>
  <c r="H1099" i="7"/>
  <c r="F1100" i="7"/>
  <c r="G1100" i="7"/>
  <c r="H1100" i="7"/>
  <c r="F1101" i="7"/>
  <c r="G1101" i="7"/>
  <c r="H1101" i="7"/>
  <c r="F1102" i="7"/>
  <c r="G1102" i="7"/>
  <c r="H1102" i="7"/>
  <c r="F1103" i="7"/>
  <c r="G1103" i="7"/>
  <c r="H1103" i="7"/>
  <c r="F1104" i="7"/>
  <c r="G1104" i="7"/>
  <c r="H1104" i="7"/>
  <c r="F1105" i="7"/>
  <c r="G1105" i="7"/>
  <c r="H1105" i="7"/>
  <c r="F1106" i="7"/>
  <c r="G1106" i="7"/>
  <c r="H1106" i="7"/>
  <c r="F1107" i="7"/>
  <c r="G1107" i="7"/>
  <c r="H1107" i="7"/>
  <c r="F1108" i="7"/>
  <c r="G1108" i="7"/>
  <c r="H1108" i="7"/>
  <c r="F1109" i="7"/>
  <c r="G1109" i="7"/>
  <c r="H1109" i="7"/>
  <c r="F1110" i="7"/>
  <c r="G1110" i="7"/>
  <c r="H1110" i="7"/>
  <c r="F1111" i="7"/>
  <c r="G1111" i="7"/>
  <c r="H1111" i="7"/>
  <c r="F1112" i="7"/>
  <c r="G1112" i="7"/>
  <c r="H1112" i="7"/>
  <c r="F1113" i="7"/>
  <c r="G1113" i="7"/>
  <c r="H1113" i="7"/>
  <c r="F1114" i="7"/>
  <c r="G1114" i="7"/>
  <c r="H1114" i="7"/>
  <c r="F1115" i="7"/>
  <c r="G1115" i="7"/>
  <c r="H1115" i="7"/>
  <c r="F1116" i="7"/>
  <c r="G1116" i="7"/>
  <c r="H1116" i="7"/>
  <c r="F1117" i="7"/>
  <c r="G1117" i="7"/>
  <c r="H1117" i="7"/>
  <c r="F1118" i="7"/>
  <c r="G1118" i="7"/>
  <c r="H1118" i="7"/>
  <c r="F1119" i="7"/>
  <c r="G1119" i="7"/>
  <c r="H1119" i="7"/>
  <c r="F1120" i="7"/>
  <c r="G1120" i="7"/>
  <c r="H1120" i="7"/>
  <c r="F1121" i="7"/>
  <c r="G1121" i="7"/>
  <c r="H1121" i="7"/>
  <c r="F1122" i="7"/>
  <c r="G1122" i="7"/>
  <c r="H1122" i="7"/>
  <c r="F1123" i="7"/>
  <c r="G1123" i="7"/>
  <c r="H1123" i="7"/>
  <c r="F1124" i="7"/>
  <c r="G1124" i="7"/>
  <c r="H1124" i="7"/>
  <c r="F1125" i="7"/>
  <c r="G1125" i="7"/>
  <c r="H1125" i="7"/>
  <c r="F1126" i="7"/>
  <c r="G1126" i="7"/>
  <c r="H1126" i="7"/>
  <c r="F1127" i="7"/>
  <c r="G1127" i="7"/>
  <c r="H1127" i="7"/>
  <c r="F1128" i="7"/>
  <c r="G1128" i="7"/>
  <c r="H1128" i="7"/>
  <c r="F1129" i="7"/>
  <c r="G1129" i="7"/>
  <c r="H1129" i="7"/>
  <c r="F1130" i="7"/>
  <c r="G1130" i="7"/>
  <c r="H1130" i="7"/>
  <c r="F1131" i="7"/>
  <c r="G1131" i="7"/>
  <c r="H1131" i="7"/>
  <c r="F1132" i="7"/>
  <c r="G1132" i="7"/>
  <c r="H1132" i="7"/>
  <c r="F1133" i="7"/>
  <c r="G1133" i="7"/>
  <c r="H1133" i="7"/>
  <c r="F1134" i="7"/>
  <c r="G1134" i="7"/>
  <c r="H1134" i="7"/>
  <c r="F1135" i="7"/>
  <c r="G1135" i="7"/>
  <c r="H1135" i="7"/>
  <c r="F1136" i="7"/>
  <c r="G1136" i="7"/>
  <c r="H1136" i="7"/>
  <c r="F1137" i="7"/>
  <c r="G1137" i="7"/>
  <c r="H1137" i="7"/>
  <c r="F1138" i="7"/>
  <c r="G1138" i="7"/>
  <c r="H1138" i="7"/>
  <c r="F1139" i="7"/>
  <c r="G1139" i="7"/>
  <c r="H1139" i="7"/>
  <c r="F1140" i="7"/>
  <c r="G1140" i="7"/>
  <c r="H1140" i="7"/>
  <c r="F1141" i="7"/>
  <c r="G1141" i="7"/>
  <c r="H1141" i="7"/>
  <c r="F1142" i="7"/>
  <c r="G1142" i="7"/>
  <c r="H1142" i="7"/>
  <c r="F1143" i="7"/>
  <c r="G1143" i="7"/>
  <c r="H1143" i="7"/>
  <c r="F1144" i="7"/>
  <c r="G1144" i="7"/>
  <c r="H1144" i="7"/>
  <c r="F1145" i="7"/>
  <c r="G1145" i="7"/>
  <c r="H1145" i="7"/>
  <c r="F1146" i="7"/>
  <c r="G1146" i="7"/>
  <c r="H1146" i="7"/>
  <c r="F1147" i="7"/>
  <c r="G1147" i="7"/>
  <c r="H1147" i="7"/>
  <c r="F1148" i="7"/>
  <c r="G1148" i="7"/>
  <c r="H1148" i="7"/>
  <c r="F1149" i="7"/>
  <c r="G1149" i="7"/>
  <c r="H1149" i="7"/>
  <c r="F1150" i="7"/>
  <c r="G1150" i="7"/>
  <c r="H1150" i="7"/>
  <c r="F1151" i="7"/>
  <c r="G1151" i="7"/>
  <c r="H1151" i="7"/>
  <c r="F1152" i="7"/>
  <c r="G1152" i="7"/>
  <c r="H1152" i="7"/>
  <c r="F1153" i="7"/>
  <c r="G1153" i="7"/>
  <c r="H1153" i="7"/>
  <c r="F1154" i="7"/>
  <c r="G1154" i="7"/>
  <c r="H1154" i="7"/>
  <c r="F1155" i="7"/>
  <c r="G1155" i="7"/>
  <c r="H1155" i="7"/>
  <c r="F1156" i="7"/>
  <c r="G1156" i="7"/>
  <c r="H1156" i="7"/>
  <c r="F1157" i="7"/>
  <c r="G1157" i="7"/>
  <c r="H1157" i="7"/>
  <c r="F1158" i="7"/>
  <c r="G1158" i="7"/>
  <c r="H1158" i="7"/>
  <c r="F1159" i="7"/>
  <c r="G1159" i="7"/>
  <c r="H1159" i="7"/>
  <c r="F1160" i="7"/>
  <c r="G1160" i="7"/>
  <c r="H1160" i="7"/>
  <c r="F1161" i="7"/>
  <c r="G1161" i="7"/>
  <c r="H1161" i="7"/>
  <c r="F1162" i="7"/>
  <c r="G1162" i="7"/>
  <c r="H1162" i="7"/>
  <c r="F1163" i="7"/>
  <c r="G1163" i="7"/>
  <c r="H1163" i="7"/>
  <c r="F1164" i="7"/>
  <c r="G1164" i="7"/>
  <c r="H1164" i="7"/>
  <c r="F1165" i="7"/>
  <c r="G1165" i="7"/>
  <c r="H1165" i="7"/>
  <c r="F1166" i="7"/>
  <c r="G1166" i="7"/>
  <c r="H1166" i="7"/>
  <c r="F1167" i="7"/>
  <c r="G1167" i="7"/>
  <c r="H1167" i="7"/>
  <c r="F1168" i="7"/>
  <c r="G1168" i="7"/>
  <c r="H1168" i="7"/>
  <c r="F1169" i="7"/>
  <c r="G1169" i="7"/>
  <c r="H1169" i="7"/>
  <c r="F1170" i="7"/>
  <c r="G1170" i="7"/>
  <c r="H1170" i="7"/>
  <c r="F1171" i="7"/>
  <c r="G1171" i="7"/>
  <c r="H1171" i="7"/>
  <c r="F1172" i="7"/>
  <c r="G1172" i="7"/>
  <c r="H1172" i="7"/>
  <c r="F1173" i="7"/>
  <c r="G1173" i="7"/>
  <c r="H1173" i="7"/>
  <c r="F1174" i="7"/>
  <c r="G1174" i="7"/>
  <c r="H1174" i="7"/>
  <c r="F1175" i="7"/>
  <c r="G1175" i="7"/>
  <c r="H1175" i="7"/>
  <c r="F1176" i="7"/>
  <c r="G1176" i="7"/>
  <c r="H1176" i="7"/>
  <c r="F1177" i="7"/>
  <c r="G1177" i="7"/>
  <c r="H1177" i="7"/>
  <c r="F1178" i="7"/>
  <c r="G1178" i="7"/>
  <c r="H1178" i="7"/>
  <c r="F1179" i="7"/>
  <c r="G1179" i="7"/>
  <c r="H1179" i="7"/>
  <c r="F1180" i="7"/>
  <c r="G1180" i="7"/>
  <c r="H1180" i="7"/>
  <c r="F1181" i="7"/>
  <c r="G1181" i="7"/>
  <c r="H1181" i="7"/>
  <c r="F1182" i="7"/>
  <c r="G1182" i="7"/>
  <c r="H1182" i="7"/>
  <c r="F1183" i="7"/>
  <c r="G1183" i="7"/>
  <c r="H1183" i="7"/>
  <c r="F1184" i="7"/>
  <c r="G1184" i="7"/>
  <c r="H1184" i="7"/>
  <c r="F1185" i="7"/>
  <c r="G1185" i="7"/>
  <c r="H1185" i="7"/>
  <c r="F1186" i="7"/>
  <c r="G1186" i="7"/>
  <c r="H1186" i="7"/>
  <c r="F1187" i="7"/>
  <c r="G1187" i="7"/>
  <c r="H1187" i="7"/>
  <c r="F1188" i="7"/>
  <c r="G1188" i="7"/>
  <c r="H1188" i="7"/>
  <c r="F1189" i="7"/>
  <c r="G1189" i="7"/>
  <c r="H1189" i="7"/>
  <c r="F1190" i="7"/>
  <c r="G1190" i="7"/>
  <c r="H1190" i="7"/>
  <c r="F1191" i="7"/>
  <c r="G1191" i="7"/>
  <c r="H1191" i="7"/>
  <c r="F1192" i="7"/>
  <c r="G1192" i="7"/>
  <c r="H1192" i="7"/>
  <c r="F1193" i="7"/>
  <c r="G1193" i="7"/>
  <c r="H1193" i="7"/>
  <c r="F1194" i="7"/>
  <c r="G1194" i="7"/>
  <c r="H1194" i="7"/>
  <c r="F1195" i="7"/>
  <c r="G1195" i="7"/>
  <c r="H1195" i="7"/>
  <c r="F1196" i="7"/>
  <c r="G1196" i="7"/>
  <c r="H1196" i="7"/>
  <c r="F1197" i="7"/>
  <c r="G1197" i="7"/>
  <c r="H1197" i="7"/>
  <c r="F1198" i="7"/>
  <c r="G1198" i="7"/>
  <c r="H1198" i="7"/>
  <c r="F1199" i="7"/>
  <c r="G1199" i="7"/>
  <c r="H1199" i="7"/>
  <c r="F1200" i="7"/>
  <c r="G1200" i="7"/>
  <c r="H1200" i="7"/>
  <c r="F1201" i="7"/>
  <c r="G1201" i="7"/>
  <c r="H1201" i="7"/>
  <c r="F1202" i="7"/>
  <c r="G1202" i="7"/>
  <c r="H1202" i="7"/>
  <c r="F1203" i="7"/>
  <c r="G1203" i="7"/>
  <c r="H1203" i="7"/>
  <c r="F1204" i="7"/>
  <c r="G1204" i="7"/>
  <c r="H1204" i="7"/>
  <c r="F1205" i="7"/>
  <c r="G1205" i="7"/>
  <c r="H1205" i="7"/>
  <c r="F1206" i="7"/>
  <c r="G1206" i="7"/>
  <c r="H1206" i="7"/>
  <c r="F1207" i="7"/>
  <c r="G1207" i="7"/>
  <c r="H1207" i="7"/>
  <c r="F1208" i="7"/>
  <c r="G1208" i="7"/>
  <c r="H1208" i="7"/>
  <c r="F1209" i="7"/>
  <c r="G1209" i="7"/>
  <c r="H1209" i="7"/>
  <c r="F1210" i="7"/>
  <c r="G1210" i="7"/>
  <c r="H1210" i="7"/>
  <c r="F1211" i="7"/>
  <c r="G1211" i="7"/>
  <c r="H1211" i="7"/>
  <c r="F1212" i="7"/>
  <c r="G1212" i="7"/>
  <c r="H1212" i="7"/>
  <c r="F1213" i="7"/>
  <c r="G1213" i="7"/>
  <c r="H1213" i="7"/>
  <c r="F1214" i="7"/>
  <c r="G1214" i="7"/>
  <c r="H1214" i="7"/>
  <c r="F1215" i="7"/>
  <c r="G1215" i="7"/>
  <c r="H1215" i="7"/>
  <c r="F1216" i="7"/>
  <c r="G1216" i="7"/>
  <c r="H1216" i="7"/>
  <c r="F1217" i="7"/>
  <c r="G1217" i="7"/>
  <c r="H1217" i="7"/>
  <c r="F1218" i="7"/>
  <c r="G1218" i="7"/>
  <c r="H1218" i="7"/>
  <c r="F1219" i="7"/>
  <c r="G1219" i="7"/>
  <c r="H1219" i="7"/>
  <c r="F1220" i="7"/>
  <c r="G1220" i="7"/>
  <c r="H1220" i="7"/>
  <c r="F1221" i="7"/>
  <c r="G1221" i="7"/>
  <c r="H1221" i="7"/>
  <c r="F1222" i="7"/>
  <c r="G1222" i="7"/>
  <c r="H1222" i="7"/>
  <c r="F1223" i="7"/>
  <c r="G1223" i="7"/>
  <c r="H1223" i="7"/>
  <c r="F1224" i="7"/>
  <c r="G1224" i="7"/>
  <c r="H1224" i="7"/>
  <c r="F1225" i="7"/>
  <c r="G1225" i="7"/>
  <c r="H1225" i="7"/>
  <c r="F1226" i="7"/>
  <c r="G1226" i="7"/>
  <c r="H1226" i="7"/>
  <c r="F1227" i="7"/>
  <c r="G1227" i="7"/>
  <c r="H1227" i="7"/>
  <c r="F1228" i="7"/>
  <c r="G1228" i="7"/>
  <c r="H1228" i="7"/>
  <c r="F1229" i="7"/>
  <c r="G1229" i="7"/>
  <c r="H1229" i="7"/>
  <c r="F1230" i="7"/>
  <c r="G1230" i="7"/>
  <c r="H1230" i="7"/>
  <c r="F1231" i="7"/>
  <c r="G1231" i="7"/>
  <c r="H1231" i="7"/>
  <c r="F1232" i="7"/>
  <c r="G1232" i="7"/>
  <c r="H1232" i="7"/>
  <c r="F1233" i="7"/>
  <c r="G1233" i="7"/>
  <c r="H1233" i="7"/>
  <c r="F1234" i="7"/>
  <c r="G1234" i="7"/>
  <c r="H1234" i="7"/>
  <c r="F1235" i="7"/>
  <c r="G1235" i="7"/>
  <c r="H1235" i="7"/>
  <c r="F1236" i="7"/>
  <c r="G1236" i="7"/>
  <c r="H1236" i="7"/>
  <c r="F1237" i="7"/>
  <c r="G1237" i="7"/>
  <c r="H1237" i="7"/>
  <c r="F1238" i="7"/>
  <c r="G1238" i="7"/>
  <c r="H1238" i="7"/>
  <c r="F1239" i="7"/>
  <c r="G1239" i="7"/>
  <c r="H1239" i="7"/>
  <c r="F1240" i="7"/>
  <c r="G1240" i="7"/>
  <c r="H1240" i="7"/>
  <c r="F1241" i="7"/>
  <c r="G1241" i="7"/>
  <c r="H1241" i="7"/>
  <c r="F1242" i="7"/>
  <c r="G1242" i="7"/>
  <c r="H1242" i="7"/>
  <c r="F1243" i="7"/>
  <c r="G1243" i="7"/>
  <c r="H1243" i="7"/>
  <c r="F1244" i="7"/>
  <c r="G1244" i="7"/>
  <c r="H1244" i="7"/>
  <c r="F1245" i="7"/>
  <c r="G1245" i="7"/>
  <c r="H1245" i="7"/>
  <c r="F1246" i="7"/>
  <c r="G1246" i="7"/>
  <c r="H1246" i="7"/>
  <c r="F1247" i="7"/>
  <c r="G1247" i="7"/>
  <c r="H1247" i="7"/>
  <c r="F1248" i="7"/>
  <c r="G1248" i="7"/>
  <c r="H1248" i="7"/>
  <c r="F1249" i="7"/>
  <c r="G1249" i="7"/>
  <c r="H1249" i="7"/>
  <c r="F1250" i="7"/>
  <c r="G1250" i="7"/>
  <c r="H1250" i="7"/>
  <c r="F1251" i="7"/>
  <c r="G1251" i="7"/>
  <c r="H1251" i="7"/>
  <c r="F1252" i="7"/>
  <c r="G1252" i="7"/>
  <c r="H1252" i="7"/>
  <c r="F1253" i="7"/>
  <c r="G1253" i="7"/>
  <c r="H1253" i="7"/>
  <c r="F1254" i="7"/>
  <c r="G1254" i="7"/>
  <c r="H1254" i="7"/>
  <c r="F1255" i="7"/>
  <c r="G1255" i="7"/>
  <c r="H1255" i="7"/>
  <c r="F1256" i="7"/>
  <c r="G1256" i="7"/>
  <c r="H1256" i="7"/>
  <c r="F1257" i="7"/>
  <c r="G1257" i="7"/>
  <c r="H1257" i="7"/>
  <c r="F1258" i="7"/>
  <c r="G1258" i="7"/>
  <c r="H1258" i="7"/>
  <c r="F1259" i="7"/>
  <c r="G1259" i="7"/>
  <c r="H1259" i="7"/>
  <c r="F1260" i="7"/>
  <c r="G1260" i="7"/>
  <c r="H1260" i="7"/>
  <c r="F1261" i="7"/>
  <c r="G1261" i="7"/>
  <c r="H1261" i="7"/>
  <c r="F1262" i="7"/>
  <c r="G1262" i="7"/>
  <c r="H1262" i="7"/>
  <c r="F1263" i="7"/>
  <c r="G1263" i="7"/>
  <c r="H1263" i="7"/>
  <c r="F1264" i="7"/>
  <c r="G1264" i="7"/>
  <c r="H1264" i="7"/>
  <c r="F1265" i="7"/>
  <c r="G1265" i="7"/>
  <c r="H1265" i="7"/>
  <c r="F1266" i="7"/>
  <c r="G1266" i="7"/>
  <c r="H1266" i="7"/>
  <c r="F1267" i="7"/>
  <c r="G1267" i="7"/>
  <c r="H1267" i="7"/>
  <c r="F1268" i="7"/>
  <c r="G1268" i="7"/>
  <c r="H1268" i="7"/>
  <c r="F1269" i="7"/>
  <c r="G1269" i="7"/>
  <c r="H1269" i="7"/>
  <c r="F1270" i="7"/>
  <c r="G1270" i="7"/>
  <c r="H1270" i="7"/>
  <c r="F1271" i="7"/>
  <c r="G1271" i="7"/>
  <c r="H1271" i="7"/>
  <c r="F1272" i="7"/>
  <c r="G1272" i="7"/>
  <c r="H1272" i="7"/>
  <c r="F1273" i="7"/>
  <c r="G1273" i="7"/>
  <c r="H1273" i="7"/>
  <c r="F1274" i="7"/>
  <c r="G1274" i="7"/>
  <c r="H1274" i="7"/>
  <c r="F1275" i="7"/>
  <c r="G1275" i="7"/>
  <c r="H1275" i="7"/>
  <c r="F1276" i="7"/>
  <c r="G1276" i="7"/>
  <c r="H1276" i="7"/>
  <c r="F1277" i="7"/>
  <c r="G1277" i="7"/>
  <c r="H1277" i="7"/>
  <c r="F1278" i="7"/>
  <c r="G1278" i="7"/>
  <c r="H1278" i="7"/>
  <c r="F1279" i="7"/>
  <c r="G1279" i="7"/>
  <c r="H1279" i="7"/>
  <c r="F1280" i="7"/>
  <c r="G1280" i="7"/>
  <c r="H1280" i="7"/>
  <c r="F1281" i="7"/>
  <c r="G1281" i="7"/>
  <c r="H1281" i="7"/>
  <c r="F1282" i="7"/>
  <c r="G1282" i="7"/>
  <c r="H1282" i="7"/>
  <c r="F1283" i="7"/>
  <c r="G1283" i="7"/>
  <c r="H1283" i="7"/>
  <c r="F1284" i="7"/>
  <c r="G1284" i="7"/>
  <c r="H1284" i="7"/>
  <c r="F1285" i="7"/>
  <c r="G1285" i="7"/>
  <c r="H1285" i="7"/>
  <c r="F1286" i="7"/>
  <c r="G1286" i="7"/>
  <c r="H1286" i="7"/>
  <c r="F1287" i="7"/>
  <c r="G1287" i="7"/>
  <c r="H1287" i="7"/>
  <c r="F1288" i="7"/>
  <c r="G1288" i="7"/>
  <c r="H1288" i="7"/>
  <c r="F1289" i="7"/>
  <c r="G1289" i="7"/>
  <c r="H1289" i="7"/>
  <c r="F1290" i="7"/>
  <c r="G1290" i="7"/>
  <c r="H1290" i="7"/>
  <c r="F1291" i="7"/>
  <c r="G1291" i="7"/>
  <c r="H1291" i="7"/>
  <c r="F1292" i="7"/>
  <c r="G1292" i="7"/>
  <c r="H1292" i="7"/>
  <c r="F1293" i="7"/>
  <c r="G1293" i="7"/>
  <c r="H1293" i="7"/>
  <c r="F1294" i="7"/>
  <c r="G1294" i="7"/>
  <c r="H1294" i="7"/>
  <c r="F1295" i="7"/>
  <c r="G1295" i="7"/>
  <c r="H1295" i="7"/>
  <c r="F1296" i="7"/>
  <c r="G1296" i="7"/>
  <c r="H1296" i="7"/>
  <c r="F1297" i="7"/>
  <c r="G1297" i="7"/>
  <c r="H1297" i="7"/>
  <c r="F1298" i="7"/>
  <c r="G1298" i="7"/>
  <c r="H1298" i="7"/>
  <c r="F1299" i="7"/>
  <c r="G1299" i="7"/>
  <c r="H1299" i="7"/>
  <c r="F1300" i="7"/>
  <c r="G1300" i="7"/>
  <c r="H1300" i="7"/>
  <c r="F1301" i="7"/>
  <c r="G1301" i="7"/>
  <c r="H1301" i="7"/>
  <c r="F1302" i="7"/>
  <c r="G1302" i="7"/>
  <c r="H1302" i="7"/>
  <c r="F1303" i="7"/>
  <c r="G1303" i="7"/>
  <c r="H1303" i="7"/>
  <c r="F1304" i="7"/>
  <c r="G1304" i="7"/>
  <c r="H1304" i="7"/>
  <c r="F1305" i="7"/>
  <c r="G1305" i="7"/>
  <c r="H1305" i="7"/>
  <c r="F1306" i="7"/>
  <c r="G1306" i="7"/>
  <c r="H1306" i="7"/>
  <c r="F1307" i="7"/>
  <c r="G1307" i="7"/>
  <c r="H1307" i="7"/>
  <c r="F1308" i="7"/>
  <c r="G1308" i="7"/>
  <c r="H1308" i="7"/>
  <c r="F1309" i="7"/>
  <c r="G1309" i="7"/>
  <c r="H1309" i="7"/>
  <c r="F1310" i="7"/>
  <c r="G1310" i="7"/>
  <c r="H1310" i="7"/>
  <c r="F1311" i="7"/>
  <c r="G1311" i="7"/>
  <c r="H1311" i="7"/>
  <c r="F1312" i="7"/>
  <c r="G1312" i="7"/>
  <c r="H1312" i="7"/>
  <c r="F1313" i="7"/>
  <c r="G1313" i="7"/>
  <c r="H1313" i="7"/>
  <c r="F1314" i="7"/>
  <c r="G1314" i="7"/>
  <c r="H1314" i="7"/>
  <c r="F1315" i="7"/>
  <c r="G1315" i="7"/>
  <c r="H1315" i="7"/>
  <c r="F1316" i="7"/>
  <c r="G1316" i="7"/>
  <c r="H1316" i="7"/>
  <c r="F1317" i="7"/>
  <c r="G1317" i="7"/>
  <c r="H1317" i="7"/>
  <c r="F1318" i="7"/>
  <c r="G1318" i="7"/>
  <c r="H1318" i="7"/>
  <c r="F1319" i="7"/>
  <c r="G1319" i="7"/>
  <c r="H1319" i="7"/>
  <c r="F1320" i="7"/>
  <c r="G1320" i="7"/>
  <c r="H1320" i="7"/>
  <c r="F1321" i="7"/>
  <c r="G1321" i="7"/>
  <c r="H1321" i="7"/>
  <c r="F1322" i="7"/>
  <c r="G1322" i="7"/>
  <c r="H1322" i="7"/>
  <c r="F1323" i="7"/>
  <c r="G1323" i="7"/>
  <c r="H1323" i="7"/>
  <c r="F1324" i="7"/>
  <c r="G1324" i="7"/>
  <c r="H1324" i="7"/>
  <c r="F1325" i="7"/>
  <c r="G1325" i="7"/>
  <c r="H1325" i="7"/>
  <c r="F1326" i="7"/>
  <c r="G1326" i="7"/>
  <c r="H1326" i="7"/>
  <c r="F1327" i="7"/>
  <c r="G1327" i="7"/>
  <c r="H1327" i="7"/>
  <c r="F1328" i="7"/>
  <c r="G1328" i="7"/>
  <c r="H1328" i="7"/>
  <c r="F1329" i="7"/>
  <c r="G1329" i="7"/>
  <c r="H1329" i="7"/>
  <c r="F1330" i="7"/>
  <c r="G1330" i="7"/>
  <c r="H1330" i="7"/>
  <c r="F1331" i="7"/>
  <c r="G1331" i="7"/>
  <c r="H1331" i="7"/>
  <c r="F1332" i="7"/>
  <c r="G1332" i="7"/>
  <c r="H1332" i="7"/>
  <c r="F1333" i="7"/>
  <c r="G1333" i="7"/>
  <c r="H1333" i="7"/>
  <c r="F1334" i="7"/>
  <c r="G1334" i="7"/>
  <c r="H1334" i="7"/>
  <c r="F1335" i="7"/>
  <c r="G1335" i="7"/>
  <c r="H1335" i="7"/>
  <c r="F1336" i="7"/>
  <c r="G1336" i="7"/>
  <c r="H1336" i="7"/>
  <c r="F1337" i="7"/>
  <c r="G1337" i="7"/>
  <c r="H1337" i="7"/>
  <c r="F1338" i="7"/>
  <c r="G1338" i="7"/>
  <c r="H1338" i="7"/>
  <c r="F1339" i="7"/>
  <c r="G1339" i="7"/>
  <c r="H1339" i="7"/>
  <c r="F1340" i="7"/>
  <c r="G1340" i="7"/>
  <c r="H1340" i="7"/>
  <c r="F1341" i="7"/>
  <c r="G1341" i="7"/>
  <c r="H1341" i="7"/>
  <c r="F1342" i="7"/>
  <c r="G1342" i="7"/>
  <c r="H1342" i="7"/>
  <c r="F1343" i="7"/>
  <c r="G1343" i="7"/>
  <c r="H1343" i="7"/>
  <c r="F1344" i="7"/>
  <c r="G1344" i="7"/>
  <c r="H1344" i="7"/>
  <c r="F1345" i="7"/>
  <c r="G1345" i="7"/>
  <c r="H1345" i="7"/>
  <c r="F1346" i="7"/>
  <c r="G1346" i="7"/>
  <c r="H1346" i="7"/>
  <c r="F1347" i="7"/>
  <c r="G1347" i="7"/>
  <c r="H1347" i="7"/>
  <c r="F1348" i="7"/>
  <c r="G1348" i="7"/>
  <c r="H1348" i="7"/>
  <c r="F1349" i="7"/>
  <c r="G1349" i="7"/>
  <c r="H1349" i="7"/>
  <c r="F1350" i="7"/>
  <c r="G1350" i="7"/>
  <c r="H1350" i="7"/>
  <c r="F1351" i="7"/>
  <c r="G1351" i="7"/>
  <c r="H1351" i="7"/>
  <c r="F1352" i="7"/>
  <c r="G1352" i="7"/>
  <c r="H1352" i="7"/>
  <c r="F1353" i="7"/>
  <c r="G1353" i="7"/>
  <c r="H1353" i="7"/>
  <c r="F1354" i="7"/>
  <c r="G1354" i="7"/>
  <c r="H1354" i="7"/>
  <c r="F1355" i="7"/>
  <c r="G1355" i="7"/>
  <c r="H1355" i="7"/>
  <c r="F1356" i="7"/>
  <c r="G1356" i="7"/>
  <c r="H1356" i="7"/>
  <c r="F1357" i="7"/>
  <c r="G1357" i="7"/>
  <c r="H1357" i="7"/>
  <c r="F1358" i="7"/>
  <c r="G1358" i="7"/>
  <c r="H1358" i="7"/>
  <c r="F1359" i="7"/>
  <c r="G1359" i="7"/>
  <c r="H1359" i="7"/>
  <c r="F1360" i="7"/>
  <c r="G1360" i="7"/>
  <c r="H1360" i="7"/>
  <c r="F1361" i="7"/>
  <c r="G1361" i="7"/>
  <c r="H1361" i="7"/>
  <c r="F1362" i="7"/>
  <c r="G1362" i="7"/>
  <c r="H1362" i="7"/>
  <c r="F1363" i="7"/>
  <c r="G1363" i="7"/>
  <c r="H1363" i="7"/>
  <c r="F1364" i="7"/>
  <c r="G1364" i="7"/>
  <c r="H1364" i="7"/>
  <c r="F1365" i="7"/>
  <c r="G1365" i="7"/>
  <c r="H1365" i="7"/>
  <c r="F1366" i="7"/>
  <c r="G1366" i="7"/>
  <c r="H1366" i="7"/>
  <c r="F1367" i="7"/>
  <c r="G1367" i="7"/>
  <c r="H1367" i="7"/>
  <c r="F1368" i="7"/>
  <c r="G1368" i="7"/>
  <c r="H1368" i="7"/>
  <c r="F1369" i="7"/>
  <c r="G1369" i="7"/>
  <c r="H1369" i="7"/>
  <c r="F1370" i="7"/>
  <c r="G1370" i="7"/>
  <c r="H1370" i="7"/>
  <c r="F1371" i="7"/>
  <c r="G1371" i="7"/>
  <c r="H1371" i="7"/>
  <c r="F1372" i="7"/>
  <c r="G1372" i="7"/>
  <c r="H1372" i="7"/>
  <c r="F1373" i="7"/>
  <c r="G1373" i="7"/>
  <c r="H1373" i="7"/>
  <c r="F1374" i="7"/>
  <c r="G1374" i="7"/>
  <c r="H1374" i="7"/>
  <c r="F1375" i="7"/>
  <c r="G1375" i="7"/>
  <c r="H1375" i="7"/>
  <c r="F1376" i="7"/>
  <c r="G1376" i="7"/>
  <c r="H1376" i="7"/>
  <c r="F1377" i="7"/>
  <c r="G1377" i="7"/>
  <c r="H1377" i="7"/>
  <c r="F1378" i="7"/>
  <c r="G1378" i="7"/>
  <c r="H1378" i="7"/>
  <c r="F1379" i="7"/>
  <c r="G1379" i="7"/>
  <c r="H1379" i="7"/>
  <c r="F1380" i="7"/>
  <c r="G1380" i="7"/>
  <c r="H1380" i="7"/>
  <c r="F1381" i="7"/>
  <c r="G1381" i="7"/>
  <c r="H1381" i="7"/>
  <c r="F1382" i="7"/>
  <c r="G1382" i="7"/>
  <c r="H1382" i="7"/>
  <c r="F1383" i="7"/>
  <c r="G1383" i="7"/>
  <c r="H1383" i="7"/>
  <c r="F1384" i="7"/>
  <c r="G1384" i="7"/>
  <c r="H1384" i="7"/>
  <c r="F1385" i="7"/>
  <c r="G1385" i="7"/>
  <c r="H1385" i="7"/>
  <c r="F1386" i="7"/>
  <c r="G1386" i="7"/>
  <c r="H1386" i="7"/>
  <c r="F1387" i="7"/>
  <c r="G1387" i="7"/>
  <c r="H1387" i="7"/>
  <c r="F1388" i="7"/>
  <c r="G1388" i="7"/>
  <c r="H1388" i="7"/>
  <c r="F1389" i="7"/>
  <c r="G1389" i="7"/>
  <c r="H1389" i="7"/>
  <c r="F1390" i="7"/>
  <c r="G1390" i="7"/>
  <c r="H1390" i="7"/>
  <c r="F1391" i="7"/>
  <c r="G1391" i="7"/>
  <c r="H1391" i="7"/>
  <c r="F1392" i="7"/>
  <c r="G1392" i="7"/>
  <c r="H1392" i="7"/>
  <c r="F1393" i="7"/>
  <c r="G1393" i="7"/>
  <c r="H1393" i="7"/>
  <c r="F1394" i="7"/>
  <c r="G1394" i="7"/>
  <c r="H1394" i="7"/>
  <c r="F1395" i="7"/>
  <c r="G1395" i="7"/>
  <c r="H1395" i="7"/>
  <c r="F1396" i="7"/>
  <c r="G1396" i="7"/>
  <c r="H1396" i="7"/>
  <c r="F1397" i="7"/>
  <c r="G1397" i="7"/>
  <c r="H1397" i="7"/>
  <c r="F1398" i="7"/>
  <c r="G1398" i="7"/>
  <c r="H1398" i="7"/>
  <c r="F1399" i="7"/>
  <c r="G1399" i="7"/>
  <c r="H1399" i="7"/>
  <c r="F1400" i="7"/>
  <c r="G1400" i="7"/>
  <c r="H1400" i="7"/>
  <c r="F1401" i="7"/>
  <c r="G1401" i="7"/>
  <c r="H1401" i="7"/>
  <c r="F1402" i="7"/>
  <c r="G1402" i="7"/>
  <c r="H1402" i="7"/>
  <c r="F1403" i="7"/>
  <c r="G1403" i="7"/>
  <c r="H1403" i="7"/>
  <c r="F1404" i="7"/>
  <c r="G1404" i="7"/>
  <c r="H1404" i="7"/>
  <c r="F1405" i="7"/>
  <c r="G1405" i="7"/>
  <c r="H1405" i="7"/>
  <c r="F1406" i="7"/>
  <c r="G1406" i="7"/>
  <c r="H1406" i="7"/>
  <c r="F1407" i="7"/>
  <c r="G1407" i="7"/>
  <c r="H1407" i="7"/>
  <c r="F1408" i="7"/>
  <c r="G1408" i="7"/>
  <c r="H1408" i="7"/>
  <c r="F1409" i="7"/>
  <c r="G1409" i="7"/>
  <c r="H1409" i="7"/>
  <c r="F1410" i="7"/>
  <c r="G1410" i="7"/>
  <c r="H1410" i="7"/>
  <c r="F1411" i="7"/>
  <c r="G1411" i="7"/>
  <c r="H1411" i="7"/>
  <c r="F1412" i="7"/>
  <c r="G1412" i="7"/>
  <c r="H1412" i="7"/>
  <c r="F1413" i="7"/>
  <c r="G1413" i="7"/>
  <c r="H1413" i="7"/>
  <c r="F1414" i="7"/>
  <c r="G1414" i="7"/>
  <c r="H1414" i="7"/>
  <c r="F1415" i="7"/>
  <c r="G1415" i="7"/>
  <c r="H1415" i="7"/>
  <c r="F1416" i="7"/>
  <c r="G1416" i="7"/>
  <c r="H1416" i="7"/>
  <c r="F1417" i="7"/>
  <c r="G1417" i="7"/>
  <c r="H1417" i="7"/>
  <c r="F1418" i="7"/>
  <c r="G1418" i="7"/>
  <c r="H1418" i="7"/>
  <c r="F1419" i="7"/>
  <c r="G1419" i="7"/>
  <c r="H1419" i="7"/>
  <c r="F1420" i="7"/>
  <c r="G1420" i="7"/>
  <c r="H1420" i="7"/>
  <c r="F1421" i="7"/>
  <c r="G1421" i="7"/>
  <c r="H1421" i="7"/>
  <c r="F1422" i="7"/>
  <c r="G1422" i="7"/>
  <c r="H1422" i="7"/>
  <c r="F1423" i="7"/>
  <c r="G1423" i="7"/>
  <c r="H1423" i="7"/>
  <c r="F1424" i="7"/>
  <c r="G1424" i="7"/>
  <c r="H1424" i="7"/>
  <c r="F1425" i="7"/>
  <c r="G1425" i="7"/>
  <c r="H1425" i="7"/>
  <c r="F1426" i="7"/>
  <c r="G1426" i="7"/>
  <c r="H1426" i="7"/>
  <c r="F1427" i="7"/>
  <c r="G1427" i="7"/>
  <c r="H1427" i="7"/>
  <c r="F1428" i="7"/>
  <c r="G1428" i="7"/>
  <c r="H1428" i="7"/>
  <c r="F1429" i="7"/>
  <c r="G1429" i="7"/>
  <c r="H1429" i="7"/>
  <c r="F1430" i="7"/>
  <c r="G1430" i="7"/>
  <c r="H1430" i="7"/>
  <c r="F1431" i="7"/>
  <c r="G1431" i="7"/>
  <c r="H1431" i="7"/>
  <c r="F1432" i="7"/>
  <c r="G1432" i="7"/>
  <c r="H1432" i="7"/>
  <c r="F1433" i="7"/>
  <c r="G1433" i="7"/>
  <c r="H1433" i="7"/>
  <c r="F1434" i="7"/>
  <c r="G1434" i="7"/>
  <c r="H1434" i="7"/>
  <c r="F1435" i="7"/>
  <c r="G1435" i="7"/>
  <c r="H1435" i="7"/>
  <c r="F1436" i="7"/>
  <c r="G1436" i="7"/>
  <c r="H1436" i="7"/>
  <c r="F1437" i="7"/>
  <c r="G1437" i="7"/>
  <c r="H1437" i="7"/>
  <c r="F1438" i="7"/>
  <c r="G1438" i="7"/>
  <c r="H1438" i="7"/>
  <c r="F1439" i="7"/>
  <c r="G1439" i="7"/>
  <c r="H1439" i="7"/>
  <c r="F1440" i="7"/>
  <c r="G1440" i="7"/>
  <c r="H1440" i="7"/>
  <c r="F1441" i="7"/>
  <c r="G1441" i="7"/>
  <c r="H1441" i="7"/>
  <c r="F1442" i="7"/>
  <c r="G1442" i="7"/>
  <c r="H1442" i="7"/>
  <c r="F1443" i="7"/>
  <c r="G1443" i="7"/>
  <c r="H1443" i="7"/>
  <c r="F1444" i="7"/>
  <c r="G1444" i="7"/>
  <c r="H1444" i="7"/>
  <c r="F1445" i="7"/>
  <c r="G1445" i="7"/>
  <c r="H1445" i="7"/>
  <c r="F1446" i="7"/>
  <c r="G1446" i="7"/>
  <c r="H1446" i="7"/>
  <c r="F1447" i="7"/>
  <c r="G1447" i="7"/>
  <c r="H1447" i="7"/>
  <c r="F1448" i="7"/>
  <c r="G1448" i="7"/>
  <c r="H1448" i="7"/>
  <c r="F1449" i="7"/>
  <c r="G1449" i="7"/>
  <c r="H1449" i="7"/>
  <c r="F1450" i="7"/>
  <c r="G1450" i="7"/>
  <c r="H1450" i="7"/>
  <c r="F1451" i="7"/>
  <c r="G1451" i="7"/>
  <c r="H1451" i="7"/>
  <c r="F1452" i="7"/>
  <c r="G1452" i="7"/>
  <c r="H1452" i="7"/>
  <c r="F1453" i="7"/>
  <c r="G1453" i="7"/>
  <c r="H1453" i="7"/>
  <c r="F1454" i="7"/>
  <c r="G1454" i="7"/>
  <c r="H1454" i="7"/>
  <c r="F1455" i="7"/>
  <c r="G1455" i="7"/>
  <c r="H1455" i="7"/>
  <c r="F1456" i="7"/>
  <c r="G1456" i="7"/>
  <c r="H1456" i="7"/>
  <c r="F1457" i="7"/>
  <c r="G1457" i="7"/>
  <c r="H1457" i="7"/>
  <c r="F1458" i="7"/>
  <c r="G1458" i="7"/>
  <c r="H1458" i="7"/>
  <c r="F1459" i="7"/>
  <c r="G1459" i="7"/>
  <c r="H1459" i="7"/>
  <c r="F1460" i="7"/>
  <c r="G1460" i="7"/>
  <c r="H1460" i="7"/>
  <c r="F1461" i="7"/>
  <c r="G1461" i="7"/>
  <c r="H1461" i="7"/>
  <c r="F1462" i="7"/>
  <c r="G1462" i="7"/>
  <c r="H1462" i="7"/>
  <c r="F1463" i="7"/>
  <c r="G1463" i="7"/>
  <c r="H1463" i="7"/>
  <c r="F1464" i="7"/>
  <c r="G1464" i="7"/>
  <c r="H1464" i="7"/>
  <c r="F1465" i="7"/>
  <c r="G1465" i="7"/>
  <c r="H1465" i="7"/>
  <c r="F1466" i="7"/>
  <c r="G1466" i="7"/>
  <c r="H1466" i="7"/>
  <c r="F1467" i="7"/>
  <c r="G1467" i="7"/>
  <c r="H1467" i="7"/>
  <c r="F1468" i="7"/>
  <c r="G1468" i="7"/>
  <c r="H1468" i="7"/>
  <c r="F1469" i="7"/>
  <c r="G1469" i="7"/>
  <c r="H1469" i="7"/>
  <c r="F1470" i="7"/>
  <c r="G1470" i="7"/>
  <c r="H1470" i="7"/>
  <c r="F1471" i="7"/>
  <c r="G1471" i="7"/>
  <c r="H1471" i="7"/>
  <c r="F1472" i="7"/>
  <c r="G1472" i="7"/>
  <c r="H1472" i="7"/>
  <c r="F1473" i="7"/>
  <c r="G1473" i="7"/>
  <c r="H1473" i="7"/>
  <c r="F1474" i="7"/>
  <c r="G1474" i="7"/>
  <c r="H1474" i="7"/>
  <c r="F1475" i="7"/>
  <c r="G1475" i="7"/>
  <c r="H1475" i="7"/>
  <c r="F1476" i="7"/>
  <c r="G1476" i="7"/>
  <c r="H1476" i="7"/>
  <c r="F1477" i="7"/>
  <c r="G1477" i="7"/>
  <c r="H1477" i="7"/>
  <c r="F1478" i="7"/>
  <c r="G1478" i="7"/>
  <c r="H1478" i="7"/>
  <c r="F1479" i="7"/>
  <c r="G1479" i="7"/>
  <c r="H1479" i="7"/>
  <c r="F1480" i="7"/>
  <c r="G1480" i="7"/>
  <c r="H1480" i="7"/>
  <c r="F1481" i="7"/>
  <c r="G1481" i="7"/>
  <c r="H1481" i="7"/>
  <c r="F1482" i="7"/>
  <c r="G1482" i="7"/>
  <c r="H1482" i="7"/>
  <c r="F1483" i="7"/>
  <c r="G1483" i="7"/>
  <c r="H1483" i="7"/>
  <c r="F1484" i="7"/>
  <c r="G1484" i="7"/>
  <c r="H1484" i="7"/>
  <c r="F1485" i="7"/>
  <c r="G1485" i="7"/>
  <c r="H1485" i="7"/>
  <c r="F1486" i="7"/>
  <c r="G1486" i="7"/>
  <c r="H1486" i="7"/>
  <c r="F1487" i="7"/>
  <c r="G1487" i="7"/>
  <c r="H1487" i="7"/>
  <c r="F1488" i="7"/>
  <c r="G1488" i="7"/>
  <c r="H1488" i="7"/>
  <c r="F1489" i="7"/>
  <c r="G1489" i="7"/>
  <c r="H1489" i="7"/>
  <c r="F1490" i="7"/>
  <c r="G1490" i="7"/>
  <c r="H1490" i="7"/>
  <c r="F1491" i="7"/>
  <c r="G1491" i="7"/>
  <c r="H1491" i="7"/>
  <c r="F1492" i="7"/>
  <c r="G1492" i="7"/>
  <c r="H1492" i="7"/>
  <c r="F1493" i="7"/>
  <c r="G1493" i="7"/>
  <c r="H1493" i="7"/>
  <c r="F1494" i="7"/>
  <c r="G1494" i="7"/>
  <c r="H1494" i="7"/>
  <c r="F1495" i="7"/>
  <c r="G1495" i="7"/>
  <c r="H1495" i="7"/>
  <c r="F1496" i="7"/>
  <c r="G1496" i="7"/>
  <c r="H1496" i="7"/>
  <c r="F1497" i="7"/>
  <c r="G1497" i="7"/>
  <c r="H1497" i="7"/>
  <c r="F1498" i="7"/>
  <c r="G1498" i="7"/>
  <c r="H1498" i="7"/>
  <c r="F1499" i="7"/>
  <c r="G1499" i="7"/>
  <c r="H1499" i="7"/>
  <c r="F1500" i="7"/>
  <c r="G1500" i="7"/>
  <c r="H1500" i="7"/>
  <c r="F1501" i="7"/>
  <c r="G1501" i="7"/>
  <c r="H1501" i="7"/>
  <c r="F1502" i="7"/>
  <c r="G1502" i="7"/>
  <c r="H1502" i="7"/>
  <c r="F1503" i="7"/>
  <c r="G1503" i="7"/>
  <c r="H1503" i="7"/>
  <c r="F1504" i="7"/>
  <c r="G1504" i="7"/>
  <c r="H1504" i="7"/>
  <c r="F1505" i="7"/>
  <c r="G1505" i="7"/>
  <c r="H1505" i="7"/>
  <c r="F1506" i="7"/>
  <c r="G1506" i="7"/>
  <c r="H1506" i="7"/>
  <c r="F1507" i="7"/>
  <c r="G1507" i="7"/>
  <c r="H1507" i="7"/>
  <c r="F1508" i="7"/>
  <c r="G1508" i="7"/>
  <c r="H1508" i="7"/>
  <c r="F1509" i="7"/>
  <c r="G1509" i="7"/>
  <c r="H1509" i="7"/>
  <c r="F1510" i="7"/>
  <c r="G1510" i="7"/>
  <c r="H1510" i="7"/>
  <c r="F1511" i="7"/>
  <c r="G1511" i="7"/>
  <c r="H1511" i="7"/>
  <c r="F1512" i="7"/>
  <c r="G1512" i="7"/>
  <c r="H1512" i="7"/>
  <c r="F1513" i="7"/>
  <c r="G1513" i="7"/>
  <c r="H1513" i="7"/>
  <c r="F1514" i="7"/>
  <c r="G1514" i="7"/>
  <c r="H1514" i="7"/>
  <c r="F1515" i="7"/>
  <c r="G1515" i="7"/>
  <c r="H1515" i="7"/>
  <c r="F1516" i="7"/>
  <c r="G1516" i="7"/>
  <c r="H1516" i="7"/>
  <c r="F1517" i="7"/>
  <c r="G1517" i="7"/>
  <c r="H1517" i="7"/>
  <c r="F1518" i="7"/>
  <c r="G1518" i="7"/>
  <c r="H1518" i="7"/>
  <c r="F1519" i="7"/>
  <c r="G1519" i="7"/>
  <c r="H1519" i="7"/>
  <c r="F1520" i="7"/>
  <c r="G1520" i="7"/>
  <c r="H1520" i="7"/>
  <c r="F1521" i="7"/>
  <c r="G1521" i="7"/>
  <c r="H1521" i="7"/>
  <c r="F1522" i="7"/>
  <c r="G1522" i="7"/>
  <c r="H1522" i="7"/>
  <c r="F1523" i="7"/>
  <c r="G1523" i="7"/>
  <c r="H1523" i="7"/>
  <c r="F1524" i="7"/>
  <c r="G1524" i="7"/>
  <c r="H1524" i="7"/>
  <c r="F1525" i="7"/>
  <c r="G1525" i="7"/>
  <c r="H1525" i="7"/>
  <c r="F1526" i="7"/>
  <c r="G1526" i="7"/>
  <c r="H1526" i="7"/>
  <c r="F1527" i="7"/>
  <c r="G1527" i="7"/>
  <c r="H1527" i="7"/>
  <c r="F1528" i="7"/>
  <c r="G1528" i="7"/>
  <c r="H1528" i="7"/>
  <c r="F1529" i="7"/>
  <c r="G1529" i="7"/>
  <c r="H1529" i="7"/>
  <c r="F1530" i="7"/>
  <c r="G1530" i="7"/>
  <c r="H1530" i="7"/>
  <c r="F1531" i="7"/>
  <c r="G1531" i="7"/>
  <c r="H1531" i="7"/>
  <c r="F1532" i="7"/>
  <c r="G1532" i="7"/>
  <c r="H1532" i="7"/>
  <c r="F1533" i="7"/>
  <c r="G1533" i="7"/>
  <c r="H1533" i="7"/>
  <c r="F1534" i="7"/>
  <c r="G1534" i="7"/>
  <c r="H1534" i="7"/>
  <c r="F1535" i="7"/>
  <c r="G1535" i="7"/>
  <c r="H1535" i="7"/>
  <c r="F1536" i="7"/>
  <c r="G1536" i="7"/>
  <c r="H1536" i="7"/>
  <c r="F1537" i="7"/>
  <c r="G1537" i="7"/>
  <c r="H1537" i="7"/>
  <c r="F1538" i="7"/>
  <c r="G1538" i="7"/>
  <c r="H1538" i="7"/>
  <c r="F1539" i="7"/>
  <c r="G1539" i="7"/>
  <c r="H1539" i="7"/>
  <c r="F1540" i="7"/>
  <c r="G1540" i="7"/>
  <c r="H1540" i="7"/>
  <c r="F1541" i="7"/>
  <c r="G1541" i="7"/>
  <c r="H1541" i="7"/>
  <c r="F1542" i="7"/>
  <c r="G1542" i="7"/>
  <c r="H1542" i="7"/>
  <c r="F1543" i="7"/>
  <c r="G1543" i="7"/>
  <c r="H1543" i="7"/>
  <c r="F1544" i="7"/>
  <c r="G1544" i="7"/>
  <c r="H1544" i="7"/>
  <c r="F1545" i="7"/>
  <c r="G1545" i="7"/>
  <c r="H1545" i="7"/>
  <c r="F1546" i="7"/>
  <c r="G1546" i="7"/>
  <c r="H1546" i="7"/>
  <c r="F1547" i="7"/>
  <c r="G1547" i="7"/>
  <c r="H1547" i="7"/>
  <c r="F1548" i="7"/>
  <c r="G1548" i="7"/>
  <c r="H1548" i="7"/>
  <c r="F1549" i="7"/>
  <c r="G1549" i="7"/>
  <c r="H1549" i="7"/>
  <c r="F1550" i="7"/>
  <c r="G1550" i="7"/>
  <c r="H1550" i="7"/>
  <c r="F1551" i="7"/>
  <c r="G1551" i="7"/>
  <c r="H1551" i="7"/>
  <c r="F1552" i="7"/>
  <c r="G1552" i="7"/>
  <c r="H1552" i="7"/>
  <c r="F1553" i="7"/>
  <c r="G1553" i="7"/>
  <c r="H1553" i="7"/>
  <c r="F1554" i="7"/>
  <c r="G1554" i="7"/>
  <c r="H1554" i="7"/>
  <c r="F1555" i="7"/>
  <c r="G1555" i="7"/>
  <c r="H1555" i="7"/>
  <c r="F1556" i="7"/>
  <c r="G1556" i="7"/>
  <c r="H1556" i="7"/>
  <c r="F1557" i="7"/>
  <c r="G1557" i="7"/>
  <c r="H1557" i="7"/>
  <c r="F1558" i="7"/>
  <c r="G1558" i="7"/>
  <c r="H1558" i="7"/>
  <c r="F1559" i="7"/>
  <c r="G1559" i="7"/>
  <c r="H1559" i="7"/>
  <c r="F1560" i="7"/>
  <c r="G1560" i="7"/>
  <c r="H1560" i="7"/>
  <c r="F1561" i="7"/>
  <c r="G1561" i="7"/>
  <c r="H1561" i="7"/>
  <c r="F1562" i="7"/>
  <c r="G1562" i="7"/>
  <c r="H1562" i="7"/>
  <c r="F1563" i="7"/>
  <c r="G1563" i="7"/>
  <c r="H1563" i="7"/>
  <c r="F1564" i="7"/>
  <c r="G1564" i="7"/>
  <c r="H1564" i="7"/>
  <c r="F1565" i="7"/>
  <c r="G1565" i="7"/>
  <c r="H1565" i="7"/>
  <c r="F1566" i="7"/>
  <c r="G1566" i="7"/>
  <c r="H1566" i="7"/>
  <c r="F1567" i="7"/>
  <c r="G1567" i="7"/>
  <c r="H1567" i="7"/>
  <c r="F1568" i="7"/>
  <c r="G1568" i="7"/>
  <c r="H1568" i="7"/>
  <c r="F1569" i="7"/>
  <c r="G1569" i="7"/>
  <c r="H1569" i="7"/>
  <c r="F1570" i="7"/>
  <c r="G1570" i="7"/>
  <c r="H1570" i="7"/>
  <c r="F1571" i="7"/>
  <c r="G1571" i="7"/>
  <c r="H1571" i="7"/>
  <c r="F1572" i="7"/>
  <c r="G1572" i="7"/>
  <c r="H1572" i="7"/>
  <c r="F1573" i="7"/>
  <c r="G1573" i="7"/>
  <c r="H1573" i="7"/>
  <c r="F1574" i="7"/>
  <c r="G1574" i="7"/>
  <c r="H1574" i="7"/>
  <c r="F1575" i="7"/>
  <c r="G1575" i="7"/>
  <c r="H1575" i="7"/>
  <c r="F1576" i="7"/>
  <c r="G1576" i="7"/>
  <c r="H1576" i="7"/>
  <c r="F1577" i="7"/>
  <c r="G1577" i="7"/>
  <c r="H1577" i="7"/>
  <c r="F1578" i="7"/>
  <c r="G1578" i="7"/>
  <c r="H1578" i="7"/>
  <c r="F1579" i="7"/>
  <c r="G1579" i="7"/>
  <c r="H1579" i="7"/>
  <c r="F1580" i="7"/>
  <c r="G1580" i="7"/>
  <c r="H1580" i="7"/>
  <c r="F1581" i="7"/>
  <c r="G1581" i="7"/>
  <c r="H1581" i="7"/>
  <c r="F1582" i="7"/>
  <c r="G1582" i="7"/>
  <c r="H1582" i="7"/>
  <c r="F1583" i="7"/>
  <c r="G1583" i="7"/>
  <c r="H1583" i="7"/>
  <c r="F1584" i="7"/>
  <c r="G1584" i="7"/>
  <c r="H1584" i="7"/>
  <c r="F1585" i="7"/>
  <c r="G1585" i="7"/>
  <c r="H1585" i="7"/>
  <c r="F1586" i="7"/>
  <c r="G1586" i="7"/>
  <c r="H1586" i="7"/>
  <c r="F1587" i="7"/>
  <c r="G1587" i="7"/>
  <c r="H1587" i="7"/>
  <c r="F1588" i="7"/>
  <c r="G1588" i="7"/>
  <c r="H1588" i="7"/>
  <c r="F1589" i="7"/>
  <c r="G1589" i="7"/>
  <c r="H1589" i="7"/>
  <c r="F1590" i="7"/>
  <c r="G1590" i="7"/>
  <c r="H1590" i="7"/>
  <c r="F1591" i="7"/>
  <c r="G1591" i="7"/>
  <c r="H1591" i="7"/>
  <c r="F1592" i="7"/>
  <c r="G1592" i="7"/>
  <c r="H1592" i="7"/>
  <c r="F1593" i="7"/>
  <c r="G1593" i="7"/>
  <c r="H1593" i="7"/>
  <c r="F1594" i="7"/>
  <c r="G1594" i="7"/>
  <c r="H1594" i="7"/>
  <c r="F1595" i="7"/>
  <c r="G1595" i="7"/>
  <c r="H1595" i="7"/>
  <c r="F1596" i="7"/>
  <c r="G1596" i="7"/>
  <c r="H1596" i="7"/>
  <c r="F1597" i="7"/>
  <c r="G1597" i="7"/>
  <c r="H1597" i="7"/>
  <c r="F1598" i="7"/>
  <c r="G1598" i="7"/>
  <c r="H1598" i="7"/>
  <c r="F1599" i="7"/>
  <c r="G1599" i="7"/>
  <c r="H1599" i="7"/>
  <c r="F1600" i="7"/>
  <c r="G1600" i="7"/>
  <c r="H1600" i="7"/>
  <c r="F1601" i="7"/>
  <c r="G1601" i="7"/>
  <c r="H1601" i="7"/>
  <c r="F1602" i="7"/>
  <c r="G1602" i="7"/>
  <c r="H1602" i="7"/>
  <c r="F1603" i="7"/>
  <c r="G1603" i="7"/>
  <c r="H1603" i="7"/>
  <c r="F1604" i="7"/>
  <c r="G1604" i="7"/>
  <c r="H1604" i="7"/>
  <c r="F1605" i="7"/>
  <c r="G1605" i="7"/>
  <c r="H1605" i="7"/>
  <c r="F1606" i="7"/>
  <c r="G1606" i="7"/>
  <c r="H1606" i="7"/>
  <c r="F1607" i="7"/>
  <c r="G1607" i="7"/>
  <c r="H1607" i="7"/>
  <c r="F1608" i="7"/>
  <c r="G1608" i="7"/>
  <c r="H1608" i="7"/>
  <c r="F1609" i="7"/>
  <c r="G1609" i="7"/>
  <c r="H1609" i="7"/>
  <c r="F1610" i="7"/>
  <c r="G1610" i="7"/>
  <c r="H1610" i="7"/>
  <c r="F1611" i="7"/>
  <c r="G1611" i="7"/>
  <c r="H1611" i="7"/>
  <c r="F1612" i="7"/>
  <c r="G1612" i="7"/>
  <c r="H1612" i="7"/>
  <c r="F1613" i="7"/>
  <c r="G1613" i="7"/>
  <c r="H1613" i="7"/>
  <c r="F1614" i="7"/>
  <c r="G1614" i="7"/>
  <c r="H1614" i="7"/>
  <c r="F1615" i="7"/>
  <c r="G1615" i="7"/>
  <c r="H1615" i="7"/>
  <c r="F1616" i="7"/>
  <c r="G1616" i="7"/>
  <c r="H1616" i="7"/>
  <c r="F1617" i="7"/>
  <c r="G1617" i="7"/>
  <c r="H1617" i="7"/>
  <c r="F1618" i="7"/>
  <c r="G1618" i="7"/>
  <c r="H1618" i="7"/>
  <c r="M1618" i="7" s="1"/>
  <c r="F1619" i="7"/>
  <c r="G1619" i="7"/>
  <c r="H1619" i="7"/>
  <c r="F1620" i="7"/>
  <c r="G1620" i="7"/>
  <c r="H1620" i="7"/>
  <c r="F1621" i="7"/>
  <c r="G1621" i="7"/>
  <c r="H1621" i="7"/>
  <c r="F1622" i="7"/>
  <c r="G1622" i="7"/>
  <c r="H1622" i="7"/>
  <c r="M1622" i="7" s="1"/>
  <c r="F1623" i="7"/>
  <c r="G1623" i="7"/>
  <c r="H1623" i="7"/>
  <c r="F1624" i="7"/>
  <c r="G1624" i="7"/>
  <c r="H1624" i="7"/>
  <c r="F1625" i="7"/>
  <c r="G1625" i="7"/>
  <c r="H1625" i="7"/>
  <c r="F1626" i="7"/>
  <c r="G1626" i="7"/>
  <c r="H1626" i="7"/>
  <c r="M1626" i="7" s="1"/>
  <c r="F1627" i="7"/>
  <c r="G1627" i="7"/>
  <c r="H1627" i="7"/>
  <c r="F1628" i="7"/>
  <c r="G1628" i="7"/>
  <c r="H1628" i="7"/>
  <c r="F1629" i="7"/>
  <c r="G1629" i="7"/>
  <c r="H1629" i="7"/>
  <c r="F1630" i="7"/>
  <c r="G1630" i="7"/>
  <c r="H1630" i="7"/>
  <c r="M1630" i="7" s="1"/>
  <c r="F1631" i="7"/>
  <c r="G1631" i="7"/>
  <c r="H1631" i="7"/>
  <c r="F1632" i="7"/>
  <c r="G1632" i="7"/>
  <c r="H1632" i="7"/>
  <c r="F1633" i="7"/>
  <c r="G1633" i="7"/>
  <c r="H1633" i="7"/>
  <c r="F1634" i="7"/>
  <c r="G1634" i="7"/>
  <c r="H1634" i="7"/>
  <c r="M1634" i="7" s="1"/>
  <c r="F1635" i="7"/>
  <c r="G1635" i="7"/>
  <c r="H1635" i="7"/>
  <c r="F1636" i="7"/>
  <c r="G1636" i="7"/>
  <c r="H1636" i="7"/>
  <c r="F1637" i="7"/>
  <c r="G1637" i="7"/>
  <c r="H1637" i="7"/>
  <c r="F1638" i="7"/>
  <c r="G1638" i="7"/>
  <c r="H1638" i="7"/>
  <c r="M1638" i="7" s="1"/>
  <c r="F1639" i="7"/>
  <c r="G1639" i="7"/>
  <c r="H1639" i="7"/>
  <c r="F1640" i="7"/>
  <c r="G1640" i="7"/>
  <c r="H1640" i="7"/>
  <c r="F1641" i="7"/>
  <c r="G1641" i="7"/>
  <c r="H1641" i="7"/>
  <c r="F1642" i="7"/>
  <c r="G1642" i="7"/>
  <c r="H1642" i="7"/>
  <c r="M1642" i="7" s="1"/>
  <c r="F1643" i="7"/>
  <c r="G1643" i="7"/>
  <c r="H1643" i="7"/>
  <c r="F1644" i="7"/>
  <c r="G1644" i="7"/>
  <c r="H1644" i="7"/>
  <c r="F1645" i="7"/>
  <c r="G1645" i="7"/>
  <c r="H1645" i="7"/>
  <c r="F1646" i="7"/>
  <c r="G1646" i="7"/>
  <c r="H1646" i="7"/>
  <c r="M1646" i="7" s="1"/>
  <c r="F1647" i="7"/>
  <c r="G1647" i="7"/>
  <c r="H1647" i="7"/>
  <c r="F1648" i="7"/>
  <c r="G1648" i="7"/>
  <c r="H1648" i="7"/>
  <c r="F1649" i="7"/>
  <c r="G1649" i="7"/>
  <c r="H1649" i="7"/>
  <c r="F1650" i="7"/>
  <c r="G1650" i="7"/>
  <c r="H1650" i="7"/>
  <c r="M1650" i="7" s="1"/>
  <c r="F1651" i="7"/>
  <c r="G1651" i="7"/>
  <c r="H1651" i="7"/>
  <c r="F1652" i="7"/>
  <c r="G1652" i="7"/>
  <c r="H1652" i="7"/>
  <c r="F1653" i="7"/>
  <c r="G1653" i="7"/>
  <c r="H1653" i="7"/>
  <c r="F1654" i="7"/>
  <c r="G1654" i="7"/>
  <c r="H1654" i="7"/>
  <c r="M1654" i="7" s="1"/>
  <c r="F1655" i="7"/>
  <c r="G1655" i="7"/>
  <c r="H1655" i="7"/>
  <c r="F1656" i="7"/>
  <c r="G1656" i="7"/>
  <c r="H1656" i="7"/>
  <c r="F1657" i="7"/>
  <c r="G1657" i="7"/>
  <c r="H1657" i="7"/>
  <c r="F1658" i="7"/>
  <c r="G1658" i="7"/>
  <c r="H1658" i="7"/>
  <c r="M1658" i="7" s="1"/>
  <c r="F1659" i="7"/>
  <c r="G1659" i="7"/>
  <c r="H1659" i="7"/>
  <c r="F1660" i="7"/>
  <c r="G1660" i="7"/>
  <c r="H1660" i="7"/>
  <c r="F1661" i="7"/>
  <c r="G1661" i="7"/>
  <c r="H1661" i="7"/>
  <c r="F1662" i="7"/>
  <c r="G1662" i="7"/>
  <c r="H1662" i="7"/>
  <c r="M1662" i="7" s="1"/>
  <c r="F1663" i="7"/>
  <c r="G1663" i="7"/>
  <c r="H1663" i="7"/>
  <c r="F1664" i="7"/>
  <c r="G1664" i="7"/>
  <c r="H1664" i="7"/>
  <c r="F1665" i="7"/>
  <c r="G1665" i="7"/>
  <c r="H1665" i="7"/>
  <c r="F1666" i="7"/>
  <c r="G1666" i="7"/>
  <c r="H1666" i="7"/>
  <c r="M1666" i="7" s="1"/>
  <c r="F1667" i="7"/>
  <c r="G1667" i="7"/>
  <c r="H1667" i="7"/>
  <c r="F1668" i="7"/>
  <c r="G1668" i="7"/>
  <c r="H1668" i="7"/>
  <c r="F1669" i="7"/>
  <c r="G1669" i="7"/>
  <c r="H1669" i="7"/>
  <c r="F1670" i="7"/>
  <c r="G1670" i="7"/>
  <c r="H1670" i="7"/>
  <c r="M1670" i="7" s="1"/>
  <c r="F1671" i="7"/>
  <c r="G1671" i="7"/>
  <c r="H1671" i="7"/>
  <c r="F1672" i="7"/>
  <c r="G1672" i="7"/>
  <c r="H1672" i="7"/>
  <c r="F1673" i="7"/>
  <c r="G1673" i="7"/>
  <c r="H1673" i="7"/>
  <c r="F1674" i="7"/>
  <c r="G1674" i="7"/>
  <c r="H1674" i="7"/>
  <c r="M1674" i="7" s="1"/>
  <c r="F1675" i="7"/>
  <c r="G1675" i="7"/>
  <c r="H1675" i="7"/>
  <c r="F1676" i="7"/>
  <c r="G1676" i="7"/>
  <c r="H1676" i="7"/>
  <c r="F1677" i="7"/>
  <c r="G1677" i="7"/>
  <c r="H1677" i="7"/>
  <c r="F1678" i="7"/>
  <c r="G1678" i="7"/>
  <c r="H1678" i="7"/>
  <c r="M1678" i="7" s="1"/>
  <c r="F1679" i="7"/>
  <c r="G1679" i="7"/>
  <c r="H1679" i="7"/>
  <c r="F1680" i="7"/>
  <c r="G1680" i="7"/>
  <c r="H1680" i="7"/>
  <c r="F1681" i="7"/>
  <c r="G1681" i="7"/>
  <c r="H1681" i="7"/>
  <c r="F1682" i="7"/>
  <c r="G1682" i="7"/>
  <c r="H1682" i="7"/>
  <c r="M1682" i="7" s="1"/>
  <c r="F1683" i="7"/>
  <c r="G1683" i="7"/>
  <c r="H1683" i="7"/>
  <c r="F1684" i="7"/>
  <c r="G1684" i="7"/>
  <c r="H1684" i="7"/>
  <c r="F1685" i="7"/>
  <c r="G1685" i="7"/>
  <c r="H1685" i="7"/>
  <c r="F1686" i="7"/>
  <c r="G1686" i="7"/>
  <c r="H1686" i="7"/>
  <c r="M1686" i="7" s="1"/>
  <c r="F1687" i="7"/>
  <c r="G1687" i="7"/>
  <c r="H1687" i="7"/>
  <c r="F1688" i="7"/>
  <c r="G1688" i="7"/>
  <c r="H1688" i="7"/>
  <c r="F1689" i="7"/>
  <c r="G1689" i="7"/>
  <c r="H1689" i="7"/>
  <c r="F1690" i="7"/>
  <c r="G1690" i="7"/>
  <c r="H1690" i="7"/>
  <c r="M1690" i="7" s="1"/>
  <c r="F1691" i="7"/>
  <c r="G1691" i="7"/>
  <c r="H1691" i="7"/>
  <c r="F1692" i="7"/>
  <c r="G1692" i="7"/>
  <c r="H1692" i="7"/>
  <c r="F1693" i="7"/>
  <c r="G1693" i="7"/>
  <c r="H1693" i="7"/>
  <c r="F1694" i="7"/>
  <c r="G1694" i="7"/>
  <c r="H1694" i="7"/>
  <c r="M1694" i="7" s="1"/>
  <c r="F1695" i="7"/>
  <c r="G1695" i="7"/>
  <c r="H1695" i="7"/>
  <c r="F1696" i="7"/>
  <c r="G1696" i="7"/>
  <c r="H1696" i="7"/>
  <c r="F1697" i="7"/>
  <c r="G1697" i="7"/>
  <c r="H1697" i="7"/>
  <c r="F1698" i="7"/>
  <c r="G1698" i="7"/>
  <c r="H1698" i="7"/>
  <c r="M1698" i="7" s="1"/>
  <c r="F1699" i="7"/>
  <c r="G1699" i="7"/>
  <c r="H1699" i="7"/>
  <c r="F1700" i="7"/>
  <c r="G1700" i="7"/>
  <c r="H1700" i="7"/>
  <c r="F1701" i="7"/>
  <c r="G1701" i="7"/>
  <c r="H1701" i="7"/>
  <c r="F1702" i="7"/>
  <c r="G1702" i="7"/>
  <c r="H1702" i="7"/>
  <c r="M1702" i="7" s="1"/>
  <c r="F1703" i="7"/>
  <c r="G1703" i="7"/>
  <c r="H1703" i="7"/>
  <c r="F1704" i="7"/>
  <c r="G1704" i="7"/>
  <c r="H1704" i="7"/>
  <c r="F1705" i="7"/>
  <c r="G1705" i="7"/>
  <c r="H1705" i="7"/>
  <c r="F1706" i="7"/>
  <c r="G1706" i="7"/>
  <c r="H1706" i="7"/>
  <c r="M1706" i="7" s="1"/>
  <c r="F1707" i="7"/>
  <c r="G1707" i="7"/>
  <c r="H1707" i="7"/>
  <c r="F1708" i="7"/>
  <c r="G1708" i="7"/>
  <c r="H1708" i="7"/>
  <c r="F1709" i="7"/>
  <c r="G1709" i="7"/>
  <c r="H1709" i="7"/>
  <c r="F1710" i="7"/>
  <c r="G1710" i="7"/>
  <c r="H1710" i="7"/>
  <c r="M1710" i="7" s="1"/>
  <c r="F1711" i="7"/>
  <c r="G1711" i="7"/>
  <c r="H1711" i="7"/>
  <c r="F1712" i="7"/>
  <c r="G1712" i="7"/>
  <c r="H1712" i="7"/>
  <c r="F1713" i="7"/>
  <c r="G1713" i="7"/>
  <c r="H1713" i="7"/>
  <c r="F1714" i="7"/>
  <c r="G1714" i="7"/>
  <c r="H1714" i="7"/>
  <c r="M1714" i="7" s="1"/>
  <c r="F1715" i="7"/>
  <c r="G1715" i="7"/>
  <c r="H1715" i="7"/>
  <c r="F1716" i="7"/>
  <c r="G1716" i="7"/>
  <c r="H1716" i="7"/>
  <c r="F1717" i="7"/>
  <c r="G1717" i="7"/>
  <c r="H1717" i="7"/>
  <c r="F1718" i="7"/>
  <c r="G1718" i="7"/>
  <c r="H1718" i="7"/>
  <c r="M1718" i="7" s="1"/>
  <c r="F1719" i="7"/>
  <c r="G1719" i="7"/>
  <c r="H1719" i="7"/>
  <c r="F1720" i="7"/>
  <c r="G1720" i="7"/>
  <c r="H1720" i="7"/>
  <c r="F1721" i="7"/>
  <c r="G1721" i="7"/>
  <c r="H1721" i="7"/>
  <c r="F1722" i="7"/>
  <c r="G1722" i="7"/>
  <c r="H1722" i="7"/>
  <c r="M1722" i="7" s="1"/>
  <c r="F1723" i="7"/>
  <c r="G1723" i="7"/>
  <c r="H1723" i="7"/>
  <c r="F1724" i="7"/>
  <c r="G1724" i="7"/>
  <c r="H1724" i="7"/>
  <c r="F1725" i="7"/>
  <c r="G1725" i="7"/>
  <c r="H1725" i="7"/>
  <c r="F1726" i="7"/>
  <c r="G1726" i="7"/>
  <c r="H1726" i="7"/>
  <c r="M1726" i="7" s="1"/>
  <c r="F1727" i="7"/>
  <c r="G1727" i="7"/>
  <c r="H1727" i="7"/>
  <c r="F1728" i="7"/>
  <c r="G1728" i="7"/>
  <c r="H1728" i="7"/>
  <c r="F1729" i="7"/>
  <c r="G1729" i="7"/>
  <c r="H1729" i="7"/>
  <c r="F1730" i="7"/>
  <c r="G1730" i="7"/>
  <c r="H1730" i="7"/>
  <c r="M1730" i="7" s="1"/>
  <c r="F1731" i="7"/>
  <c r="G1731" i="7"/>
  <c r="H1731" i="7"/>
  <c r="F1732" i="7"/>
  <c r="G1732" i="7"/>
  <c r="H1732" i="7"/>
  <c r="F1733" i="7"/>
  <c r="G1733" i="7"/>
  <c r="H1733" i="7"/>
  <c r="F1734" i="7"/>
  <c r="G1734" i="7"/>
  <c r="H1734" i="7"/>
  <c r="M1734" i="7" s="1"/>
  <c r="F1735" i="7"/>
  <c r="G1735" i="7"/>
  <c r="H1735" i="7"/>
  <c r="F1736" i="7"/>
  <c r="G1736" i="7"/>
  <c r="H1736" i="7"/>
  <c r="F1737" i="7"/>
  <c r="G1737" i="7"/>
  <c r="H1737" i="7"/>
  <c r="F1738" i="7"/>
  <c r="G1738" i="7"/>
  <c r="H1738" i="7"/>
  <c r="M1738" i="7" s="1"/>
  <c r="F1739" i="7"/>
  <c r="G1739" i="7"/>
  <c r="H1739" i="7"/>
  <c r="F1740" i="7"/>
  <c r="G1740" i="7"/>
  <c r="H1740" i="7"/>
  <c r="F1741" i="7"/>
  <c r="G1741" i="7"/>
  <c r="H1741" i="7"/>
  <c r="F1742" i="7"/>
  <c r="G1742" i="7"/>
  <c r="H1742" i="7"/>
  <c r="M1742" i="7" s="1"/>
  <c r="F1743" i="7"/>
  <c r="G1743" i="7"/>
  <c r="H1743" i="7"/>
  <c r="F1744" i="7"/>
  <c r="G1744" i="7"/>
  <c r="H1744" i="7"/>
  <c r="F1745" i="7"/>
  <c r="G1745" i="7"/>
  <c r="H1745" i="7"/>
  <c r="F1746" i="7"/>
  <c r="G1746" i="7"/>
  <c r="H1746" i="7"/>
  <c r="M1746" i="7" s="1"/>
  <c r="F1747" i="7"/>
  <c r="G1747" i="7"/>
  <c r="H1747" i="7"/>
  <c r="F1748" i="7"/>
  <c r="G1748" i="7"/>
  <c r="H1748" i="7"/>
  <c r="F1749" i="7"/>
  <c r="G1749" i="7"/>
  <c r="H1749" i="7"/>
  <c r="F1750" i="7"/>
  <c r="G1750" i="7"/>
  <c r="H1750" i="7"/>
  <c r="M1750" i="7" s="1"/>
  <c r="F1751" i="7"/>
  <c r="G1751" i="7"/>
  <c r="H1751" i="7"/>
  <c r="F1752" i="7"/>
  <c r="G1752" i="7"/>
  <c r="H1752" i="7"/>
  <c r="F1753" i="7"/>
  <c r="G1753" i="7"/>
  <c r="H1753" i="7"/>
  <c r="F1754" i="7"/>
  <c r="G1754" i="7"/>
  <c r="H1754" i="7"/>
  <c r="M1754" i="7" s="1"/>
  <c r="F1755" i="7"/>
  <c r="G1755" i="7"/>
  <c r="H1755" i="7"/>
  <c r="F1756" i="7"/>
  <c r="G1756" i="7"/>
  <c r="H1756" i="7"/>
  <c r="F1757" i="7"/>
  <c r="G1757" i="7"/>
  <c r="H1757" i="7"/>
  <c r="F1758" i="7"/>
  <c r="G1758" i="7"/>
  <c r="H1758" i="7"/>
  <c r="M1758" i="7" s="1"/>
  <c r="F1759" i="7"/>
  <c r="G1759" i="7"/>
  <c r="H1759" i="7"/>
  <c r="F1760" i="7"/>
  <c r="G1760" i="7"/>
  <c r="H1760" i="7"/>
  <c r="F1761" i="7"/>
  <c r="G1761" i="7"/>
  <c r="H1761" i="7"/>
  <c r="F1762" i="7"/>
  <c r="G1762" i="7"/>
  <c r="H1762" i="7"/>
  <c r="M1762" i="7" s="1"/>
  <c r="F1763" i="7"/>
  <c r="G1763" i="7"/>
  <c r="H1763" i="7"/>
  <c r="F1764" i="7"/>
  <c r="G1764" i="7"/>
  <c r="H1764" i="7"/>
  <c r="F1765" i="7"/>
  <c r="G1765" i="7"/>
  <c r="H1765" i="7"/>
  <c r="F1766" i="7"/>
  <c r="G1766" i="7"/>
  <c r="H1766" i="7"/>
  <c r="M1766" i="7" s="1"/>
  <c r="F1767" i="7"/>
  <c r="G1767" i="7"/>
  <c r="H1767" i="7"/>
  <c r="F1768" i="7"/>
  <c r="G1768" i="7"/>
  <c r="H1768" i="7"/>
  <c r="F1769" i="7"/>
  <c r="G1769" i="7"/>
  <c r="H1769" i="7"/>
  <c r="F1770" i="7"/>
  <c r="G1770" i="7"/>
  <c r="H1770" i="7"/>
  <c r="M1770" i="7" s="1"/>
  <c r="F1771" i="7"/>
  <c r="G1771" i="7"/>
  <c r="H1771" i="7"/>
  <c r="F1772" i="7"/>
  <c r="G1772" i="7"/>
  <c r="H1772" i="7"/>
  <c r="F1773" i="7"/>
  <c r="G1773" i="7"/>
  <c r="H1773" i="7"/>
  <c r="F1774" i="7"/>
  <c r="G1774" i="7"/>
  <c r="H1774" i="7"/>
  <c r="M1774" i="7" s="1"/>
  <c r="F1775" i="7"/>
  <c r="G1775" i="7"/>
  <c r="H1775" i="7"/>
  <c r="F1776" i="7"/>
  <c r="G1776" i="7"/>
  <c r="H1776" i="7"/>
  <c r="F1777" i="7"/>
  <c r="G1777" i="7"/>
  <c r="H1777" i="7"/>
  <c r="F1778" i="7"/>
  <c r="G1778" i="7"/>
  <c r="H1778" i="7"/>
  <c r="M1778" i="7" s="1"/>
  <c r="F1779" i="7"/>
  <c r="G1779" i="7"/>
  <c r="H1779" i="7"/>
  <c r="F1780" i="7"/>
  <c r="G1780" i="7"/>
  <c r="H1780" i="7"/>
  <c r="F1781" i="7"/>
  <c r="G1781" i="7"/>
  <c r="H1781" i="7"/>
  <c r="F1782" i="7"/>
  <c r="G1782" i="7"/>
  <c r="H1782" i="7"/>
  <c r="M1782" i="7" s="1"/>
  <c r="F1783" i="7"/>
  <c r="G1783" i="7"/>
  <c r="H1783" i="7"/>
  <c r="F1784" i="7"/>
  <c r="G1784" i="7"/>
  <c r="H1784" i="7"/>
  <c r="F1785" i="7"/>
  <c r="G1785" i="7"/>
  <c r="H1785" i="7"/>
  <c r="F1786" i="7"/>
  <c r="G1786" i="7"/>
  <c r="H1786" i="7"/>
  <c r="M1786" i="7" s="1"/>
  <c r="F1787" i="7"/>
  <c r="G1787" i="7"/>
  <c r="H1787" i="7"/>
  <c r="F1788" i="7"/>
  <c r="G1788" i="7"/>
  <c r="H1788" i="7"/>
  <c r="F1789" i="7"/>
  <c r="G1789" i="7"/>
  <c r="H1789" i="7"/>
  <c r="F1790" i="7"/>
  <c r="G1790" i="7"/>
  <c r="H1790" i="7"/>
  <c r="M1790" i="7" s="1"/>
  <c r="F1791" i="7"/>
  <c r="G1791" i="7"/>
  <c r="H1791" i="7"/>
  <c r="F1792" i="7"/>
  <c r="G1792" i="7"/>
  <c r="H1792" i="7"/>
  <c r="F1793" i="7"/>
  <c r="G1793" i="7"/>
  <c r="H1793" i="7"/>
  <c r="F1794" i="7"/>
  <c r="G1794" i="7"/>
  <c r="H1794" i="7"/>
  <c r="M1794" i="7" s="1"/>
  <c r="F1795" i="7"/>
  <c r="G1795" i="7"/>
  <c r="H1795" i="7"/>
  <c r="F1796" i="7"/>
  <c r="G1796" i="7"/>
  <c r="H1796" i="7"/>
  <c r="F1797" i="7"/>
  <c r="G1797" i="7"/>
  <c r="H1797" i="7"/>
  <c r="F1798" i="7"/>
  <c r="G1798" i="7"/>
  <c r="H1798" i="7"/>
  <c r="M1798" i="7" s="1"/>
  <c r="F1799" i="7"/>
  <c r="G1799" i="7"/>
  <c r="H1799" i="7"/>
  <c r="F1800" i="7"/>
  <c r="G1800" i="7"/>
  <c r="H1800" i="7"/>
  <c r="F1801" i="7"/>
  <c r="G1801" i="7"/>
  <c r="H1801" i="7"/>
  <c r="F1802" i="7"/>
  <c r="G1802" i="7"/>
  <c r="H1802" i="7"/>
  <c r="M1802" i="7" s="1"/>
  <c r="F1803" i="7"/>
  <c r="G1803" i="7"/>
  <c r="H1803" i="7"/>
  <c r="F1804" i="7"/>
  <c r="G1804" i="7"/>
  <c r="H1804" i="7"/>
  <c r="F1805" i="7"/>
  <c r="G1805" i="7"/>
  <c r="H1805" i="7"/>
  <c r="F1806" i="7"/>
  <c r="G1806" i="7"/>
  <c r="H1806" i="7"/>
  <c r="M1806" i="7" s="1"/>
  <c r="F1807" i="7"/>
  <c r="G1807" i="7"/>
  <c r="H1807" i="7"/>
  <c r="F1808" i="7"/>
  <c r="G1808" i="7"/>
  <c r="H1808" i="7"/>
  <c r="F1809" i="7"/>
  <c r="G1809" i="7"/>
  <c r="H1809" i="7"/>
  <c r="F1810" i="7"/>
  <c r="G1810" i="7"/>
  <c r="H1810" i="7"/>
  <c r="M1810" i="7" s="1"/>
  <c r="F1811" i="7"/>
  <c r="G1811" i="7"/>
  <c r="H1811" i="7"/>
  <c r="F1812" i="7"/>
  <c r="G1812" i="7"/>
  <c r="H1812" i="7"/>
  <c r="F1813" i="7"/>
  <c r="G1813" i="7"/>
  <c r="H1813" i="7"/>
  <c r="F1814" i="7"/>
  <c r="G1814" i="7"/>
  <c r="H1814" i="7"/>
  <c r="M1814" i="7" s="1"/>
  <c r="F1815" i="7"/>
  <c r="G1815" i="7"/>
  <c r="H1815" i="7"/>
  <c r="F1816" i="7"/>
  <c r="G1816" i="7"/>
  <c r="H1816" i="7"/>
  <c r="F1817" i="7"/>
  <c r="G1817" i="7"/>
  <c r="H1817" i="7"/>
  <c r="F1818" i="7"/>
  <c r="G1818" i="7"/>
  <c r="H1818" i="7"/>
  <c r="M1818" i="7" s="1"/>
  <c r="F1819" i="7"/>
  <c r="G1819" i="7"/>
  <c r="H1819" i="7"/>
  <c r="F1820" i="7"/>
  <c r="G1820" i="7"/>
  <c r="H1820" i="7"/>
  <c r="F1821" i="7"/>
  <c r="G1821" i="7"/>
  <c r="H1821" i="7"/>
  <c r="F1822" i="7"/>
  <c r="G1822" i="7"/>
  <c r="H1822" i="7"/>
  <c r="M1822" i="7" s="1"/>
  <c r="F1823" i="7"/>
  <c r="G1823" i="7"/>
  <c r="H1823" i="7"/>
  <c r="F1824" i="7"/>
  <c r="G1824" i="7"/>
  <c r="H1824" i="7"/>
  <c r="F1825" i="7"/>
  <c r="G1825" i="7"/>
  <c r="H1825" i="7"/>
  <c r="F1826" i="7"/>
  <c r="G1826" i="7"/>
  <c r="H1826" i="7"/>
  <c r="M1826" i="7" s="1"/>
  <c r="F1827" i="7"/>
  <c r="G1827" i="7"/>
  <c r="H1827" i="7"/>
  <c r="F1828" i="7"/>
  <c r="G1828" i="7"/>
  <c r="H1828" i="7"/>
  <c r="F1829" i="7"/>
  <c r="G1829" i="7"/>
  <c r="H1829" i="7"/>
  <c r="F1830" i="7"/>
  <c r="G1830" i="7"/>
  <c r="H1830" i="7"/>
  <c r="M1830" i="7" s="1"/>
  <c r="F1831" i="7"/>
  <c r="G1831" i="7"/>
  <c r="H1831" i="7"/>
  <c r="F1832" i="7"/>
  <c r="G1832" i="7"/>
  <c r="H1832" i="7"/>
  <c r="F1833" i="7"/>
  <c r="G1833" i="7"/>
  <c r="H1833" i="7"/>
  <c r="F1834" i="7"/>
  <c r="G1834" i="7"/>
  <c r="H1834" i="7"/>
  <c r="M1834" i="7" s="1"/>
  <c r="F1835" i="7"/>
  <c r="G1835" i="7"/>
  <c r="H1835" i="7"/>
  <c r="F1836" i="7"/>
  <c r="G1836" i="7"/>
  <c r="H1836" i="7"/>
  <c r="F1837" i="7"/>
  <c r="G1837" i="7"/>
  <c r="H1837" i="7"/>
  <c r="F1838" i="7"/>
  <c r="G1838" i="7"/>
  <c r="H1838" i="7"/>
  <c r="M1838" i="7" s="1"/>
  <c r="F1839" i="7"/>
  <c r="G1839" i="7"/>
  <c r="H1839" i="7"/>
  <c r="F1840" i="7"/>
  <c r="G1840" i="7"/>
  <c r="H1840" i="7"/>
  <c r="F1841" i="7"/>
  <c r="G1841" i="7"/>
  <c r="H1841" i="7"/>
  <c r="F1842" i="7"/>
  <c r="G1842" i="7"/>
  <c r="H1842" i="7"/>
  <c r="M1842" i="7" s="1"/>
  <c r="F1843" i="7"/>
  <c r="G1843" i="7"/>
  <c r="H1843" i="7"/>
  <c r="F1844" i="7"/>
  <c r="G1844" i="7"/>
  <c r="H1844" i="7"/>
  <c r="F1845" i="7"/>
  <c r="G1845" i="7"/>
  <c r="H1845" i="7"/>
  <c r="F1846" i="7"/>
  <c r="G1846" i="7"/>
  <c r="H1846" i="7"/>
  <c r="M1846" i="7" s="1"/>
  <c r="F1847" i="7"/>
  <c r="G1847" i="7"/>
  <c r="H1847" i="7"/>
  <c r="F1848" i="7"/>
  <c r="G1848" i="7"/>
  <c r="H1848" i="7"/>
  <c r="F1849" i="7"/>
  <c r="G1849" i="7"/>
  <c r="H1849" i="7"/>
  <c r="F1850" i="7"/>
  <c r="G1850" i="7"/>
  <c r="H1850" i="7"/>
  <c r="M1850" i="7" s="1"/>
  <c r="K1617" i="7"/>
  <c r="L1617" i="7"/>
  <c r="M1617" i="7"/>
  <c r="K1618" i="7"/>
  <c r="L1618" i="7"/>
  <c r="K1619" i="7"/>
  <c r="L1619" i="7"/>
  <c r="M1619" i="7"/>
  <c r="K1620" i="7"/>
  <c r="L1620" i="7"/>
  <c r="M1620" i="7"/>
  <c r="K1621" i="7"/>
  <c r="L1621" i="7"/>
  <c r="M1621" i="7"/>
  <c r="K1622" i="7"/>
  <c r="L1622" i="7"/>
  <c r="K1623" i="7"/>
  <c r="L1623" i="7"/>
  <c r="M1623" i="7"/>
  <c r="K1624" i="7"/>
  <c r="L1624" i="7"/>
  <c r="M1624" i="7"/>
  <c r="K1625" i="7"/>
  <c r="L1625" i="7"/>
  <c r="M1625" i="7"/>
  <c r="K1626" i="7"/>
  <c r="L1626" i="7"/>
  <c r="K1627" i="7"/>
  <c r="L1627" i="7"/>
  <c r="M1627" i="7"/>
  <c r="K1628" i="7"/>
  <c r="L1628" i="7"/>
  <c r="M1628" i="7"/>
  <c r="K1629" i="7"/>
  <c r="L1629" i="7"/>
  <c r="M1629" i="7"/>
  <c r="K1630" i="7"/>
  <c r="L1630" i="7"/>
  <c r="K1631" i="7"/>
  <c r="L1631" i="7"/>
  <c r="M1631" i="7"/>
  <c r="K1632" i="7"/>
  <c r="L1632" i="7"/>
  <c r="M1632" i="7"/>
  <c r="K1633" i="7"/>
  <c r="L1633" i="7"/>
  <c r="M1633" i="7"/>
  <c r="K1634" i="7"/>
  <c r="L1634" i="7"/>
  <c r="K1635" i="7"/>
  <c r="L1635" i="7"/>
  <c r="M1635" i="7"/>
  <c r="K1636" i="7"/>
  <c r="L1636" i="7"/>
  <c r="M1636" i="7"/>
  <c r="K1637" i="7"/>
  <c r="L1637" i="7"/>
  <c r="M1637" i="7"/>
  <c r="K1638" i="7"/>
  <c r="L1638" i="7"/>
  <c r="K1639" i="7"/>
  <c r="L1639" i="7"/>
  <c r="M1639" i="7"/>
  <c r="K1640" i="7"/>
  <c r="L1640" i="7"/>
  <c r="M1640" i="7"/>
  <c r="K1641" i="7"/>
  <c r="L1641" i="7"/>
  <c r="M1641" i="7"/>
  <c r="K1642" i="7"/>
  <c r="L1642" i="7"/>
  <c r="K1643" i="7"/>
  <c r="L1643" i="7"/>
  <c r="M1643" i="7"/>
  <c r="K1644" i="7"/>
  <c r="L1644" i="7"/>
  <c r="M1644" i="7"/>
  <c r="K1645" i="7"/>
  <c r="L1645" i="7"/>
  <c r="M1645" i="7"/>
  <c r="K1646" i="7"/>
  <c r="L1646" i="7"/>
  <c r="K1647" i="7"/>
  <c r="L1647" i="7"/>
  <c r="M1647" i="7"/>
  <c r="K1648" i="7"/>
  <c r="L1648" i="7"/>
  <c r="M1648" i="7"/>
  <c r="K1649" i="7"/>
  <c r="L1649" i="7"/>
  <c r="M1649" i="7"/>
  <c r="K1650" i="7"/>
  <c r="L1650" i="7"/>
  <c r="K1651" i="7"/>
  <c r="L1651" i="7"/>
  <c r="M1651" i="7"/>
  <c r="K1652" i="7"/>
  <c r="L1652" i="7"/>
  <c r="M1652" i="7"/>
  <c r="K1653" i="7"/>
  <c r="L1653" i="7"/>
  <c r="M1653" i="7"/>
  <c r="K1654" i="7"/>
  <c r="L1654" i="7"/>
  <c r="K1655" i="7"/>
  <c r="L1655" i="7"/>
  <c r="M1655" i="7"/>
  <c r="K1656" i="7"/>
  <c r="L1656" i="7"/>
  <c r="M1656" i="7"/>
  <c r="K1657" i="7"/>
  <c r="L1657" i="7"/>
  <c r="M1657" i="7"/>
  <c r="K1658" i="7"/>
  <c r="L1658" i="7"/>
  <c r="K1659" i="7"/>
  <c r="L1659" i="7"/>
  <c r="M1659" i="7"/>
  <c r="K1660" i="7"/>
  <c r="L1660" i="7"/>
  <c r="M1660" i="7"/>
  <c r="K1661" i="7"/>
  <c r="L1661" i="7"/>
  <c r="M1661" i="7"/>
  <c r="K1662" i="7"/>
  <c r="L1662" i="7"/>
  <c r="K1663" i="7"/>
  <c r="L1663" i="7"/>
  <c r="M1663" i="7"/>
  <c r="K1664" i="7"/>
  <c r="L1664" i="7"/>
  <c r="M1664" i="7"/>
  <c r="K1665" i="7"/>
  <c r="L1665" i="7"/>
  <c r="M1665" i="7"/>
  <c r="K1666" i="7"/>
  <c r="L1666" i="7"/>
  <c r="K1667" i="7"/>
  <c r="L1667" i="7"/>
  <c r="M1667" i="7"/>
  <c r="K1668" i="7"/>
  <c r="L1668" i="7"/>
  <c r="M1668" i="7"/>
  <c r="K1669" i="7"/>
  <c r="L1669" i="7"/>
  <c r="M1669" i="7"/>
  <c r="K1670" i="7"/>
  <c r="L1670" i="7"/>
  <c r="K1671" i="7"/>
  <c r="L1671" i="7"/>
  <c r="M1671" i="7"/>
  <c r="K1672" i="7"/>
  <c r="L1672" i="7"/>
  <c r="M1672" i="7"/>
  <c r="K1673" i="7"/>
  <c r="L1673" i="7"/>
  <c r="M1673" i="7"/>
  <c r="K1674" i="7"/>
  <c r="L1674" i="7"/>
  <c r="K1675" i="7"/>
  <c r="L1675" i="7"/>
  <c r="M1675" i="7"/>
  <c r="K1676" i="7"/>
  <c r="L1676" i="7"/>
  <c r="M1676" i="7"/>
  <c r="K1677" i="7"/>
  <c r="L1677" i="7"/>
  <c r="M1677" i="7"/>
  <c r="K1678" i="7"/>
  <c r="L1678" i="7"/>
  <c r="K1679" i="7"/>
  <c r="L1679" i="7"/>
  <c r="M1679" i="7"/>
  <c r="K1680" i="7"/>
  <c r="L1680" i="7"/>
  <c r="M1680" i="7"/>
  <c r="K1681" i="7"/>
  <c r="L1681" i="7"/>
  <c r="M1681" i="7"/>
  <c r="K1682" i="7"/>
  <c r="L1682" i="7"/>
  <c r="K1683" i="7"/>
  <c r="L1683" i="7"/>
  <c r="M1683" i="7"/>
  <c r="K1684" i="7"/>
  <c r="L1684" i="7"/>
  <c r="M1684" i="7"/>
  <c r="K1685" i="7"/>
  <c r="L1685" i="7"/>
  <c r="M1685" i="7"/>
  <c r="K1686" i="7"/>
  <c r="L1686" i="7"/>
  <c r="K1687" i="7"/>
  <c r="L1687" i="7"/>
  <c r="M1687" i="7"/>
  <c r="K1688" i="7"/>
  <c r="L1688" i="7"/>
  <c r="M1688" i="7"/>
  <c r="K1689" i="7"/>
  <c r="L1689" i="7"/>
  <c r="M1689" i="7"/>
  <c r="K1690" i="7"/>
  <c r="L1690" i="7"/>
  <c r="K1691" i="7"/>
  <c r="L1691" i="7"/>
  <c r="M1691" i="7"/>
  <c r="K1692" i="7"/>
  <c r="L1692" i="7"/>
  <c r="M1692" i="7"/>
  <c r="K1693" i="7"/>
  <c r="L1693" i="7"/>
  <c r="M1693" i="7"/>
  <c r="K1694" i="7"/>
  <c r="L1694" i="7"/>
  <c r="K1695" i="7"/>
  <c r="L1695" i="7"/>
  <c r="M1695" i="7"/>
  <c r="K1696" i="7"/>
  <c r="L1696" i="7"/>
  <c r="M1696" i="7"/>
  <c r="K1697" i="7"/>
  <c r="L1697" i="7"/>
  <c r="M1697" i="7"/>
  <c r="K1698" i="7"/>
  <c r="L1698" i="7"/>
  <c r="K1699" i="7"/>
  <c r="L1699" i="7"/>
  <c r="M1699" i="7"/>
  <c r="K1700" i="7"/>
  <c r="L1700" i="7"/>
  <c r="M1700" i="7"/>
  <c r="K1701" i="7"/>
  <c r="L1701" i="7"/>
  <c r="M1701" i="7"/>
  <c r="K1702" i="7"/>
  <c r="L1702" i="7"/>
  <c r="K1703" i="7"/>
  <c r="L1703" i="7"/>
  <c r="M1703" i="7"/>
  <c r="K1704" i="7"/>
  <c r="L1704" i="7"/>
  <c r="M1704" i="7"/>
  <c r="K1705" i="7"/>
  <c r="L1705" i="7"/>
  <c r="M1705" i="7"/>
  <c r="K1706" i="7"/>
  <c r="L1706" i="7"/>
  <c r="K1707" i="7"/>
  <c r="L1707" i="7"/>
  <c r="M1707" i="7"/>
  <c r="K1708" i="7"/>
  <c r="L1708" i="7"/>
  <c r="M1708" i="7"/>
  <c r="K1709" i="7"/>
  <c r="L1709" i="7"/>
  <c r="M1709" i="7"/>
  <c r="K1710" i="7"/>
  <c r="L1710" i="7"/>
  <c r="K1711" i="7"/>
  <c r="L1711" i="7"/>
  <c r="M1711" i="7"/>
  <c r="K1712" i="7"/>
  <c r="L1712" i="7"/>
  <c r="M1712" i="7"/>
  <c r="K1713" i="7"/>
  <c r="L1713" i="7"/>
  <c r="M1713" i="7"/>
  <c r="K1714" i="7"/>
  <c r="L1714" i="7"/>
  <c r="K1715" i="7"/>
  <c r="L1715" i="7"/>
  <c r="M1715" i="7"/>
  <c r="K1716" i="7"/>
  <c r="L1716" i="7"/>
  <c r="M1716" i="7"/>
  <c r="K1717" i="7"/>
  <c r="L1717" i="7"/>
  <c r="M1717" i="7"/>
  <c r="K1718" i="7"/>
  <c r="L1718" i="7"/>
  <c r="K1719" i="7"/>
  <c r="L1719" i="7"/>
  <c r="M1719" i="7"/>
  <c r="K1720" i="7"/>
  <c r="L1720" i="7"/>
  <c r="M1720" i="7"/>
  <c r="K1721" i="7"/>
  <c r="L1721" i="7"/>
  <c r="M1721" i="7"/>
  <c r="K1722" i="7"/>
  <c r="L1722" i="7"/>
  <c r="K1723" i="7"/>
  <c r="L1723" i="7"/>
  <c r="M1723" i="7"/>
  <c r="K1724" i="7"/>
  <c r="L1724" i="7"/>
  <c r="M1724" i="7"/>
  <c r="K1725" i="7"/>
  <c r="L1725" i="7"/>
  <c r="M1725" i="7"/>
  <c r="K1726" i="7"/>
  <c r="L1726" i="7"/>
  <c r="K1727" i="7"/>
  <c r="L1727" i="7"/>
  <c r="M1727" i="7"/>
  <c r="K1728" i="7"/>
  <c r="L1728" i="7"/>
  <c r="M1728" i="7"/>
  <c r="K1729" i="7"/>
  <c r="L1729" i="7"/>
  <c r="M1729" i="7"/>
  <c r="K1730" i="7"/>
  <c r="L1730" i="7"/>
  <c r="K1731" i="7"/>
  <c r="L1731" i="7"/>
  <c r="M1731" i="7"/>
  <c r="K1732" i="7"/>
  <c r="L1732" i="7"/>
  <c r="M1732" i="7"/>
  <c r="K1733" i="7"/>
  <c r="L1733" i="7"/>
  <c r="M1733" i="7"/>
  <c r="K1734" i="7"/>
  <c r="L1734" i="7"/>
  <c r="K1735" i="7"/>
  <c r="L1735" i="7"/>
  <c r="M1735" i="7"/>
  <c r="K1736" i="7"/>
  <c r="L1736" i="7"/>
  <c r="M1736" i="7"/>
  <c r="K1737" i="7"/>
  <c r="L1737" i="7"/>
  <c r="M1737" i="7"/>
  <c r="K1738" i="7"/>
  <c r="L1738" i="7"/>
  <c r="K1739" i="7"/>
  <c r="L1739" i="7"/>
  <c r="M1739" i="7"/>
  <c r="K1740" i="7"/>
  <c r="L1740" i="7"/>
  <c r="M1740" i="7"/>
  <c r="K1741" i="7"/>
  <c r="L1741" i="7"/>
  <c r="M1741" i="7"/>
  <c r="K1742" i="7"/>
  <c r="L1742" i="7"/>
  <c r="K1743" i="7"/>
  <c r="L1743" i="7"/>
  <c r="M1743" i="7"/>
  <c r="K1744" i="7"/>
  <c r="L1744" i="7"/>
  <c r="M1744" i="7"/>
  <c r="K1745" i="7"/>
  <c r="L1745" i="7"/>
  <c r="M1745" i="7"/>
  <c r="K1746" i="7"/>
  <c r="L1746" i="7"/>
  <c r="K1747" i="7"/>
  <c r="L1747" i="7"/>
  <c r="M1747" i="7"/>
  <c r="K1748" i="7"/>
  <c r="L1748" i="7"/>
  <c r="M1748" i="7"/>
  <c r="K1749" i="7"/>
  <c r="L1749" i="7"/>
  <c r="M1749" i="7"/>
  <c r="K1750" i="7"/>
  <c r="L1750" i="7"/>
  <c r="K1751" i="7"/>
  <c r="L1751" i="7"/>
  <c r="M1751" i="7"/>
  <c r="K1752" i="7"/>
  <c r="L1752" i="7"/>
  <c r="M1752" i="7"/>
  <c r="K1753" i="7"/>
  <c r="L1753" i="7"/>
  <c r="M1753" i="7"/>
  <c r="K1754" i="7"/>
  <c r="L1754" i="7"/>
  <c r="K1755" i="7"/>
  <c r="L1755" i="7"/>
  <c r="M1755" i="7"/>
  <c r="K1756" i="7"/>
  <c r="L1756" i="7"/>
  <c r="M1756" i="7"/>
  <c r="K1757" i="7"/>
  <c r="L1757" i="7"/>
  <c r="M1757" i="7"/>
  <c r="K1758" i="7"/>
  <c r="L1758" i="7"/>
  <c r="K1759" i="7"/>
  <c r="L1759" i="7"/>
  <c r="M1759" i="7"/>
  <c r="K1760" i="7"/>
  <c r="L1760" i="7"/>
  <c r="M1760" i="7"/>
  <c r="K1761" i="7"/>
  <c r="L1761" i="7"/>
  <c r="M1761" i="7"/>
  <c r="K1762" i="7"/>
  <c r="L1762" i="7"/>
  <c r="K1763" i="7"/>
  <c r="L1763" i="7"/>
  <c r="M1763" i="7"/>
  <c r="K1764" i="7"/>
  <c r="L1764" i="7"/>
  <c r="M1764" i="7"/>
  <c r="K1765" i="7"/>
  <c r="L1765" i="7"/>
  <c r="M1765" i="7"/>
  <c r="K1766" i="7"/>
  <c r="L1766" i="7"/>
  <c r="K1767" i="7"/>
  <c r="L1767" i="7"/>
  <c r="M1767" i="7"/>
  <c r="K1768" i="7"/>
  <c r="L1768" i="7"/>
  <c r="M1768" i="7"/>
  <c r="K1769" i="7"/>
  <c r="L1769" i="7"/>
  <c r="M1769" i="7"/>
  <c r="K1770" i="7"/>
  <c r="L1770" i="7"/>
  <c r="K1771" i="7"/>
  <c r="L1771" i="7"/>
  <c r="M1771" i="7"/>
  <c r="K1772" i="7"/>
  <c r="L1772" i="7"/>
  <c r="M1772" i="7"/>
  <c r="K1773" i="7"/>
  <c r="L1773" i="7"/>
  <c r="M1773" i="7"/>
  <c r="K1774" i="7"/>
  <c r="L1774" i="7"/>
  <c r="K1775" i="7"/>
  <c r="L1775" i="7"/>
  <c r="M1775" i="7"/>
  <c r="K1776" i="7"/>
  <c r="L1776" i="7"/>
  <c r="M1776" i="7"/>
  <c r="K1777" i="7"/>
  <c r="L1777" i="7"/>
  <c r="M1777" i="7"/>
  <c r="K1778" i="7"/>
  <c r="L1778" i="7"/>
  <c r="K1779" i="7"/>
  <c r="L1779" i="7"/>
  <c r="M1779" i="7"/>
  <c r="K1780" i="7"/>
  <c r="L1780" i="7"/>
  <c r="M1780" i="7"/>
  <c r="K1781" i="7"/>
  <c r="L1781" i="7"/>
  <c r="M1781" i="7"/>
  <c r="K1782" i="7"/>
  <c r="L1782" i="7"/>
  <c r="K1783" i="7"/>
  <c r="L1783" i="7"/>
  <c r="M1783" i="7"/>
  <c r="K1784" i="7"/>
  <c r="L1784" i="7"/>
  <c r="M1784" i="7"/>
  <c r="K1785" i="7"/>
  <c r="L1785" i="7"/>
  <c r="M1785" i="7"/>
  <c r="K1786" i="7"/>
  <c r="L1786" i="7"/>
  <c r="K1787" i="7"/>
  <c r="L1787" i="7"/>
  <c r="M1787" i="7"/>
  <c r="K1788" i="7"/>
  <c r="L1788" i="7"/>
  <c r="M1788" i="7"/>
  <c r="K1789" i="7"/>
  <c r="L1789" i="7"/>
  <c r="M1789" i="7"/>
  <c r="K1790" i="7"/>
  <c r="L1790" i="7"/>
  <c r="K1791" i="7"/>
  <c r="L1791" i="7"/>
  <c r="M1791" i="7"/>
  <c r="K1792" i="7"/>
  <c r="L1792" i="7"/>
  <c r="M1792" i="7"/>
  <c r="K1793" i="7"/>
  <c r="L1793" i="7"/>
  <c r="M1793" i="7"/>
  <c r="K1794" i="7"/>
  <c r="L1794" i="7"/>
  <c r="K1795" i="7"/>
  <c r="L1795" i="7"/>
  <c r="M1795" i="7"/>
  <c r="K1796" i="7"/>
  <c r="L1796" i="7"/>
  <c r="M1796" i="7"/>
  <c r="K1797" i="7"/>
  <c r="L1797" i="7"/>
  <c r="M1797" i="7"/>
  <c r="K1798" i="7"/>
  <c r="L1798" i="7"/>
  <c r="K1799" i="7"/>
  <c r="L1799" i="7"/>
  <c r="M1799" i="7"/>
  <c r="K1800" i="7"/>
  <c r="L1800" i="7"/>
  <c r="M1800" i="7"/>
  <c r="K1801" i="7"/>
  <c r="L1801" i="7"/>
  <c r="M1801" i="7"/>
  <c r="K1802" i="7"/>
  <c r="L1802" i="7"/>
  <c r="K1803" i="7"/>
  <c r="L1803" i="7"/>
  <c r="M1803" i="7"/>
  <c r="K1804" i="7"/>
  <c r="L1804" i="7"/>
  <c r="M1804" i="7"/>
  <c r="K1805" i="7"/>
  <c r="L1805" i="7"/>
  <c r="M1805" i="7"/>
  <c r="K1806" i="7"/>
  <c r="L1806" i="7"/>
  <c r="K1807" i="7"/>
  <c r="L1807" i="7"/>
  <c r="M1807" i="7"/>
  <c r="K1808" i="7"/>
  <c r="L1808" i="7"/>
  <c r="M1808" i="7"/>
  <c r="K1809" i="7"/>
  <c r="L1809" i="7"/>
  <c r="M1809" i="7"/>
  <c r="K1810" i="7"/>
  <c r="L1810" i="7"/>
  <c r="K1811" i="7"/>
  <c r="L1811" i="7"/>
  <c r="M1811" i="7"/>
  <c r="K1812" i="7"/>
  <c r="L1812" i="7"/>
  <c r="M1812" i="7"/>
  <c r="K1813" i="7"/>
  <c r="L1813" i="7"/>
  <c r="M1813" i="7"/>
  <c r="K1814" i="7"/>
  <c r="L1814" i="7"/>
  <c r="K1815" i="7"/>
  <c r="L1815" i="7"/>
  <c r="M1815" i="7"/>
  <c r="K1816" i="7"/>
  <c r="L1816" i="7"/>
  <c r="M1816" i="7"/>
  <c r="K1817" i="7"/>
  <c r="L1817" i="7"/>
  <c r="M1817" i="7"/>
  <c r="K1818" i="7"/>
  <c r="L1818" i="7"/>
  <c r="K1819" i="7"/>
  <c r="L1819" i="7"/>
  <c r="M1819" i="7"/>
  <c r="K1820" i="7"/>
  <c r="L1820" i="7"/>
  <c r="M1820" i="7"/>
  <c r="K1821" i="7"/>
  <c r="L1821" i="7"/>
  <c r="M1821" i="7"/>
  <c r="K1822" i="7"/>
  <c r="L1822" i="7"/>
  <c r="K1823" i="7"/>
  <c r="L1823" i="7"/>
  <c r="M1823" i="7"/>
  <c r="K1824" i="7"/>
  <c r="L1824" i="7"/>
  <c r="M1824" i="7"/>
  <c r="K1825" i="7"/>
  <c r="L1825" i="7"/>
  <c r="M1825" i="7"/>
  <c r="K1826" i="7"/>
  <c r="L1826" i="7"/>
  <c r="K1827" i="7"/>
  <c r="L1827" i="7"/>
  <c r="M1827" i="7"/>
  <c r="K1828" i="7"/>
  <c r="L1828" i="7"/>
  <c r="M1828" i="7"/>
  <c r="K1829" i="7"/>
  <c r="L1829" i="7"/>
  <c r="M1829" i="7"/>
  <c r="K1830" i="7"/>
  <c r="L1830" i="7"/>
  <c r="K1831" i="7"/>
  <c r="L1831" i="7"/>
  <c r="M1831" i="7"/>
  <c r="K1832" i="7"/>
  <c r="L1832" i="7"/>
  <c r="M1832" i="7"/>
  <c r="K1833" i="7"/>
  <c r="L1833" i="7"/>
  <c r="M1833" i="7"/>
  <c r="K1834" i="7"/>
  <c r="L1834" i="7"/>
  <c r="K1835" i="7"/>
  <c r="L1835" i="7"/>
  <c r="M1835" i="7"/>
  <c r="K1836" i="7"/>
  <c r="L1836" i="7"/>
  <c r="M1836" i="7"/>
  <c r="K1837" i="7"/>
  <c r="L1837" i="7"/>
  <c r="M1837" i="7"/>
  <c r="K1838" i="7"/>
  <c r="L1838" i="7"/>
  <c r="K1839" i="7"/>
  <c r="L1839" i="7"/>
  <c r="M1839" i="7"/>
  <c r="K1840" i="7"/>
  <c r="L1840" i="7"/>
  <c r="M1840" i="7"/>
  <c r="K1841" i="7"/>
  <c r="L1841" i="7"/>
  <c r="M1841" i="7"/>
  <c r="K1842" i="7"/>
  <c r="L1842" i="7"/>
  <c r="K1843" i="7"/>
  <c r="L1843" i="7"/>
  <c r="M1843" i="7"/>
  <c r="K1844" i="7"/>
  <c r="L1844" i="7"/>
  <c r="M1844" i="7"/>
  <c r="K1845" i="7"/>
  <c r="L1845" i="7"/>
  <c r="M1845" i="7"/>
  <c r="K1846" i="7"/>
  <c r="L1846" i="7"/>
  <c r="K1847" i="7"/>
  <c r="L1847" i="7"/>
  <c r="M1847" i="7"/>
  <c r="K1848" i="7"/>
  <c r="L1848" i="7"/>
  <c r="M1848" i="7"/>
  <c r="K1849" i="7"/>
  <c r="L1849" i="7"/>
  <c r="M1849" i="7"/>
  <c r="K1850" i="7"/>
  <c r="L1850" i="7"/>
  <c r="K14" i="7"/>
  <c r="L14" i="7"/>
  <c r="M14" i="7"/>
  <c r="K15" i="7"/>
  <c r="L15" i="7"/>
  <c r="M15" i="7"/>
  <c r="K16" i="7"/>
  <c r="L16" i="7"/>
  <c r="M16" i="7"/>
  <c r="K17" i="7"/>
  <c r="L17" i="7"/>
  <c r="M17" i="7"/>
  <c r="K18" i="7"/>
  <c r="L18" i="7"/>
  <c r="M18" i="7"/>
  <c r="K19" i="7"/>
  <c r="L19" i="7"/>
  <c r="M19" i="7"/>
  <c r="K20" i="7"/>
  <c r="L20" i="7"/>
  <c r="M20" i="7"/>
  <c r="K21" i="7"/>
  <c r="L21" i="7"/>
  <c r="M21" i="7"/>
  <c r="K22" i="7"/>
  <c r="L22" i="7"/>
  <c r="M22" i="7"/>
  <c r="K23" i="7"/>
  <c r="L23" i="7"/>
  <c r="M23" i="7"/>
  <c r="K24" i="7"/>
  <c r="L24" i="7"/>
  <c r="M24" i="7"/>
  <c r="K25" i="7"/>
  <c r="L25" i="7"/>
  <c r="M25" i="7"/>
  <c r="K26" i="7"/>
  <c r="L26" i="7"/>
  <c r="M26" i="7"/>
  <c r="K27" i="7"/>
  <c r="L27" i="7"/>
  <c r="M27" i="7"/>
  <c r="K28" i="7"/>
  <c r="L28" i="7"/>
  <c r="M28" i="7"/>
  <c r="K29" i="7"/>
  <c r="L29" i="7"/>
  <c r="M29" i="7"/>
  <c r="K30" i="7"/>
  <c r="L30" i="7"/>
  <c r="M30" i="7"/>
  <c r="K31" i="7"/>
  <c r="L31" i="7"/>
  <c r="M31" i="7"/>
  <c r="K32" i="7"/>
  <c r="L32" i="7"/>
  <c r="M32" i="7"/>
  <c r="K33" i="7"/>
  <c r="L33" i="7"/>
  <c r="M33" i="7"/>
  <c r="K34" i="7"/>
  <c r="L34" i="7"/>
  <c r="M34" i="7"/>
  <c r="K35" i="7"/>
  <c r="L35" i="7"/>
  <c r="M35" i="7"/>
  <c r="K36" i="7"/>
  <c r="L36" i="7"/>
  <c r="M36" i="7"/>
  <c r="K37" i="7"/>
  <c r="L37" i="7"/>
  <c r="M37" i="7"/>
  <c r="K38" i="7"/>
  <c r="L38" i="7"/>
  <c r="M38" i="7"/>
  <c r="K39" i="7"/>
  <c r="L39" i="7"/>
  <c r="M39" i="7"/>
  <c r="K40" i="7"/>
  <c r="L40" i="7"/>
  <c r="M40" i="7"/>
  <c r="K41" i="7"/>
  <c r="L41" i="7"/>
  <c r="M41" i="7"/>
  <c r="K42" i="7"/>
  <c r="L42" i="7"/>
  <c r="M42" i="7"/>
  <c r="K43" i="7"/>
  <c r="L43" i="7"/>
  <c r="M43" i="7"/>
  <c r="K44" i="7"/>
  <c r="L44" i="7"/>
  <c r="M44" i="7"/>
  <c r="K45" i="7"/>
  <c r="L45" i="7"/>
  <c r="M45" i="7"/>
  <c r="K46" i="7"/>
  <c r="L46" i="7"/>
  <c r="M46" i="7"/>
  <c r="K47" i="7"/>
  <c r="L47" i="7"/>
  <c r="M47" i="7"/>
  <c r="K48" i="7"/>
  <c r="L48" i="7"/>
  <c r="M48" i="7"/>
  <c r="K49" i="7"/>
  <c r="L49" i="7"/>
  <c r="M49" i="7"/>
  <c r="K50" i="7"/>
  <c r="L50" i="7"/>
  <c r="M50" i="7"/>
  <c r="K51" i="7"/>
  <c r="L51" i="7"/>
  <c r="M51" i="7"/>
  <c r="K52" i="7"/>
  <c r="L52" i="7"/>
  <c r="M52" i="7"/>
  <c r="K53" i="7"/>
  <c r="L53" i="7"/>
  <c r="M53" i="7"/>
  <c r="K54" i="7"/>
  <c r="L54" i="7"/>
  <c r="M54" i="7"/>
  <c r="K55" i="7"/>
  <c r="L55" i="7"/>
  <c r="M55" i="7"/>
  <c r="K56" i="7"/>
  <c r="L56" i="7"/>
  <c r="M56" i="7"/>
  <c r="K57" i="7"/>
  <c r="L57" i="7"/>
  <c r="M57" i="7"/>
  <c r="K58" i="7"/>
  <c r="L58" i="7"/>
  <c r="M58" i="7"/>
  <c r="K59" i="7"/>
  <c r="L59" i="7"/>
  <c r="M59" i="7"/>
  <c r="K60" i="7"/>
  <c r="L60" i="7"/>
  <c r="M60" i="7"/>
  <c r="K61" i="7"/>
  <c r="L61" i="7"/>
  <c r="M61" i="7"/>
  <c r="K62" i="7"/>
  <c r="L62" i="7"/>
  <c r="M62" i="7"/>
  <c r="K63" i="7"/>
  <c r="L63" i="7"/>
  <c r="M63" i="7"/>
  <c r="K64" i="7"/>
  <c r="L64" i="7"/>
  <c r="M64" i="7"/>
  <c r="K65" i="7"/>
  <c r="L65" i="7"/>
  <c r="M65" i="7"/>
  <c r="K66" i="7"/>
  <c r="L66" i="7"/>
  <c r="M66" i="7"/>
  <c r="K67" i="7"/>
  <c r="L67" i="7"/>
  <c r="M67" i="7"/>
  <c r="K68" i="7"/>
  <c r="L68" i="7"/>
  <c r="M68" i="7"/>
  <c r="K69" i="7"/>
  <c r="L69" i="7"/>
  <c r="M69" i="7"/>
  <c r="K70" i="7"/>
  <c r="L70" i="7"/>
  <c r="M70" i="7"/>
  <c r="K71" i="7"/>
  <c r="L71" i="7"/>
  <c r="M71" i="7"/>
  <c r="K72" i="7"/>
  <c r="L72" i="7"/>
  <c r="M72" i="7"/>
  <c r="K73" i="7"/>
  <c r="L73" i="7"/>
  <c r="M73" i="7"/>
  <c r="K74" i="7"/>
  <c r="L74" i="7"/>
  <c r="M74" i="7"/>
  <c r="K75" i="7"/>
  <c r="L75" i="7"/>
  <c r="M75" i="7"/>
  <c r="K76" i="7"/>
  <c r="L76" i="7"/>
  <c r="M76" i="7"/>
  <c r="K77" i="7"/>
  <c r="L77" i="7"/>
  <c r="M77" i="7"/>
  <c r="K78" i="7"/>
  <c r="L78" i="7"/>
  <c r="M78" i="7"/>
  <c r="K79" i="7"/>
  <c r="L79" i="7"/>
  <c r="M79" i="7"/>
  <c r="K80" i="7"/>
  <c r="L80" i="7"/>
  <c r="M80" i="7"/>
  <c r="K81" i="7"/>
  <c r="L81" i="7"/>
  <c r="M81" i="7"/>
  <c r="K82" i="7"/>
  <c r="L82" i="7"/>
  <c r="M82" i="7"/>
  <c r="K83" i="7"/>
  <c r="L83" i="7"/>
  <c r="M83" i="7"/>
  <c r="K84" i="7"/>
  <c r="L84" i="7"/>
  <c r="M84" i="7"/>
  <c r="K85" i="7"/>
  <c r="L85" i="7"/>
  <c r="M85" i="7"/>
  <c r="K86" i="7"/>
  <c r="L86" i="7"/>
  <c r="M86" i="7"/>
  <c r="K87" i="7"/>
  <c r="L87" i="7"/>
  <c r="M87" i="7"/>
  <c r="K88" i="7"/>
  <c r="L88" i="7"/>
  <c r="M88" i="7"/>
  <c r="K89" i="7"/>
  <c r="L89" i="7"/>
  <c r="M89" i="7"/>
  <c r="K90" i="7"/>
  <c r="L90" i="7"/>
  <c r="M90" i="7"/>
  <c r="K91" i="7"/>
  <c r="L91" i="7"/>
  <c r="M91" i="7"/>
  <c r="K92" i="7"/>
  <c r="L92" i="7"/>
  <c r="M92" i="7"/>
  <c r="K93" i="7"/>
  <c r="L93" i="7"/>
  <c r="M93" i="7"/>
  <c r="K94" i="7"/>
  <c r="L94" i="7"/>
  <c r="M94" i="7"/>
  <c r="K95" i="7"/>
  <c r="L95" i="7"/>
  <c r="M95" i="7"/>
  <c r="K96" i="7"/>
  <c r="L96" i="7"/>
  <c r="M96" i="7"/>
  <c r="K97" i="7"/>
  <c r="L97" i="7"/>
  <c r="M97" i="7"/>
  <c r="K98" i="7"/>
  <c r="L98" i="7"/>
  <c r="M98" i="7"/>
  <c r="K99" i="7"/>
  <c r="L99" i="7"/>
  <c r="M99" i="7"/>
  <c r="K100" i="7"/>
  <c r="L100" i="7"/>
  <c r="M100" i="7"/>
  <c r="K101" i="7"/>
  <c r="L101" i="7"/>
  <c r="M101" i="7"/>
  <c r="K102" i="7"/>
  <c r="L102" i="7"/>
  <c r="M102" i="7"/>
  <c r="K103" i="7"/>
  <c r="L103" i="7"/>
  <c r="M103" i="7"/>
  <c r="K104" i="7"/>
  <c r="L104" i="7"/>
  <c r="M104" i="7"/>
  <c r="K105" i="7"/>
  <c r="L105" i="7"/>
  <c r="M105" i="7"/>
  <c r="K106" i="7"/>
  <c r="L106" i="7"/>
  <c r="M106" i="7"/>
  <c r="K107" i="7"/>
  <c r="L107" i="7"/>
  <c r="M107" i="7"/>
  <c r="K108" i="7"/>
  <c r="L108" i="7"/>
  <c r="M108" i="7"/>
  <c r="K109" i="7"/>
  <c r="L109" i="7"/>
  <c r="M109" i="7"/>
  <c r="K110" i="7"/>
  <c r="L110" i="7"/>
  <c r="M110" i="7"/>
  <c r="K111" i="7"/>
  <c r="L111" i="7"/>
  <c r="M111" i="7"/>
  <c r="K112" i="7"/>
  <c r="L112" i="7"/>
  <c r="M112" i="7"/>
  <c r="K113" i="7"/>
  <c r="L113" i="7"/>
  <c r="M113" i="7"/>
  <c r="K114" i="7"/>
  <c r="L114" i="7"/>
  <c r="M114" i="7"/>
  <c r="K115" i="7"/>
  <c r="L115" i="7"/>
  <c r="M115" i="7"/>
  <c r="K116" i="7"/>
  <c r="L116" i="7"/>
  <c r="M116" i="7"/>
  <c r="K117" i="7"/>
  <c r="L117" i="7"/>
  <c r="M117" i="7"/>
  <c r="K118" i="7"/>
  <c r="L118" i="7"/>
  <c r="M118" i="7"/>
  <c r="K119" i="7"/>
  <c r="L119" i="7"/>
  <c r="M119" i="7"/>
  <c r="K120" i="7"/>
  <c r="L120" i="7"/>
  <c r="M120" i="7"/>
  <c r="K121" i="7"/>
  <c r="L121" i="7"/>
  <c r="M121" i="7"/>
  <c r="K122" i="7"/>
  <c r="L122" i="7"/>
  <c r="M122" i="7"/>
  <c r="K123" i="7"/>
  <c r="L123" i="7"/>
  <c r="M123" i="7"/>
  <c r="K124" i="7"/>
  <c r="L124" i="7"/>
  <c r="M124" i="7"/>
  <c r="K125" i="7"/>
  <c r="L125" i="7"/>
  <c r="M125" i="7"/>
  <c r="K126" i="7"/>
  <c r="L126" i="7"/>
  <c r="M126" i="7"/>
  <c r="K127" i="7"/>
  <c r="L127" i="7"/>
  <c r="M127" i="7"/>
  <c r="K128" i="7"/>
  <c r="L128" i="7"/>
  <c r="M128" i="7"/>
  <c r="K129" i="7"/>
  <c r="L129" i="7"/>
  <c r="M129" i="7"/>
  <c r="K130" i="7"/>
  <c r="L130" i="7"/>
  <c r="M130" i="7"/>
  <c r="K131" i="7"/>
  <c r="L131" i="7"/>
  <c r="M131" i="7"/>
  <c r="K132" i="7"/>
  <c r="L132" i="7"/>
  <c r="M132" i="7"/>
  <c r="K133" i="7"/>
  <c r="L133" i="7"/>
  <c r="M133" i="7"/>
  <c r="K134" i="7"/>
  <c r="L134" i="7"/>
  <c r="M134" i="7"/>
  <c r="K135" i="7"/>
  <c r="L135" i="7"/>
  <c r="M135" i="7"/>
  <c r="K136" i="7"/>
  <c r="L136" i="7"/>
  <c r="M136" i="7"/>
  <c r="K137" i="7"/>
  <c r="L137" i="7"/>
  <c r="M137" i="7"/>
  <c r="K138" i="7"/>
  <c r="L138" i="7"/>
  <c r="M138" i="7"/>
  <c r="K139" i="7"/>
  <c r="L139" i="7"/>
  <c r="M139" i="7"/>
  <c r="K140" i="7"/>
  <c r="L140" i="7"/>
  <c r="M140" i="7"/>
  <c r="K141" i="7"/>
  <c r="L141" i="7"/>
  <c r="M141" i="7"/>
  <c r="K142" i="7"/>
  <c r="L142" i="7"/>
  <c r="M142" i="7"/>
  <c r="K143" i="7"/>
  <c r="L143" i="7"/>
  <c r="M143" i="7"/>
  <c r="K144" i="7"/>
  <c r="L144" i="7"/>
  <c r="M144" i="7"/>
  <c r="K145" i="7"/>
  <c r="L145" i="7"/>
  <c r="M145" i="7"/>
  <c r="K146" i="7"/>
  <c r="L146" i="7"/>
  <c r="M146" i="7"/>
  <c r="K147" i="7"/>
  <c r="L147" i="7"/>
  <c r="M147" i="7"/>
  <c r="K148" i="7"/>
  <c r="L148" i="7"/>
  <c r="M148" i="7"/>
  <c r="K149" i="7"/>
  <c r="L149" i="7"/>
  <c r="M149" i="7"/>
  <c r="K150" i="7"/>
  <c r="L150" i="7"/>
  <c r="M150" i="7"/>
  <c r="K151" i="7"/>
  <c r="L151" i="7"/>
  <c r="M151" i="7"/>
  <c r="K152" i="7"/>
  <c r="L152" i="7"/>
  <c r="M152" i="7"/>
  <c r="K153" i="7"/>
  <c r="L153" i="7"/>
  <c r="M153" i="7"/>
  <c r="K154" i="7"/>
  <c r="L154" i="7"/>
  <c r="M154" i="7"/>
  <c r="K155" i="7"/>
  <c r="L155" i="7"/>
  <c r="M155" i="7"/>
  <c r="K156" i="7"/>
  <c r="L156" i="7"/>
  <c r="M156" i="7"/>
  <c r="K157" i="7"/>
  <c r="L157" i="7"/>
  <c r="M157" i="7"/>
  <c r="K158" i="7"/>
  <c r="L158" i="7"/>
  <c r="M158" i="7"/>
  <c r="K159" i="7"/>
  <c r="L159" i="7"/>
  <c r="M159" i="7"/>
  <c r="K160" i="7"/>
  <c r="L160" i="7"/>
  <c r="M160" i="7"/>
  <c r="K161" i="7"/>
  <c r="L161" i="7"/>
  <c r="M161" i="7"/>
  <c r="K162" i="7"/>
  <c r="L162" i="7"/>
  <c r="M162" i="7"/>
  <c r="K163" i="7"/>
  <c r="L163" i="7"/>
  <c r="M163" i="7"/>
  <c r="K164" i="7"/>
  <c r="L164" i="7"/>
  <c r="M164" i="7"/>
  <c r="K165" i="7"/>
  <c r="L165" i="7"/>
  <c r="M165" i="7"/>
  <c r="K166" i="7"/>
  <c r="L166" i="7"/>
  <c r="M166" i="7"/>
  <c r="K167" i="7"/>
  <c r="L167" i="7"/>
  <c r="M167" i="7"/>
  <c r="K168" i="7"/>
  <c r="L168" i="7"/>
  <c r="M168" i="7"/>
  <c r="K169" i="7"/>
  <c r="L169" i="7"/>
  <c r="M169" i="7"/>
  <c r="K170" i="7"/>
  <c r="L170" i="7"/>
  <c r="M170" i="7"/>
  <c r="K171" i="7"/>
  <c r="L171" i="7"/>
  <c r="M171" i="7"/>
  <c r="K172" i="7"/>
  <c r="L172" i="7"/>
  <c r="M172" i="7"/>
  <c r="K173" i="7"/>
  <c r="L173" i="7"/>
  <c r="M173" i="7"/>
  <c r="K174" i="7"/>
  <c r="L174" i="7"/>
  <c r="M174" i="7"/>
  <c r="K175" i="7"/>
  <c r="L175" i="7"/>
  <c r="M175" i="7"/>
  <c r="K176" i="7"/>
  <c r="L176" i="7"/>
  <c r="M176" i="7"/>
  <c r="K177" i="7"/>
  <c r="L177" i="7"/>
  <c r="M177" i="7"/>
  <c r="K178" i="7"/>
  <c r="L178" i="7"/>
  <c r="M178" i="7"/>
  <c r="K179" i="7"/>
  <c r="L179" i="7"/>
  <c r="M179" i="7"/>
  <c r="K180" i="7"/>
  <c r="L180" i="7"/>
  <c r="M180" i="7"/>
  <c r="K181" i="7"/>
  <c r="L181" i="7"/>
  <c r="M181" i="7"/>
  <c r="K182" i="7"/>
  <c r="L182" i="7"/>
  <c r="M182" i="7"/>
  <c r="K183" i="7"/>
  <c r="L183" i="7"/>
  <c r="M183" i="7"/>
  <c r="K184" i="7"/>
  <c r="L184" i="7"/>
  <c r="M184" i="7"/>
  <c r="K185" i="7"/>
  <c r="L185" i="7"/>
  <c r="M185" i="7"/>
  <c r="K186" i="7"/>
  <c r="L186" i="7"/>
  <c r="M186" i="7"/>
  <c r="K187" i="7"/>
  <c r="L187" i="7"/>
  <c r="M187" i="7"/>
  <c r="K188" i="7"/>
  <c r="L188" i="7"/>
  <c r="M188" i="7"/>
  <c r="K189" i="7"/>
  <c r="L189" i="7"/>
  <c r="M189" i="7"/>
  <c r="K190" i="7"/>
  <c r="L190" i="7"/>
  <c r="M190" i="7"/>
  <c r="K191" i="7"/>
  <c r="L191" i="7"/>
  <c r="M191" i="7"/>
  <c r="K192" i="7"/>
  <c r="L192" i="7"/>
  <c r="M192" i="7"/>
  <c r="K193" i="7"/>
  <c r="L193" i="7"/>
  <c r="M193" i="7"/>
  <c r="K194" i="7"/>
  <c r="L194" i="7"/>
  <c r="M194" i="7"/>
  <c r="K195" i="7"/>
  <c r="L195" i="7"/>
  <c r="M195" i="7"/>
  <c r="K196" i="7"/>
  <c r="L196" i="7"/>
  <c r="M196" i="7"/>
  <c r="K197" i="7"/>
  <c r="L197" i="7"/>
  <c r="M197" i="7"/>
  <c r="K198" i="7"/>
  <c r="L198" i="7"/>
  <c r="M198" i="7"/>
  <c r="K199" i="7"/>
  <c r="L199" i="7"/>
  <c r="M199" i="7"/>
  <c r="K200" i="7"/>
  <c r="L200" i="7"/>
  <c r="M200" i="7"/>
  <c r="K201" i="7"/>
  <c r="L201" i="7"/>
  <c r="M201" i="7"/>
  <c r="K202" i="7"/>
  <c r="L202" i="7"/>
  <c r="M202" i="7"/>
  <c r="K203" i="7"/>
  <c r="L203" i="7"/>
  <c r="M203" i="7"/>
  <c r="K204" i="7"/>
  <c r="L204" i="7"/>
  <c r="M204" i="7"/>
  <c r="K205" i="7"/>
  <c r="L205" i="7"/>
  <c r="M205" i="7"/>
  <c r="K206" i="7"/>
  <c r="L206" i="7"/>
  <c r="M206" i="7"/>
  <c r="K207" i="7"/>
  <c r="L207" i="7"/>
  <c r="M207" i="7"/>
  <c r="K208" i="7"/>
  <c r="L208" i="7"/>
  <c r="M208" i="7"/>
  <c r="K209" i="7"/>
  <c r="L209" i="7"/>
  <c r="M209" i="7"/>
  <c r="K210" i="7"/>
  <c r="L210" i="7"/>
  <c r="M210" i="7"/>
  <c r="K211" i="7"/>
  <c r="L211" i="7"/>
  <c r="M211" i="7"/>
  <c r="K212" i="7"/>
  <c r="L212" i="7"/>
  <c r="M212" i="7"/>
  <c r="K213" i="7"/>
  <c r="L213" i="7"/>
  <c r="M213" i="7"/>
  <c r="K214" i="7"/>
  <c r="L214" i="7"/>
  <c r="M214" i="7"/>
  <c r="K215" i="7"/>
  <c r="L215" i="7"/>
  <c r="M215" i="7"/>
  <c r="K216" i="7"/>
  <c r="L216" i="7"/>
  <c r="M216" i="7"/>
  <c r="K217" i="7"/>
  <c r="L217" i="7"/>
  <c r="M217" i="7"/>
  <c r="K218" i="7"/>
  <c r="L218" i="7"/>
  <c r="M218" i="7"/>
  <c r="K219" i="7"/>
  <c r="L219" i="7"/>
  <c r="M219" i="7"/>
  <c r="K220" i="7"/>
  <c r="L220" i="7"/>
  <c r="M220" i="7"/>
  <c r="K221" i="7"/>
  <c r="L221" i="7"/>
  <c r="M221" i="7"/>
  <c r="K222" i="7"/>
  <c r="L222" i="7"/>
  <c r="M222" i="7"/>
  <c r="K223" i="7"/>
  <c r="L223" i="7"/>
  <c r="M223" i="7"/>
  <c r="K224" i="7"/>
  <c r="L224" i="7"/>
  <c r="M224" i="7"/>
  <c r="K225" i="7"/>
  <c r="L225" i="7"/>
  <c r="M225" i="7"/>
  <c r="K226" i="7"/>
  <c r="L226" i="7"/>
  <c r="M226" i="7"/>
  <c r="K227" i="7"/>
  <c r="L227" i="7"/>
  <c r="M227" i="7"/>
  <c r="K228" i="7"/>
  <c r="L228" i="7"/>
  <c r="M228" i="7"/>
  <c r="K229" i="7"/>
  <c r="L229" i="7"/>
  <c r="M229" i="7"/>
  <c r="K230" i="7"/>
  <c r="L230" i="7"/>
  <c r="M230" i="7"/>
  <c r="K231" i="7"/>
  <c r="L231" i="7"/>
  <c r="M231" i="7"/>
  <c r="K232" i="7"/>
  <c r="L232" i="7"/>
  <c r="M232" i="7"/>
  <c r="K233" i="7"/>
  <c r="L233" i="7"/>
  <c r="M233" i="7"/>
  <c r="K234" i="7"/>
  <c r="L234" i="7"/>
  <c r="M234" i="7"/>
  <c r="K235" i="7"/>
  <c r="L235" i="7"/>
  <c r="M235" i="7"/>
  <c r="K236" i="7"/>
  <c r="L236" i="7"/>
  <c r="M236" i="7"/>
  <c r="K237" i="7"/>
  <c r="L237" i="7"/>
  <c r="M237" i="7"/>
  <c r="K238" i="7"/>
  <c r="L238" i="7"/>
  <c r="M238" i="7"/>
  <c r="K239" i="7"/>
  <c r="L239" i="7"/>
  <c r="M239" i="7"/>
  <c r="K240" i="7"/>
  <c r="L240" i="7"/>
  <c r="M240" i="7"/>
  <c r="K241" i="7"/>
  <c r="L241" i="7"/>
  <c r="M241" i="7"/>
  <c r="K242" i="7"/>
  <c r="L242" i="7"/>
  <c r="M242" i="7"/>
  <c r="K243" i="7"/>
  <c r="L243" i="7"/>
  <c r="M243" i="7"/>
  <c r="K244" i="7"/>
  <c r="L244" i="7"/>
  <c r="M244" i="7"/>
  <c r="K245" i="7"/>
  <c r="L245" i="7"/>
  <c r="M245" i="7"/>
  <c r="K246" i="7"/>
  <c r="L246" i="7"/>
  <c r="M246" i="7"/>
  <c r="K247" i="7"/>
  <c r="L247" i="7"/>
  <c r="M247" i="7"/>
  <c r="K248" i="7"/>
  <c r="L248" i="7"/>
  <c r="M248" i="7"/>
  <c r="K249" i="7"/>
  <c r="L249" i="7"/>
  <c r="M249" i="7"/>
  <c r="K250" i="7"/>
  <c r="L250" i="7"/>
  <c r="M250" i="7"/>
  <c r="K251" i="7"/>
  <c r="L251" i="7"/>
  <c r="M251" i="7"/>
  <c r="K252" i="7"/>
  <c r="L252" i="7"/>
  <c r="M252" i="7"/>
  <c r="K253" i="7"/>
  <c r="L253" i="7"/>
  <c r="M253" i="7"/>
  <c r="K254" i="7"/>
  <c r="L254" i="7"/>
  <c r="M254" i="7"/>
  <c r="K255" i="7"/>
  <c r="L255" i="7"/>
  <c r="M255" i="7"/>
  <c r="K256" i="7"/>
  <c r="L256" i="7"/>
  <c r="M256" i="7"/>
  <c r="K257" i="7"/>
  <c r="L257" i="7"/>
  <c r="M257" i="7"/>
  <c r="K258" i="7"/>
  <c r="L258" i="7"/>
  <c r="M258" i="7"/>
  <c r="K259" i="7"/>
  <c r="L259" i="7"/>
  <c r="M259" i="7"/>
  <c r="K260" i="7"/>
  <c r="L260" i="7"/>
  <c r="M260" i="7"/>
  <c r="K261" i="7"/>
  <c r="L261" i="7"/>
  <c r="M261" i="7"/>
  <c r="K262" i="7"/>
  <c r="L262" i="7"/>
  <c r="M262" i="7"/>
  <c r="K263" i="7"/>
  <c r="L263" i="7"/>
  <c r="M263" i="7"/>
  <c r="K264" i="7"/>
  <c r="L264" i="7"/>
  <c r="M264" i="7"/>
  <c r="K265" i="7"/>
  <c r="L265" i="7"/>
  <c r="M265" i="7"/>
  <c r="K266" i="7"/>
  <c r="L266" i="7"/>
  <c r="M266" i="7"/>
  <c r="K267" i="7"/>
  <c r="L267" i="7"/>
  <c r="M267" i="7"/>
  <c r="K268" i="7"/>
  <c r="L268" i="7"/>
  <c r="M268" i="7"/>
  <c r="K269" i="7"/>
  <c r="L269" i="7"/>
  <c r="M269" i="7"/>
  <c r="K270" i="7"/>
  <c r="L270" i="7"/>
  <c r="M270" i="7"/>
  <c r="K271" i="7"/>
  <c r="L271" i="7"/>
  <c r="M271" i="7"/>
  <c r="K272" i="7"/>
  <c r="L272" i="7"/>
  <c r="M272" i="7"/>
  <c r="K273" i="7"/>
  <c r="L273" i="7"/>
  <c r="M273" i="7"/>
  <c r="K274" i="7"/>
  <c r="L274" i="7"/>
  <c r="M274" i="7"/>
  <c r="K275" i="7"/>
  <c r="L275" i="7"/>
  <c r="M275" i="7"/>
  <c r="K276" i="7"/>
  <c r="L276" i="7"/>
  <c r="M276" i="7"/>
  <c r="K277" i="7"/>
  <c r="L277" i="7"/>
  <c r="M277" i="7"/>
  <c r="K278" i="7"/>
  <c r="L278" i="7"/>
  <c r="M278" i="7"/>
  <c r="K279" i="7"/>
  <c r="L279" i="7"/>
  <c r="M279" i="7"/>
  <c r="K280" i="7"/>
  <c r="L280" i="7"/>
  <c r="M280" i="7"/>
  <c r="K281" i="7"/>
  <c r="L281" i="7"/>
  <c r="M281" i="7"/>
  <c r="K282" i="7"/>
  <c r="L282" i="7"/>
  <c r="M282" i="7"/>
  <c r="K283" i="7"/>
  <c r="L283" i="7"/>
  <c r="M283" i="7"/>
  <c r="K284" i="7"/>
  <c r="L284" i="7"/>
  <c r="M284" i="7"/>
  <c r="K285" i="7"/>
  <c r="L285" i="7"/>
  <c r="M285" i="7"/>
  <c r="K286" i="7"/>
  <c r="L286" i="7"/>
  <c r="M286" i="7"/>
  <c r="K287" i="7"/>
  <c r="L287" i="7"/>
  <c r="M287" i="7"/>
  <c r="K288" i="7"/>
  <c r="L288" i="7"/>
  <c r="M288" i="7"/>
  <c r="K289" i="7"/>
  <c r="L289" i="7"/>
  <c r="M289" i="7"/>
  <c r="K290" i="7"/>
  <c r="L290" i="7"/>
  <c r="M290" i="7"/>
  <c r="K291" i="7"/>
  <c r="L291" i="7"/>
  <c r="M291" i="7"/>
  <c r="K292" i="7"/>
  <c r="L292" i="7"/>
  <c r="M292" i="7"/>
  <c r="K293" i="7"/>
  <c r="L293" i="7"/>
  <c r="M293" i="7"/>
  <c r="K294" i="7"/>
  <c r="L294" i="7"/>
  <c r="M294" i="7"/>
  <c r="K295" i="7"/>
  <c r="L295" i="7"/>
  <c r="M295" i="7"/>
  <c r="K296" i="7"/>
  <c r="L296" i="7"/>
  <c r="M296" i="7"/>
  <c r="K297" i="7"/>
  <c r="L297" i="7"/>
  <c r="M297" i="7"/>
  <c r="K298" i="7"/>
  <c r="L298" i="7"/>
  <c r="M298" i="7"/>
  <c r="K299" i="7"/>
  <c r="L299" i="7"/>
  <c r="M299" i="7"/>
  <c r="K300" i="7"/>
  <c r="L300" i="7"/>
  <c r="M300" i="7"/>
  <c r="K301" i="7"/>
  <c r="L301" i="7"/>
  <c r="M301" i="7"/>
  <c r="K302" i="7"/>
  <c r="L302" i="7"/>
  <c r="M302" i="7"/>
  <c r="K303" i="7"/>
  <c r="L303" i="7"/>
  <c r="M303" i="7"/>
  <c r="K304" i="7"/>
  <c r="L304" i="7"/>
  <c r="M304" i="7"/>
  <c r="K305" i="7"/>
  <c r="L305" i="7"/>
  <c r="M305" i="7"/>
  <c r="K306" i="7"/>
  <c r="L306" i="7"/>
  <c r="M306" i="7"/>
  <c r="K307" i="7"/>
  <c r="L307" i="7"/>
  <c r="M307" i="7"/>
  <c r="K308" i="7"/>
  <c r="L308" i="7"/>
  <c r="M308" i="7"/>
  <c r="K309" i="7"/>
  <c r="L309" i="7"/>
  <c r="M309" i="7"/>
  <c r="K310" i="7"/>
  <c r="L310" i="7"/>
  <c r="M310" i="7"/>
  <c r="K311" i="7"/>
  <c r="L311" i="7"/>
  <c r="M311" i="7"/>
  <c r="K312" i="7"/>
  <c r="L312" i="7"/>
  <c r="M312" i="7"/>
  <c r="K313" i="7"/>
  <c r="L313" i="7"/>
  <c r="M313" i="7"/>
  <c r="K314" i="7"/>
  <c r="L314" i="7"/>
  <c r="M314" i="7"/>
  <c r="K315" i="7"/>
  <c r="L315" i="7"/>
  <c r="M315" i="7"/>
  <c r="K316" i="7"/>
  <c r="L316" i="7"/>
  <c r="M316" i="7"/>
  <c r="K317" i="7"/>
  <c r="L317" i="7"/>
  <c r="M317" i="7"/>
  <c r="K318" i="7"/>
  <c r="L318" i="7"/>
  <c r="M318" i="7"/>
  <c r="K319" i="7"/>
  <c r="L319" i="7"/>
  <c r="M319" i="7"/>
  <c r="K320" i="7"/>
  <c r="L320" i="7"/>
  <c r="M320" i="7"/>
  <c r="K321" i="7"/>
  <c r="L321" i="7"/>
  <c r="M321" i="7"/>
  <c r="K322" i="7"/>
  <c r="L322" i="7"/>
  <c r="M322" i="7"/>
  <c r="K323" i="7"/>
  <c r="L323" i="7"/>
  <c r="M323" i="7"/>
  <c r="K324" i="7"/>
  <c r="L324" i="7"/>
  <c r="M324" i="7"/>
  <c r="K325" i="7"/>
  <c r="L325" i="7"/>
  <c r="M325" i="7"/>
  <c r="K326" i="7"/>
  <c r="L326" i="7"/>
  <c r="M326" i="7"/>
  <c r="K327" i="7"/>
  <c r="L327" i="7"/>
  <c r="M327" i="7"/>
  <c r="K328" i="7"/>
  <c r="L328" i="7"/>
  <c r="M328" i="7"/>
  <c r="K329" i="7"/>
  <c r="L329" i="7"/>
  <c r="M329" i="7"/>
  <c r="K330" i="7"/>
  <c r="L330" i="7"/>
  <c r="M330" i="7"/>
  <c r="K331" i="7"/>
  <c r="L331" i="7"/>
  <c r="M331" i="7"/>
  <c r="K332" i="7"/>
  <c r="L332" i="7"/>
  <c r="M332" i="7"/>
  <c r="K333" i="7"/>
  <c r="L333" i="7"/>
  <c r="M333" i="7"/>
  <c r="K334" i="7"/>
  <c r="L334" i="7"/>
  <c r="M334" i="7"/>
  <c r="K335" i="7"/>
  <c r="L335" i="7"/>
  <c r="M335" i="7"/>
  <c r="K336" i="7"/>
  <c r="L336" i="7"/>
  <c r="M336" i="7"/>
  <c r="K337" i="7"/>
  <c r="L337" i="7"/>
  <c r="M337" i="7"/>
  <c r="K338" i="7"/>
  <c r="L338" i="7"/>
  <c r="M338" i="7"/>
  <c r="K339" i="7"/>
  <c r="L339" i="7"/>
  <c r="M339" i="7"/>
  <c r="K340" i="7"/>
  <c r="L340" i="7"/>
  <c r="M340" i="7"/>
  <c r="K341" i="7"/>
  <c r="L341" i="7"/>
  <c r="M341" i="7"/>
  <c r="K342" i="7"/>
  <c r="L342" i="7"/>
  <c r="M342" i="7"/>
  <c r="K343" i="7"/>
  <c r="L343" i="7"/>
  <c r="M343" i="7"/>
  <c r="K344" i="7"/>
  <c r="L344" i="7"/>
  <c r="M344" i="7"/>
  <c r="K345" i="7"/>
  <c r="L345" i="7"/>
  <c r="M345" i="7"/>
  <c r="K346" i="7"/>
  <c r="L346" i="7"/>
  <c r="M346" i="7"/>
  <c r="K347" i="7"/>
  <c r="L347" i="7"/>
  <c r="M347" i="7"/>
  <c r="K348" i="7"/>
  <c r="L348" i="7"/>
  <c r="M348" i="7"/>
  <c r="K349" i="7"/>
  <c r="L349" i="7"/>
  <c r="M349" i="7"/>
  <c r="K350" i="7"/>
  <c r="L350" i="7"/>
  <c r="M350" i="7"/>
  <c r="K351" i="7"/>
  <c r="L351" i="7"/>
  <c r="M351" i="7"/>
  <c r="K352" i="7"/>
  <c r="L352" i="7"/>
  <c r="M352" i="7"/>
  <c r="K353" i="7"/>
  <c r="L353" i="7"/>
  <c r="M353" i="7"/>
  <c r="K354" i="7"/>
  <c r="L354" i="7"/>
  <c r="M354" i="7"/>
  <c r="K355" i="7"/>
  <c r="L355" i="7"/>
  <c r="M355" i="7"/>
  <c r="K356" i="7"/>
  <c r="L356" i="7"/>
  <c r="M356" i="7"/>
  <c r="K357" i="7"/>
  <c r="L357" i="7"/>
  <c r="M357" i="7"/>
  <c r="K358" i="7"/>
  <c r="L358" i="7"/>
  <c r="M358" i="7"/>
  <c r="K359" i="7"/>
  <c r="L359" i="7"/>
  <c r="M359" i="7"/>
  <c r="K360" i="7"/>
  <c r="L360" i="7"/>
  <c r="M360" i="7"/>
  <c r="K361" i="7"/>
  <c r="L361" i="7"/>
  <c r="M361" i="7"/>
  <c r="K362" i="7"/>
  <c r="L362" i="7"/>
  <c r="M362" i="7"/>
  <c r="K363" i="7"/>
  <c r="L363" i="7"/>
  <c r="M363" i="7"/>
  <c r="K364" i="7"/>
  <c r="L364" i="7"/>
  <c r="M364" i="7"/>
  <c r="K365" i="7"/>
  <c r="L365" i="7"/>
  <c r="M365" i="7"/>
  <c r="K366" i="7"/>
  <c r="L366" i="7"/>
  <c r="M366" i="7"/>
  <c r="K367" i="7"/>
  <c r="L367" i="7"/>
  <c r="M367" i="7"/>
  <c r="K368" i="7"/>
  <c r="L368" i="7"/>
  <c r="M368" i="7"/>
  <c r="K369" i="7"/>
  <c r="L369" i="7"/>
  <c r="M369" i="7"/>
  <c r="K370" i="7"/>
  <c r="L370" i="7"/>
  <c r="M370" i="7"/>
  <c r="K371" i="7"/>
  <c r="L371" i="7"/>
  <c r="M371" i="7"/>
  <c r="K372" i="7"/>
  <c r="L372" i="7"/>
  <c r="M372" i="7"/>
  <c r="K373" i="7"/>
  <c r="L373" i="7"/>
  <c r="M373" i="7"/>
  <c r="K374" i="7"/>
  <c r="L374" i="7"/>
  <c r="M374" i="7"/>
  <c r="K375" i="7"/>
  <c r="L375" i="7"/>
  <c r="M375" i="7"/>
  <c r="K376" i="7"/>
  <c r="L376" i="7"/>
  <c r="M376" i="7"/>
  <c r="K377" i="7"/>
  <c r="L377" i="7"/>
  <c r="M377" i="7"/>
  <c r="K378" i="7"/>
  <c r="L378" i="7"/>
  <c r="M378" i="7"/>
  <c r="K379" i="7"/>
  <c r="L379" i="7"/>
  <c r="M379" i="7"/>
  <c r="K380" i="7"/>
  <c r="L380" i="7"/>
  <c r="M380" i="7"/>
  <c r="K381" i="7"/>
  <c r="L381" i="7"/>
  <c r="M381" i="7"/>
  <c r="K382" i="7"/>
  <c r="L382" i="7"/>
  <c r="M382" i="7"/>
  <c r="K383" i="7"/>
  <c r="L383" i="7"/>
  <c r="M383" i="7"/>
  <c r="K384" i="7"/>
  <c r="L384" i="7"/>
  <c r="M384" i="7"/>
  <c r="K385" i="7"/>
  <c r="L385" i="7"/>
  <c r="M385" i="7"/>
  <c r="K386" i="7"/>
  <c r="L386" i="7"/>
  <c r="M386" i="7"/>
  <c r="K387" i="7"/>
  <c r="L387" i="7"/>
  <c r="M387" i="7"/>
  <c r="K388" i="7"/>
  <c r="L388" i="7"/>
  <c r="M388" i="7"/>
  <c r="K389" i="7"/>
  <c r="L389" i="7"/>
  <c r="M389" i="7"/>
  <c r="K390" i="7"/>
  <c r="L390" i="7"/>
  <c r="M390" i="7"/>
  <c r="K391" i="7"/>
  <c r="L391" i="7"/>
  <c r="M391" i="7"/>
  <c r="K392" i="7"/>
  <c r="L392" i="7"/>
  <c r="M392" i="7"/>
  <c r="K393" i="7"/>
  <c r="L393" i="7"/>
  <c r="M393" i="7"/>
  <c r="K394" i="7"/>
  <c r="L394" i="7"/>
  <c r="M394" i="7"/>
  <c r="K395" i="7"/>
  <c r="L395" i="7"/>
  <c r="M395" i="7"/>
  <c r="K396" i="7"/>
  <c r="L396" i="7"/>
  <c r="M396" i="7"/>
  <c r="K397" i="7"/>
  <c r="L397" i="7"/>
  <c r="M397" i="7"/>
  <c r="K398" i="7"/>
  <c r="L398" i="7"/>
  <c r="M398" i="7"/>
  <c r="K399" i="7"/>
  <c r="L399" i="7"/>
  <c r="M399" i="7"/>
  <c r="K400" i="7"/>
  <c r="L400" i="7"/>
  <c r="M400" i="7"/>
  <c r="K401" i="7"/>
  <c r="L401" i="7"/>
  <c r="M401" i="7"/>
  <c r="K402" i="7"/>
  <c r="L402" i="7"/>
  <c r="M402" i="7"/>
  <c r="K403" i="7"/>
  <c r="L403" i="7"/>
  <c r="M403" i="7"/>
  <c r="K404" i="7"/>
  <c r="L404" i="7"/>
  <c r="M404" i="7"/>
  <c r="K405" i="7"/>
  <c r="L405" i="7"/>
  <c r="M405" i="7"/>
  <c r="K406" i="7"/>
  <c r="L406" i="7"/>
  <c r="M406" i="7"/>
  <c r="K407" i="7"/>
  <c r="L407" i="7"/>
  <c r="M407" i="7"/>
  <c r="K408" i="7"/>
  <c r="L408" i="7"/>
  <c r="M408" i="7"/>
  <c r="K409" i="7"/>
  <c r="L409" i="7"/>
  <c r="M409" i="7"/>
  <c r="K410" i="7"/>
  <c r="L410" i="7"/>
  <c r="M410" i="7"/>
  <c r="K411" i="7"/>
  <c r="L411" i="7"/>
  <c r="M411" i="7"/>
  <c r="K412" i="7"/>
  <c r="L412" i="7"/>
  <c r="M412" i="7"/>
  <c r="K413" i="7"/>
  <c r="L413" i="7"/>
  <c r="M413" i="7"/>
  <c r="K414" i="7"/>
  <c r="L414" i="7"/>
  <c r="M414" i="7"/>
  <c r="K415" i="7"/>
  <c r="L415" i="7"/>
  <c r="M415" i="7"/>
  <c r="K416" i="7"/>
  <c r="L416" i="7"/>
  <c r="M416" i="7"/>
  <c r="K417" i="7"/>
  <c r="L417" i="7"/>
  <c r="M417" i="7"/>
  <c r="K418" i="7"/>
  <c r="L418" i="7"/>
  <c r="M418" i="7"/>
  <c r="K419" i="7"/>
  <c r="L419" i="7"/>
  <c r="M419" i="7"/>
  <c r="K420" i="7"/>
  <c r="L420" i="7"/>
  <c r="M420" i="7"/>
  <c r="K421" i="7"/>
  <c r="L421" i="7"/>
  <c r="M421" i="7"/>
  <c r="K422" i="7"/>
  <c r="L422" i="7"/>
  <c r="M422" i="7"/>
  <c r="K423" i="7"/>
  <c r="L423" i="7"/>
  <c r="M423" i="7"/>
  <c r="K424" i="7"/>
  <c r="L424" i="7"/>
  <c r="M424" i="7"/>
  <c r="K425" i="7"/>
  <c r="L425" i="7"/>
  <c r="M425" i="7"/>
  <c r="K426" i="7"/>
  <c r="L426" i="7"/>
  <c r="M426" i="7"/>
  <c r="K427" i="7"/>
  <c r="L427" i="7"/>
  <c r="M427" i="7"/>
  <c r="K428" i="7"/>
  <c r="L428" i="7"/>
  <c r="M428" i="7"/>
  <c r="K429" i="7"/>
  <c r="L429" i="7"/>
  <c r="M429" i="7"/>
  <c r="K430" i="7"/>
  <c r="L430" i="7"/>
  <c r="M430" i="7"/>
  <c r="K431" i="7"/>
  <c r="L431" i="7"/>
  <c r="M431" i="7"/>
  <c r="K432" i="7"/>
  <c r="L432" i="7"/>
  <c r="M432" i="7"/>
  <c r="K433" i="7"/>
  <c r="L433" i="7"/>
  <c r="M433" i="7"/>
  <c r="K434" i="7"/>
  <c r="L434" i="7"/>
  <c r="M434" i="7"/>
  <c r="K435" i="7"/>
  <c r="L435" i="7"/>
  <c r="M435" i="7"/>
  <c r="K436" i="7"/>
  <c r="L436" i="7"/>
  <c r="M436" i="7"/>
  <c r="K437" i="7"/>
  <c r="L437" i="7"/>
  <c r="M437" i="7"/>
  <c r="K438" i="7"/>
  <c r="L438" i="7"/>
  <c r="M438" i="7"/>
  <c r="K439" i="7"/>
  <c r="L439" i="7"/>
  <c r="M439" i="7"/>
  <c r="K440" i="7"/>
  <c r="L440" i="7"/>
  <c r="M440" i="7"/>
  <c r="K441" i="7"/>
  <c r="L441" i="7"/>
  <c r="M441" i="7"/>
  <c r="K442" i="7"/>
  <c r="L442" i="7"/>
  <c r="M442" i="7"/>
  <c r="K443" i="7"/>
  <c r="L443" i="7"/>
  <c r="M443" i="7"/>
  <c r="K444" i="7"/>
  <c r="L444" i="7"/>
  <c r="M444" i="7"/>
  <c r="K445" i="7"/>
  <c r="L445" i="7"/>
  <c r="M445" i="7"/>
  <c r="K446" i="7"/>
  <c r="L446" i="7"/>
  <c r="M446" i="7"/>
  <c r="K447" i="7"/>
  <c r="L447" i="7"/>
  <c r="M447" i="7"/>
  <c r="K448" i="7"/>
  <c r="L448" i="7"/>
  <c r="M448" i="7"/>
  <c r="K449" i="7"/>
  <c r="L449" i="7"/>
  <c r="M449" i="7"/>
  <c r="K450" i="7"/>
  <c r="L450" i="7"/>
  <c r="M450" i="7"/>
  <c r="K451" i="7"/>
  <c r="L451" i="7"/>
  <c r="M451" i="7"/>
  <c r="K452" i="7"/>
  <c r="L452" i="7"/>
  <c r="M452" i="7"/>
  <c r="K453" i="7"/>
  <c r="L453" i="7"/>
  <c r="M453" i="7"/>
  <c r="K454" i="7"/>
  <c r="L454" i="7"/>
  <c r="M454" i="7"/>
  <c r="K455" i="7"/>
  <c r="L455" i="7"/>
  <c r="M455" i="7"/>
  <c r="K456" i="7"/>
  <c r="L456" i="7"/>
  <c r="M456" i="7"/>
  <c r="K457" i="7"/>
  <c r="L457" i="7"/>
  <c r="M457" i="7"/>
  <c r="K458" i="7"/>
  <c r="L458" i="7"/>
  <c r="M458" i="7"/>
  <c r="K459" i="7"/>
  <c r="L459" i="7"/>
  <c r="M459" i="7"/>
  <c r="K460" i="7"/>
  <c r="L460" i="7"/>
  <c r="M460" i="7"/>
  <c r="K461" i="7"/>
  <c r="L461" i="7"/>
  <c r="M461" i="7"/>
  <c r="K462" i="7"/>
  <c r="L462" i="7"/>
  <c r="M462" i="7"/>
  <c r="K463" i="7"/>
  <c r="L463" i="7"/>
  <c r="M463" i="7"/>
  <c r="K464" i="7"/>
  <c r="L464" i="7"/>
  <c r="M464" i="7"/>
  <c r="K465" i="7"/>
  <c r="L465" i="7"/>
  <c r="M465" i="7"/>
  <c r="K466" i="7"/>
  <c r="L466" i="7"/>
  <c r="M466" i="7"/>
  <c r="K467" i="7"/>
  <c r="L467" i="7"/>
  <c r="M467" i="7"/>
  <c r="K468" i="7"/>
  <c r="L468" i="7"/>
  <c r="M468" i="7"/>
  <c r="K469" i="7"/>
  <c r="L469" i="7"/>
  <c r="M469" i="7"/>
  <c r="K470" i="7"/>
  <c r="L470" i="7"/>
  <c r="M470" i="7"/>
  <c r="K471" i="7"/>
  <c r="L471" i="7"/>
  <c r="M471" i="7"/>
  <c r="K472" i="7"/>
  <c r="L472" i="7"/>
  <c r="M472" i="7"/>
  <c r="K473" i="7"/>
  <c r="L473" i="7"/>
  <c r="M473" i="7"/>
  <c r="K474" i="7"/>
  <c r="L474" i="7"/>
  <c r="M474" i="7"/>
  <c r="K475" i="7"/>
  <c r="L475" i="7"/>
  <c r="M475" i="7"/>
  <c r="K476" i="7"/>
  <c r="L476" i="7"/>
  <c r="M476" i="7"/>
  <c r="K477" i="7"/>
  <c r="L477" i="7"/>
  <c r="M477" i="7"/>
  <c r="K478" i="7"/>
  <c r="L478" i="7"/>
  <c r="M478" i="7"/>
  <c r="K479" i="7"/>
  <c r="L479" i="7"/>
  <c r="M479" i="7"/>
  <c r="K480" i="7"/>
  <c r="L480" i="7"/>
  <c r="M480" i="7"/>
  <c r="K481" i="7"/>
  <c r="L481" i="7"/>
  <c r="M481" i="7"/>
  <c r="K482" i="7"/>
  <c r="L482" i="7"/>
  <c r="M482" i="7"/>
  <c r="K483" i="7"/>
  <c r="L483" i="7"/>
  <c r="M483" i="7"/>
  <c r="K484" i="7"/>
  <c r="L484" i="7"/>
  <c r="M484" i="7"/>
  <c r="K485" i="7"/>
  <c r="L485" i="7"/>
  <c r="M485" i="7"/>
  <c r="K486" i="7"/>
  <c r="L486" i="7"/>
  <c r="M486" i="7"/>
  <c r="K487" i="7"/>
  <c r="L487" i="7"/>
  <c r="M487" i="7"/>
  <c r="K488" i="7"/>
  <c r="L488" i="7"/>
  <c r="M488" i="7"/>
  <c r="K489" i="7"/>
  <c r="L489" i="7"/>
  <c r="M489" i="7"/>
  <c r="K490" i="7"/>
  <c r="L490" i="7"/>
  <c r="M490" i="7"/>
  <c r="K491" i="7"/>
  <c r="L491" i="7"/>
  <c r="M491" i="7"/>
  <c r="K492" i="7"/>
  <c r="L492" i="7"/>
  <c r="M492" i="7"/>
  <c r="K493" i="7"/>
  <c r="L493" i="7"/>
  <c r="M493" i="7"/>
  <c r="K494" i="7"/>
  <c r="L494" i="7"/>
  <c r="M494" i="7"/>
  <c r="K495" i="7"/>
  <c r="L495" i="7"/>
  <c r="M495" i="7"/>
  <c r="K496" i="7"/>
  <c r="L496" i="7"/>
  <c r="M496" i="7"/>
  <c r="K497" i="7"/>
  <c r="L497" i="7"/>
  <c r="M497" i="7"/>
  <c r="K498" i="7"/>
  <c r="L498" i="7"/>
  <c r="M498" i="7"/>
  <c r="K499" i="7"/>
  <c r="L499" i="7"/>
  <c r="M499" i="7"/>
  <c r="K500" i="7"/>
  <c r="L500" i="7"/>
  <c r="M500" i="7"/>
  <c r="K501" i="7"/>
  <c r="L501" i="7"/>
  <c r="M501" i="7"/>
  <c r="K502" i="7"/>
  <c r="L502" i="7"/>
  <c r="M502" i="7"/>
  <c r="K503" i="7"/>
  <c r="L503" i="7"/>
  <c r="M503" i="7"/>
  <c r="K504" i="7"/>
  <c r="L504" i="7"/>
  <c r="M504" i="7"/>
  <c r="K505" i="7"/>
  <c r="L505" i="7"/>
  <c r="M505" i="7"/>
  <c r="K506" i="7"/>
  <c r="L506" i="7"/>
  <c r="M506" i="7"/>
  <c r="K507" i="7"/>
  <c r="L507" i="7"/>
  <c r="M507" i="7"/>
  <c r="K508" i="7"/>
  <c r="L508" i="7"/>
  <c r="M508" i="7"/>
  <c r="K509" i="7"/>
  <c r="L509" i="7"/>
  <c r="M509" i="7"/>
  <c r="K510" i="7"/>
  <c r="L510" i="7"/>
  <c r="M510" i="7"/>
  <c r="K511" i="7"/>
  <c r="L511" i="7"/>
  <c r="M511" i="7"/>
  <c r="K512" i="7"/>
  <c r="L512" i="7"/>
  <c r="M512" i="7"/>
  <c r="K513" i="7"/>
  <c r="L513" i="7"/>
  <c r="M513" i="7"/>
  <c r="K514" i="7"/>
  <c r="L514" i="7"/>
  <c r="M514" i="7"/>
  <c r="K515" i="7"/>
  <c r="L515" i="7"/>
  <c r="M515" i="7"/>
  <c r="K516" i="7"/>
  <c r="L516" i="7"/>
  <c r="M516" i="7"/>
  <c r="K517" i="7"/>
  <c r="L517" i="7"/>
  <c r="M517" i="7"/>
  <c r="K518" i="7"/>
  <c r="L518" i="7"/>
  <c r="M518" i="7"/>
  <c r="K519" i="7"/>
  <c r="L519" i="7"/>
  <c r="M519" i="7"/>
  <c r="K520" i="7"/>
  <c r="L520" i="7"/>
  <c r="M520" i="7"/>
  <c r="K521" i="7"/>
  <c r="L521" i="7"/>
  <c r="M521" i="7"/>
  <c r="K522" i="7"/>
  <c r="L522" i="7"/>
  <c r="M522" i="7"/>
  <c r="K523" i="7"/>
  <c r="L523" i="7"/>
  <c r="M523" i="7"/>
  <c r="K524" i="7"/>
  <c r="L524" i="7"/>
  <c r="M524" i="7"/>
  <c r="K525" i="7"/>
  <c r="L525" i="7"/>
  <c r="M525" i="7"/>
  <c r="K526" i="7"/>
  <c r="L526" i="7"/>
  <c r="M526" i="7"/>
  <c r="K527" i="7"/>
  <c r="L527" i="7"/>
  <c r="M527" i="7"/>
  <c r="K528" i="7"/>
  <c r="L528" i="7"/>
  <c r="M528" i="7"/>
  <c r="K529" i="7"/>
  <c r="L529" i="7"/>
  <c r="M529" i="7"/>
  <c r="K530" i="7"/>
  <c r="L530" i="7"/>
  <c r="M530" i="7"/>
  <c r="K531" i="7"/>
  <c r="L531" i="7"/>
  <c r="M531" i="7"/>
  <c r="K532" i="7"/>
  <c r="L532" i="7"/>
  <c r="M532" i="7"/>
  <c r="K533" i="7"/>
  <c r="L533" i="7"/>
  <c r="M533" i="7"/>
  <c r="K534" i="7"/>
  <c r="L534" i="7"/>
  <c r="M534" i="7"/>
  <c r="K535" i="7"/>
  <c r="L535" i="7"/>
  <c r="M535" i="7"/>
  <c r="K536" i="7"/>
  <c r="L536" i="7"/>
  <c r="M536" i="7"/>
  <c r="K537" i="7"/>
  <c r="L537" i="7"/>
  <c r="M537" i="7"/>
  <c r="K538" i="7"/>
  <c r="L538" i="7"/>
  <c r="M538" i="7"/>
  <c r="K539" i="7"/>
  <c r="L539" i="7"/>
  <c r="M539" i="7"/>
  <c r="K540" i="7"/>
  <c r="L540" i="7"/>
  <c r="M540" i="7"/>
  <c r="K541" i="7"/>
  <c r="L541" i="7"/>
  <c r="M541" i="7"/>
  <c r="K542" i="7"/>
  <c r="L542" i="7"/>
  <c r="M542" i="7"/>
  <c r="K543" i="7"/>
  <c r="L543" i="7"/>
  <c r="M543" i="7"/>
  <c r="K544" i="7"/>
  <c r="L544" i="7"/>
  <c r="M544" i="7"/>
  <c r="K545" i="7"/>
  <c r="L545" i="7"/>
  <c r="M545" i="7"/>
  <c r="K546" i="7"/>
  <c r="L546" i="7"/>
  <c r="M546" i="7"/>
  <c r="K547" i="7"/>
  <c r="L547" i="7"/>
  <c r="M547" i="7"/>
  <c r="K548" i="7"/>
  <c r="L548" i="7"/>
  <c r="M548" i="7"/>
  <c r="K549" i="7"/>
  <c r="L549" i="7"/>
  <c r="M549" i="7"/>
  <c r="K550" i="7"/>
  <c r="L550" i="7"/>
  <c r="M550" i="7"/>
  <c r="K551" i="7"/>
  <c r="L551" i="7"/>
  <c r="M551" i="7"/>
  <c r="K552" i="7"/>
  <c r="L552" i="7"/>
  <c r="M552" i="7"/>
  <c r="K553" i="7"/>
  <c r="L553" i="7"/>
  <c r="M553" i="7"/>
  <c r="K554" i="7"/>
  <c r="L554" i="7"/>
  <c r="M554" i="7"/>
  <c r="K555" i="7"/>
  <c r="L555" i="7"/>
  <c r="M555" i="7"/>
  <c r="K556" i="7"/>
  <c r="L556" i="7"/>
  <c r="M556" i="7"/>
  <c r="K557" i="7"/>
  <c r="L557" i="7"/>
  <c r="M557" i="7"/>
  <c r="K558" i="7"/>
  <c r="L558" i="7"/>
  <c r="M558" i="7"/>
  <c r="K559" i="7"/>
  <c r="L559" i="7"/>
  <c r="M559" i="7"/>
  <c r="K560" i="7"/>
  <c r="L560" i="7"/>
  <c r="M560" i="7"/>
  <c r="K561" i="7"/>
  <c r="L561" i="7"/>
  <c r="M561" i="7"/>
  <c r="K562" i="7"/>
  <c r="L562" i="7"/>
  <c r="M562" i="7"/>
  <c r="K563" i="7"/>
  <c r="L563" i="7"/>
  <c r="M563" i="7"/>
  <c r="K564" i="7"/>
  <c r="L564" i="7"/>
  <c r="M564" i="7"/>
  <c r="K565" i="7"/>
  <c r="L565" i="7"/>
  <c r="M565" i="7"/>
  <c r="K566" i="7"/>
  <c r="L566" i="7"/>
  <c r="M566" i="7"/>
  <c r="K567" i="7"/>
  <c r="L567" i="7"/>
  <c r="M567" i="7"/>
  <c r="K568" i="7"/>
  <c r="L568" i="7"/>
  <c r="M568" i="7"/>
  <c r="K569" i="7"/>
  <c r="L569" i="7"/>
  <c r="M569" i="7"/>
  <c r="K570" i="7"/>
  <c r="L570" i="7"/>
  <c r="M570" i="7"/>
  <c r="K571" i="7"/>
  <c r="L571" i="7"/>
  <c r="M571" i="7"/>
  <c r="K572" i="7"/>
  <c r="L572" i="7"/>
  <c r="M572" i="7"/>
  <c r="K573" i="7"/>
  <c r="L573" i="7"/>
  <c r="M573" i="7"/>
  <c r="K574" i="7"/>
  <c r="L574" i="7"/>
  <c r="M574" i="7"/>
  <c r="K575" i="7"/>
  <c r="L575" i="7"/>
  <c r="M575" i="7"/>
  <c r="K576" i="7"/>
  <c r="L576" i="7"/>
  <c r="M576" i="7"/>
  <c r="K577" i="7"/>
  <c r="L577" i="7"/>
  <c r="M577" i="7"/>
  <c r="K578" i="7"/>
  <c r="L578" i="7"/>
  <c r="M578" i="7"/>
  <c r="K579" i="7"/>
  <c r="L579" i="7"/>
  <c r="M579" i="7"/>
  <c r="K580" i="7"/>
  <c r="L580" i="7"/>
  <c r="M580" i="7"/>
  <c r="K581" i="7"/>
  <c r="L581" i="7"/>
  <c r="M581" i="7"/>
  <c r="K582" i="7"/>
  <c r="L582" i="7"/>
  <c r="M582" i="7"/>
  <c r="K583" i="7"/>
  <c r="L583" i="7"/>
  <c r="M583" i="7"/>
  <c r="K584" i="7"/>
  <c r="L584" i="7"/>
  <c r="M584" i="7"/>
  <c r="K585" i="7"/>
  <c r="L585" i="7"/>
  <c r="M585" i="7"/>
  <c r="K586" i="7"/>
  <c r="L586" i="7"/>
  <c r="M586" i="7"/>
  <c r="K587" i="7"/>
  <c r="L587" i="7"/>
  <c r="M587" i="7"/>
  <c r="K588" i="7"/>
  <c r="L588" i="7"/>
  <c r="M588" i="7"/>
  <c r="K589" i="7"/>
  <c r="L589" i="7"/>
  <c r="M589" i="7"/>
  <c r="K590" i="7"/>
  <c r="L590" i="7"/>
  <c r="M590" i="7"/>
  <c r="K591" i="7"/>
  <c r="L591" i="7"/>
  <c r="M591" i="7"/>
  <c r="K592" i="7"/>
  <c r="L592" i="7"/>
  <c r="M592" i="7"/>
  <c r="K593" i="7"/>
  <c r="L593" i="7"/>
  <c r="M593" i="7"/>
  <c r="K594" i="7"/>
  <c r="L594" i="7"/>
  <c r="M594" i="7"/>
  <c r="K595" i="7"/>
  <c r="L595" i="7"/>
  <c r="M595" i="7"/>
  <c r="K596" i="7"/>
  <c r="L596" i="7"/>
  <c r="M596" i="7"/>
  <c r="K597" i="7"/>
  <c r="L597" i="7"/>
  <c r="M597" i="7"/>
  <c r="K598" i="7"/>
  <c r="L598" i="7"/>
  <c r="M598" i="7"/>
  <c r="K599" i="7"/>
  <c r="L599" i="7"/>
  <c r="M599" i="7"/>
  <c r="K600" i="7"/>
  <c r="L600" i="7"/>
  <c r="M600" i="7"/>
  <c r="K601" i="7"/>
  <c r="L601" i="7"/>
  <c r="M601" i="7"/>
  <c r="K602" i="7"/>
  <c r="L602" i="7"/>
  <c r="M602" i="7"/>
  <c r="K603" i="7"/>
  <c r="L603" i="7"/>
  <c r="M603" i="7"/>
  <c r="K604" i="7"/>
  <c r="L604" i="7"/>
  <c r="M604" i="7"/>
  <c r="K605" i="7"/>
  <c r="L605" i="7"/>
  <c r="M605" i="7"/>
  <c r="K606" i="7"/>
  <c r="L606" i="7"/>
  <c r="M606" i="7"/>
  <c r="K607" i="7"/>
  <c r="L607" i="7"/>
  <c r="M607" i="7"/>
  <c r="K608" i="7"/>
  <c r="L608" i="7"/>
  <c r="M608" i="7"/>
  <c r="K609" i="7"/>
  <c r="L609" i="7"/>
  <c r="M609" i="7"/>
  <c r="K610" i="7"/>
  <c r="L610" i="7"/>
  <c r="M610" i="7"/>
  <c r="K611" i="7"/>
  <c r="L611" i="7"/>
  <c r="M611" i="7"/>
  <c r="K612" i="7"/>
  <c r="L612" i="7"/>
  <c r="M612" i="7"/>
  <c r="K613" i="7"/>
  <c r="L613" i="7"/>
  <c r="M613" i="7"/>
  <c r="K614" i="7"/>
  <c r="L614" i="7"/>
  <c r="M614" i="7"/>
  <c r="K615" i="7"/>
  <c r="L615" i="7"/>
  <c r="M615" i="7"/>
  <c r="K616" i="7"/>
  <c r="L616" i="7"/>
  <c r="M616" i="7"/>
  <c r="K617" i="7"/>
  <c r="L617" i="7"/>
  <c r="M617" i="7"/>
  <c r="K618" i="7"/>
  <c r="L618" i="7"/>
  <c r="M618" i="7"/>
  <c r="K619" i="7"/>
  <c r="L619" i="7"/>
  <c r="M619" i="7"/>
  <c r="K620" i="7"/>
  <c r="L620" i="7"/>
  <c r="M620" i="7"/>
  <c r="K621" i="7"/>
  <c r="L621" i="7"/>
  <c r="M621" i="7"/>
  <c r="K622" i="7"/>
  <c r="L622" i="7"/>
  <c r="M622" i="7"/>
  <c r="K623" i="7"/>
  <c r="L623" i="7"/>
  <c r="M623" i="7"/>
  <c r="K624" i="7"/>
  <c r="L624" i="7"/>
  <c r="M624" i="7"/>
  <c r="K625" i="7"/>
  <c r="L625" i="7"/>
  <c r="M625" i="7"/>
  <c r="K626" i="7"/>
  <c r="L626" i="7"/>
  <c r="M626" i="7"/>
  <c r="K627" i="7"/>
  <c r="L627" i="7"/>
  <c r="M627" i="7"/>
  <c r="K628" i="7"/>
  <c r="L628" i="7"/>
  <c r="M628" i="7"/>
  <c r="K629" i="7"/>
  <c r="L629" i="7"/>
  <c r="M629" i="7"/>
  <c r="K630" i="7"/>
  <c r="L630" i="7"/>
  <c r="M630" i="7"/>
  <c r="K631" i="7"/>
  <c r="L631" i="7"/>
  <c r="M631" i="7"/>
  <c r="K632" i="7"/>
  <c r="L632" i="7"/>
  <c r="M632" i="7"/>
  <c r="K633" i="7"/>
  <c r="L633" i="7"/>
  <c r="M633" i="7"/>
  <c r="K634" i="7"/>
  <c r="L634" i="7"/>
  <c r="M634" i="7"/>
  <c r="K635" i="7"/>
  <c r="L635" i="7"/>
  <c r="M635" i="7"/>
  <c r="K636" i="7"/>
  <c r="L636" i="7"/>
  <c r="M636" i="7"/>
  <c r="K637" i="7"/>
  <c r="L637" i="7"/>
  <c r="M637" i="7"/>
  <c r="K638" i="7"/>
  <c r="L638" i="7"/>
  <c r="M638" i="7"/>
  <c r="K639" i="7"/>
  <c r="L639" i="7"/>
  <c r="M639" i="7"/>
  <c r="K640" i="7"/>
  <c r="L640" i="7"/>
  <c r="M640" i="7"/>
  <c r="K641" i="7"/>
  <c r="L641" i="7"/>
  <c r="M641" i="7"/>
  <c r="K642" i="7"/>
  <c r="L642" i="7"/>
  <c r="M642" i="7"/>
  <c r="K643" i="7"/>
  <c r="L643" i="7"/>
  <c r="M643" i="7"/>
  <c r="K644" i="7"/>
  <c r="L644" i="7"/>
  <c r="M644" i="7"/>
  <c r="K645" i="7"/>
  <c r="L645" i="7"/>
  <c r="M645" i="7"/>
  <c r="K646" i="7"/>
  <c r="L646" i="7"/>
  <c r="M646" i="7"/>
  <c r="K647" i="7"/>
  <c r="L647" i="7"/>
  <c r="M647" i="7"/>
  <c r="K648" i="7"/>
  <c r="L648" i="7"/>
  <c r="M648" i="7"/>
  <c r="K649" i="7"/>
  <c r="L649" i="7"/>
  <c r="M649" i="7"/>
  <c r="K650" i="7"/>
  <c r="L650" i="7"/>
  <c r="M650" i="7"/>
  <c r="K651" i="7"/>
  <c r="L651" i="7"/>
  <c r="M651" i="7"/>
  <c r="K652" i="7"/>
  <c r="L652" i="7"/>
  <c r="M652" i="7"/>
  <c r="K653" i="7"/>
  <c r="L653" i="7"/>
  <c r="M653" i="7"/>
  <c r="K654" i="7"/>
  <c r="L654" i="7"/>
  <c r="M654" i="7"/>
  <c r="K655" i="7"/>
  <c r="L655" i="7"/>
  <c r="M655" i="7"/>
  <c r="K656" i="7"/>
  <c r="L656" i="7"/>
  <c r="M656" i="7"/>
  <c r="K657" i="7"/>
  <c r="L657" i="7"/>
  <c r="M657" i="7"/>
  <c r="K658" i="7"/>
  <c r="L658" i="7"/>
  <c r="M658" i="7"/>
  <c r="K659" i="7"/>
  <c r="L659" i="7"/>
  <c r="M659" i="7"/>
  <c r="K660" i="7"/>
  <c r="L660" i="7"/>
  <c r="M660" i="7"/>
  <c r="K661" i="7"/>
  <c r="L661" i="7"/>
  <c r="M661" i="7"/>
  <c r="K662" i="7"/>
  <c r="L662" i="7"/>
  <c r="M662" i="7"/>
  <c r="K663" i="7"/>
  <c r="L663" i="7"/>
  <c r="M663" i="7"/>
  <c r="K664" i="7"/>
  <c r="L664" i="7"/>
  <c r="M664" i="7"/>
  <c r="K665" i="7"/>
  <c r="L665" i="7"/>
  <c r="M665" i="7"/>
  <c r="K666" i="7"/>
  <c r="L666" i="7"/>
  <c r="M666" i="7"/>
  <c r="K667" i="7"/>
  <c r="L667" i="7"/>
  <c r="M667" i="7"/>
  <c r="K668" i="7"/>
  <c r="L668" i="7"/>
  <c r="M668" i="7"/>
  <c r="K669" i="7"/>
  <c r="L669" i="7"/>
  <c r="M669" i="7"/>
  <c r="K670" i="7"/>
  <c r="L670" i="7"/>
  <c r="M670" i="7"/>
  <c r="K671" i="7"/>
  <c r="L671" i="7"/>
  <c r="M671" i="7"/>
  <c r="K672" i="7"/>
  <c r="L672" i="7"/>
  <c r="M672" i="7"/>
  <c r="K673" i="7"/>
  <c r="L673" i="7"/>
  <c r="M673" i="7"/>
  <c r="K674" i="7"/>
  <c r="L674" i="7"/>
  <c r="M674" i="7"/>
  <c r="K675" i="7"/>
  <c r="L675" i="7"/>
  <c r="M675" i="7"/>
  <c r="K676" i="7"/>
  <c r="L676" i="7"/>
  <c r="M676" i="7"/>
  <c r="K677" i="7"/>
  <c r="L677" i="7"/>
  <c r="M677" i="7"/>
  <c r="K678" i="7"/>
  <c r="L678" i="7"/>
  <c r="M678" i="7"/>
  <c r="K679" i="7"/>
  <c r="L679" i="7"/>
  <c r="M679" i="7"/>
  <c r="K680" i="7"/>
  <c r="L680" i="7"/>
  <c r="M680" i="7"/>
  <c r="K681" i="7"/>
  <c r="L681" i="7"/>
  <c r="M681" i="7"/>
  <c r="K682" i="7"/>
  <c r="L682" i="7"/>
  <c r="M682" i="7"/>
  <c r="K683" i="7"/>
  <c r="L683" i="7"/>
  <c r="M683" i="7"/>
  <c r="K684" i="7"/>
  <c r="L684" i="7"/>
  <c r="M684" i="7"/>
  <c r="K685" i="7"/>
  <c r="L685" i="7"/>
  <c r="M685" i="7"/>
  <c r="K686" i="7"/>
  <c r="L686" i="7"/>
  <c r="M686" i="7"/>
  <c r="K687" i="7"/>
  <c r="L687" i="7"/>
  <c r="M687" i="7"/>
  <c r="K688" i="7"/>
  <c r="L688" i="7"/>
  <c r="M688" i="7"/>
  <c r="K689" i="7"/>
  <c r="L689" i="7"/>
  <c r="M689" i="7"/>
  <c r="K690" i="7"/>
  <c r="L690" i="7"/>
  <c r="M690" i="7"/>
  <c r="K691" i="7"/>
  <c r="L691" i="7"/>
  <c r="M691" i="7"/>
  <c r="K692" i="7"/>
  <c r="L692" i="7"/>
  <c r="M692" i="7"/>
  <c r="K693" i="7"/>
  <c r="L693" i="7"/>
  <c r="M693" i="7"/>
  <c r="K694" i="7"/>
  <c r="L694" i="7"/>
  <c r="M694" i="7"/>
  <c r="K695" i="7"/>
  <c r="L695" i="7"/>
  <c r="M695" i="7"/>
  <c r="K696" i="7"/>
  <c r="L696" i="7"/>
  <c r="M696" i="7"/>
  <c r="K697" i="7"/>
  <c r="L697" i="7"/>
  <c r="M697" i="7"/>
  <c r="K698" i="7"/>
  <c r="L698" i="7"/>
  <c r="M698" i="7"/>
  <c r="K699" i="7"/>
  <c r="L699" i="7"/>
  <c r="M699" i="7"/>
  <c r="K700" i="7"/>
  <c r="L700" i="7"/>
  <c r="M700" i="7"/>
  <c r="K701" i="7"/>
  <c r="L701" i="7"/>
  <c r="M701" i="7"/>
  <c r="K702" i="7"/>
  <c r="L702" i="7"/>
  <c r="M702" i="7"/>
  <c r="K703" i="7"/>
  <c r="L703" i="7"/>
  <c r="M703" i="7"/>
  <c r="K704" i="7"/>
  <c r="L704" i="7"/>
  <c r="M704" i="7"/>
  <c r="K705" i="7"/>
  <c r="L705" i="7"/>
  <c r="M705" i="7"/>
  <c r="K706" i="7"/>
  <c r="L706" i="7"/>
  <c r="M706" i="7"/>
  <c r="K707" i="7"/>
  <c r="L707" i="7"/>
  <c r="M707" i="7"/>
  <c r="K708" i="7"/>
  <c r="L708" i="7"/>
  <c r="M708" i="7"/>
  <c r="K709" i="7"/>
  <c r="L709" i="7"/>
  <c r="M709" i="7"/>
  <c r="K710" i="7"/>
  <c r="L710" i="7"/>
  <c r="M710" i="7"/>
  <c r="K711" i="7"/>
  <c r="L711" i="7"/>
  <c r="M711" i="7"/>
  <c r="K712" i="7"/>
  <c r="L712" i="7"/>
  <c r="M712" i="7"/>
  <c r="K713" i="7"/>
  <c r="L713" i="7"/>
  <c r="M713" i="7"/>
  <c r="K714" i="7"/>
  <c r="L714" i="7"/>
  <c r="M714" i="7"/>
  <c r="K715" i="7"/>
  <c r="L715" i="7"/>
  <c r="M715" i="7"/>
  <c r="K716" i="7"/>
  <c r="L716" i="7"/>
  <c r="M716" i="7"/>
  <c r="K717" i="7"/>
  <c r="L717" i="7"/>
  <c r="M717" i="7"/>
  <c r="K718" i="7"/>
  <c r="L718" i="7"/>
  <c r="M718" i="7"/>
  <c r="K719" i="7"/>
  <c r="L719" i="7"/>
  <c r="M719" i="7"/>
  <c r="K720" i="7"/>
  <c r="L720" i="7"/>
  <c r="M720" i="7"/>
  <c r="K721" i="7"/>
  <c r="L721" i="7"/>
  <c r="M721" i="7"/>
  <c r="K722" i="7"/>
  <c r="L722" i="7"/>
  <c r="M722" i="7"/>
  <c r="K723" i="7"/>
  <c r="L723" i="7"/>
  <c r="M723" i="7"/>
  <c r="K724" i="7"/>
  <c r="L724" i="7"/>
  <c r="M724" i="7"/>
  <c r="K725" i="7"/>
  <c r="L725" i="7"/>
  <c r="M725" i="7"/>
  <c r="K726" i="7"/>
  <c r="L726" i="7"/>
  <c r="M726" i="7"/>
  <c r="K727" i="7"/>
  <c r="L727" i="7"/>
  <c r="M727" i="7"/>
  <c r="K728" i="7"/>
  <c r="L728" i="7"/>
  <c r="M728" i="7"/>
  <c r="K729" i="7"/>
  <c r="L729" i="7"/>
  <c r="M729" i="7"/>
  <c r="K730" i="7"/>
  <c r="L730" i="7"/>
  <c r="M730" i="7"/>
  <c r="K731" i="7"/>
  <c r="L731" i="7"/>
  <c r="M731" i="7"/>
  <c r="K732" i="7"/>
  <c r="L732" i="7"/>
  <c r="M732" i="7"/>
  <c r="K733" i="7"/>
  <c r="L733" i="7"/>
  <c r="M733" i="7"/>
  <c r="K734" i="7"/>
  <c r="L734" i="7"/>
  <c r="M734" i="7"/>
  <c r="K735" i="7"/>
  <c r="L735" i="7"/>
  <c r="M735" i="7"/>
  <c r="K736" i="7"/>
  <c r="L736" i="7"/>
  <c r="M736" i="7"/>
  <c r="K737" i="7"/>
  <c r="L737" i="7"/>
  <c r="M737" i="7"/>
  <c r="K738" i="7"/>
  <c r="L738" i="7"/>
  <c r="M738" i="7"/>
  <c r="K739" i="7"/>
  <c r="L739" i="7"/>
  <c r="M739" i="7"/>
  <c r="K740" i="7"/>
  <c r="L740" i="7"/>
  <c r="M740" i="7"/>
  <c r="K741" i="7"/>
  <c r="L741" i="7"/>
  <c r="M741" i="7"/>
  <c r="K742" i="7"/>
  <c r="L742" i="7"/>
  <c r="M742" i="7"/>
  <c r="K743" i="7"/>
  <c r="L743" i="7"/>
  <c r="M743" i="7"/>
  <c r="K744" i="7"/>
  <c r="L744" i="7"/>
  <c r="M744" i="7"/>
  <c r="K745" i="7"/>
  <c r="L745" i="7"/>
  <c r="M745" i="7"/>
  <c r="K746" i="7"/>
  <c r="L746" i="7"/>
  <c r="M746" i="7"/>
  <c r="K747" i="7"/>
  <c r="L747" i="7"/>
  <c r="M747" i="7"/>
  <c r="K748" i="7"/>
  <c r="L748" i="7"/>
  <c r="M748" i="7"/>
  <c r="K749" i="7"/>
  <c r="L749" i="7"/>
  <c r="M749" i="7"/>
  <c r="K750" i="7"/>
  <c r="L750" i="7"/>
  <c r="M750" i="7"/>
  <c r="K751" i="7"/>
  <c r="L751" i="7"/>
  <c r="M751" i="7"/>
  <c r="K752" i="7"/>
  <c r="L752" i="7"/>
  <c r="M752" i="7"/>
  <c r="K753" i="7"/>
  <c r="L753" i="7"/>
  <c r="M753" i="7"/>
  <c r="K754" i="7"/>
  <c r="L754" i="7"/>
  <c r="M754" i="7"/>
  <c r="K755" i="7"/>
  <c r="L755" i="7"/>
  <c r="M755" i="7"/>
  <c r="K756" i="7"/>
  <c r="L756" i="7"/>
  <c r="M756" i="7"/>
  <c r="K757" i="7"/>
  <c r="L757" i="7"/>
  <c r="M757" i="7"/>
  <c r="K758" i="7"/>
  <c r="L758" i="7"/>
  <c r="M758" i="7"/>
  <c r="K759" i="7"/>
  <c r="L759" i="7"/>
  <c r="M759" i="7"/>
  <c r="K760" i="7"/>
  <c r="L760" i="7"/>
  <c r="M760" i="7"/>
  <c r="K761" i="7"/>
  <c r="L761" i="7"/>
  <c r="M761" i="7"/>
  <c r="K762" i="7"/>
  <c r="L762" i="7"/>
  <c r="M762" i="7"/>
  <c r="K763" i="7"/>
  <c r="L763" i="7"/>
  <c r="M763" i="7"/>
  <c r="K764" i="7"/>
  <c r="L764" i="7"/>
  <c r="M764" i="7"/>
  <c r="K765" i="7"/>
  <c r="L765" i="7"/>
  <c r="M765" i="7"/>
  <c r="K766" i="7"/>
  <c r="L766" i="7"/>
  <c r="M766" i="7"/>
  <c r="K767" i="7"/>
  <c r="L767" i="7"/>
  <c r="M767" i="7"/>
  <c r="K768" i="7"/>
  <c r="L768" i="7"/>
  <c r="M768" i="7"/>
  <c r="K769" i="7"/>
  <c r="L769" i="7"/>
  <c r="M769" i="7"/>
  <c r="K770" i="7"/>
  <c r="L770" i="7"/>
  <c r="M770" i="7"/>
  <c r="K771" i="7"/>
  <c r="L771" i="7"/>
  <c r="M771" i="7"/>
  <c r="K772" i="7"/>
  <c r="L772" i="7"/>
  <c r="M772" i="7"/>
  <c r="K773" i="7"/>
  <c r="L773" i="7"/>
  <c r="M773" i="7"/>
  <c r="K774" i="7"/>
  <c r="L774" i="7"/>
  <c r="M774" i="7"/>
  <c r="K775" i="7"/>
  <c r="L775" i="7"/>
  <c r="M775" i="7"/>
  <c r="K776" i="7"/>
  <c r="L776" i="7"/>
  <c r="M776" i="7"/>
  <c r="K777" i="7"/>
  <c r="L777" i="7"/>
  <c r="M777" i="7"/>
  <c r="K778" i="7"/>
  <c r="L778" i="7"/>
  <c r="M778" i="7"/>
  <c r="K779" i="7"/>
  <c r="L779" i="7"/>
  <c r="M779" i="7"/>
  <c r="K780" i="7"/>
  <c r="L780" i="7"/>
  <c r="M780" i="7"/>
  <c r="K781" i="7"/>
  <c r="L781" i="7"/>
  <c r="M781" i="7"/>
  <c r="K782" i="7"/>
  <c r="L782" i="7"/>
  <c r="M782" i="7"/>
  <c r="K783" i="7"/>
  <c r="L783" i="7"/>
  <c r="M783" i="7"/>
  <c r="K784" i="7"/>
  <c r="L784" i="7"/>
  <c r="M784" i="7"/>
  <c r="K785" i="7"/>
  <c r="L785" i="7"/>
  <c r="M785" i="7"/>
  <c r="K786" i="7"/>
  <c r="L786" i="7"/>
  <c r="M786" i="7"/>
  <c r="K787" i="7"/>
  <c r="L787" i="7"/>
  <c r="M787" i="7"/>
  <c r="K788" i="7"/>
  <c r="L788" i="7"/>
  <c r="M788" i="7"/>
  <c r="K789" i="7"/>
  <c r="L789" i="7"/>
  <c r="M789" i="7"/>
  <c r="K790" i="7"/>
  <c r="L790" i="7"/>
  <c r="M790" i="7"/>
  <c r="K791" i="7"/>
  <c r="L791" i="7"/>
  <c r="M791" i="7"/>
  <c r="K792" i="7"/>
  <c r="L792" i="7"/>
  <c r="M792" i="7"/>
  <c r="K793" i="7"/>
  <c r="L793" i="7"/>
  <c r="M793" i="7"/>
  <c r="K794" i="7"/>
  <c r="L794" i="7"/>
  <c r="M794" i="7"/>
  <c r="K795" i="7"/>
  <c r="L795" i="7"/>
  <c r="M795" i="7"/>
  <c r="K796" i="7"/>
  <c r="L796" i="7"/>
  <c r="M796" i="7"/>
  <c r="K797" i="7"/>
  <c r="L797" i="7"/>
  <c r="M797" i="7"/>
  <c r="K798" i="7"/>
  <c r="L798" i="7"/>
  <c r="M798" i="7"/>
  <c r="K799" i="7"/>
  <c r="L799" i="7"/>
  <c r="M799" i="7"/>
  <c r="K800" i="7"/>
  <c r="L800" i="7"/>
  <c r="M800" i="7"/>
  <c r="K801" i="7"/>
  <c r="L801" i="7"/>
  <c r="M801" i="7"/>
  <c r="K802" i="7"/>
  <c r="L802" i="7"/>
  <c r="M802" i="7"/>
  <c r="K803" i="7"/>
  <c r="L803" i="7"/>
  <c r="M803" i="7"/>
  <c r="K804" i="7"/>
  <c r="L804" i="7"/>
  <c r="M804" i="7"/>
  <c r="K805" i="7"/>
  <c r="L805" i="7"/>
  <c r="M805" i="7"/>
  <c r="K806" i="7"/>
  <c r="L806" i="7"/>
  <c r="M806" i="7"/>
  <c r="K807" i="7"/>
  <c r="L807" i="7"/>
  <c r="M807" i="7"/>
  <c r="K808" i="7"/>
  <c r="L808" i="7"/>
  <c r="M808" i="7"/>
  <c r="K809" i="7"/>
  <c r="L809" i="7"/>
  <c r="M809" i="7"/>
  <c r="K810" i="7"/>
  <c r="L810" i="7"/>
  <c r="M810" i="7"/>
  <c r="K811" i="7"/>
  <c r="L811" i="7"/>
  <c r="M811" i="7"/>
  <c r="K812" i="7"/>
  <c r="L812" i="7"/>
  <c r="M812" i="7"/>
  <c r="K813" i="7"/>
  <c r="L813" i="7"/>
  <c r="M813" i="7"/>
  <c r="K814" i="7"/>
  <c r="L814" i="7"/>
  <c r="M814" i="7"/>
  <c r="K815" i="7"/>
  <c r="L815" i="7"/>
  <c r="M815" i="7"/>
  <c r="K816" i="7"/>
  <c r="L816" i="7"/>
  <c r="M816" i="7"/>
  <c r="K817" i="7"/>
  <c r="L817" i="7"/>
  <c r="M817" i="7"/>
  <c r="K818" i="7"/>
  <c r="L818" i="7"/>
  <c r="M818" i="7"/>
  <c r="K819" i="7"/>
  <c r="L819" i="7"/>
  <c r="M819" i="7"/>
  <c r="K820" i="7"/>
  <c r="L820" i="7"/>
  <c r="M820" i="7"/>
  <c r="K821" i="7"/>
  <c r="L821" i="7"/>
  <c r="M821" i="7"/>
  <c r="K822" i="7"/>
  <c r="L822" i="7"/>
  <c r="M822" i="7"/>
  <c r="K823" i="7"/>
  <c r="L823" i="7"/>
  <c r="M823" i="7"/>
  <c r="K824" i="7"/>
  <c r="L824" i="7"/>
  <c r="M824" i="7"/>
  <c r="K825" i="7"/>
  <c r="L825" i="7"/>
  <c r="M825" i="7"/>
  <c r="K826" i="7"/>
  <c r="L826" i="7"/>
  <c r="M826" i="7"/>
  <c r="K827" i="7"/>
  <c r="L827" i="7"/>
  <c r="M827" i="7"/>
  <c r="K828" i="7"/>
  <c r="L828" i="7"/>
  <c r="M828" i="7"/>
  <c r="K829" i="7"/>
  <c r="L829" i="7"/>
  <c r="M829" i="7"/>
  <c r="K830" i="7"/>
  <c r="L830" i="7"/>
  <c r="M830" i="7"/>
  <c r="K831" i="7"/>
  <c r="L831" i="7"/>
  <c r="M831" i="7"/>
  <c r="K832" i="7"/>
  <c r="L832" i="7"/>
  <c r="M832" i="7"/>
  <c r="K833" i="7"/>
  <c r="L833" i="7"/>
  <c r="M833" i="7"/>
  <c r="K834" i="7"/>
  <c r="L834" i="7"/>
  <c r="M834" i="7"/>
  <c r="K835" i="7"/>
  <c r="L835" i="7"/>
  <c r="M835" i="7"/>
  <c r="K836" i="7"/>
  <c r="L836" i="7"/>
  <c r="M836" i="7"/>
  <c r="K837" i="7"/>
  <c r="L837" i="7"/>
  <c r="M837" i="7"/>
  <c r="K838" i="7"/>
  <c r="L838" i="7"/>
  <c r="M838" i="7"/>
  <c r="K839" i="7"/>
  <c r="L839" i="7"/>
  <c r="M839" i="7"/>
  <c r="K840" i="7"/>
  <c r="L840" i="7"/>
  <c r="M840" i="7"/>
  <c r="K841" i="7"/>
  <c r="L841" i="7"/>
  <c r="M841" i="7"/>
  <c r="K842" i="7"/>
  <c r="L842" i="7"/>
  <c r="M842" i="7"/>
  <c r="K843" i="7"/>
  <c r="L843" i="7"/>
  <c r="M843" i="7"/>
  <c r="K844" i="7"/>
  <c r="L844" i="7"/>
  <c r="M844" i="7"/>
  <c r="K845" i="7"/>
  <c r="L845" i="7"/>
  <c r="M845" i="7"/>
  <c r="K846" i="7"/>
  <c r="L846" i="7"/>
  <c r="M846" i="7"/>
  <c r="K847" i="7"/>
  <c r="L847" i="7"/>
  <c r="M847" i="7"/>
  <c r="K848" i="7"/>
  <c r="L848" i="7"/>
  <c r="M848" i="7"/>
  <c r="K849" i="7"/>
  <c r="L849" i="7"/>
  <c r="M849" i="7"/>
  <c r="K850" i="7"/>
  <c r="L850" i="7"/>
  <c r="M850" i="7"/>
  <c r="K851" i="7"/>
  <c r="L851" i="7"/>
  <c r="M851" i="7"/>
  <c r="K852" i="7"/>
  <c r="L852" i="7"/>
  <c r="M852" i="7"/>
  <c r="K853" i="7"/>
  <c r="L853" i="7"/>
  <c r="M853" i="7"/>
  <c r="K854" i="7"/>
  <c r="L854" i="7"/>
  <c r="M854" i="7"/>
  <c r="K855" i="7"/>
  <c r="L855" i="7"/>
  <c r="M855" i="7"/>
  <c r="K856" i="7"/>
  <c r="L856" i="7"/>
  <c r="M856" i="7"/>
  <c r="K857" i="7"/>
  <c r="L857" i="7"/>
  <c r="M857" i="7"/>
  <c r="K858" i="7"/>
  <c r="L858" i="7"/>
  <c r="M858" i="7"/>
  <c r="K859" i="7"/>
  <c r="L859" i="7"/>
  <c r="M859" i="7"/>
  <c r="K860" i="7"/>
  <c r="L860" i="7"/>
  <c r="M860" i="7"/>
  <c r="K861" i="7"/>
  <c r="L861" i="7"/>
  <c r="M861" i="7"/>
  <c r="K862" i="7"/>
  <c r="L862" i="7"/>
  <c r="M862" i="7"/>
  <c r="K863" i="7"/>
  <c r="L863" i="7"/>
  <c r="M863" i="7"/>
  <c r="K864" i="7"/>
  <c r="L864" i="7"/>
  <c r="M864" i="7"/>
  <c r="K865" i="7"/>
  <c r="L865" i="7"/>
  <c r="M865" i="7"/>
  <c r="K866" i="7"/>
  <c r="L866" i="7"/>
  <c r="M866" i="7"/>
  <c r="K867" i="7"/>
  <c r="L867" i="7"/>
  <c r="M867" i="7"/>
  <c r="K868" i="7"/>
  <c r="L868" i="7"/>
  <c r="M868" i="7"/>
  <c r="K869" i="7"/>
  <c r="L869" i="7"/>
  <c r="M869" i="7"/>
  <c r="K870" i="7"/>
  <c r="L870" i="7"/>
  <c r="M870" i="7"/>
  <c r="K871" i="7"/>
  <c r="L871" i="7"/>
  <c r="M871" i="7"/>
  <c r="K872" i="7"/>
  <c r="L872" i="7"/>
  <c r="M872" i="7"/>
  <c r="K873" i="7"/>
  <c r="L873" i="7"/>
  <c r="M873" i="7"/>
  <c r="K874" i="7"/>
  <c r="L874" i="7"/>
  <c r="M874" i="7"/>
  <c r="K875" i="7"/>
  <c r="L875" i="7"/>
  <c r="M875" i="7"/>
  <c r="K876" i="7"/>
  <c r="L876" i="7"/>
  <c r="M876" i="7"/>
  <c r="K877" i="7"/>
  <c r="L877" i="7"/>
  <c r="M877" i="7"/>
  <c r="K878" i="7"/>
  <c r="L878" i="7"/>
  <c r="M878" i="7"/>
  <c r="K879" i="7"/>
  <c r="L879" i="7"/>
  <c r="M879" i="7"/>
  <c r="K880" i="7"/>
  <c r="L880" i="7"/>
  <c r="M880" i="7"/>
  <c r="K881" i="7"/>
  <c r="L881" i="7"/>
  <c r="M881" i="7"/>
  <c r="K882" i="7"/>
  <c r="L882" i="7"/>
  <c r="M882" i="7"/>
  <c r="K883" i="7"/>
  <c r="L883" i="7"/>
  <c r="M883" i="7"/>
  <c r="K884" i="7"/>
  <c r="L884" i="7"/>
  <c r="M884" i="7"/>
  <c r="K885" i="7"/>
  <c r="L885" i="7"/>
  <c r="M885" i="7"/>
  <c r="K886" i="7"/>
  <c r="L886" i="7"/>
  <c r="M886" i="7"/>
  <c r="K887" i="7"/>
  <c r="L887" i="7"/>
  <c r="M887" i="7"/>
  <c r="K888" i="7"/>
  <c r="L888" i="7"/>
  <c r="M888" i="7"/>
  <c r="K889" i="7"/>
  <c r="L889" i="7"/>
  <c r="M889" i="7"/>
  <c r="K890" i="7"/>
  <c r="L890" i="7"/>
  <c r="M890" i="7"/>
  <c r="K891" i="7"/>
  <c r="L891" i="7"/>
  <c r="M891" i="7"/>
  <c r="K892" i="7"/>
  <c r="L892" i="7"/>
  <c r="M892" i="7"/>
  <c r="K893" i="7"/>
  <c r="L893" i="7"/>
  <c r="M893" i="7"/>
  <c r="K894" i="7"/>
  <c r="L894" i="7"/>
  <c r="M894" i="7"/>
  <c r="K895" i="7"/>
  <c r="L895" i="7"/>
  <c r="M895" i="7"/>
  <c r="K896" i="7"/>
  <c r="L896" i="7"/>
  <c r="M896" i="7"/>
  <c r="K897" i="7"/>
  <c r="L897" i="7"/>
  <c r="M897" i="7"/>
  <c r="K898" i="7"/>
  <c r="L898" i="7"/>
  <c r="M898" i="7"/>
  <c r="K899" i="7"/>
  <c r="L899" i="7"/>
  <c r="M899" i="7"/>
  <c r="K900" i="7"/>
  <c r="L900" i="7"/>
  <c r="M900" i="7"/>
  <c r="K901" i="7"/>
  <c r="L901" i="7"/>
  <c r="M901" i="7"/>
  <c r="K902" i="7"/>
  <c r="L902" i="7"/>
  <c r="M902" i="7"/>
  <c r="K903" i="7"/>
  <c r="L903" i="7"/>
  <c r="M903" i="7"/>
  <c r="K904" i="7"/>
  <c r="L904" i="7"/>
  <c r="M904" i="7"/>
  <c r="K905" i="7"/>
  <c r="L905" i="7"/>
  <c r="M905" i="7"/>
  <c r="K906" i="7"/>
  <c r="L906" i="7"/>
  <c r="M906" i="7"/>
  <c r="K907" i="7"/>
  <c r="L907" i="7"/>
  <c r="M907" i="7"/>
  <c r="K908" i="7"/>
  <c r="L908" i="7"/>
  <c r="M908" i="7"/>
  <c r="K909" i="7"/>
  <c r="L909" i="7"/>
  <c r="M909" i="7"/>
  <c r="K910" i="7"/>
  <c r="L910" i="7"/>
  <c r="M910" i="7"/>
  <c r="K911" i="7"/>
  <c r="L911" i="7"/>
  <c r="M911" i="7"/>
  <c r="K912" i="7"/>
  <c r="L912" i="7"/>
  <c r="M912" i="7"/>
  <c r="K913" i="7"/>
  <c r="L913" i="7"/>
  <c r="M913" i="7"/>
  <c r="K914" i="7"/>
  <c r="L914" i="7"/>
  <c r="M914" i="7"/>
  <c r="K915" i="7"/>
  <c r="L915" i="7"/>
  <c r="M915" i="7"/>
  <c r="K916" i="7"/>
  <c r="L916" i="7"/>
  <c r="M916" i="7"/>
  <c r="K917" i="7"/>
  <c r="L917" i="7"/>
  <c r="M917" i="7"/>
  <c r="K918" i="7"/>
  <c r="L918" i="7"/>
  <c r="M918" i="7"/>
  <c r="K919" i="7"/>
  <c r="L919" i="7"/>
  <c r="M919" i="7"/>
  <c r="K920" i="7"/>
  <c r="L920" i="7"/>
  <c r="M920" i="7"/>
  <c r="K921" i="7"/>
  <c r="L921" i="7"/>
  <c r="M921" i="7"/>
  <c r="K922" i="7"/>
  <c r="L922" i="7"/>
  <c r="M922" i="7"/>
  <c r="K923" i="7"/>
  <c r="L923" i="7"/>
  <c r="M923" i="7"/>
  <c r="K924" i="7"/>
  <c r="L924" i="7"/>
  <c r="M924" i="7"/>
  <c r="K925" i="7"/>
  <c r="L925" i="7"/>
  <c r="M925" i="7"/>
  <c r="K926" i="7"/>
  <c r="L926" i="7"/>
  <c r="M926" i="7"/>
  <c r="K927" i="7"/>
  <c r="L927" i="7"/>
  <c r="M927" i="7"/>
  <c r="K928" i="7"/>
  <c r="L928" i="7"/>
  <c r="M928" i="7"/>
  <c r="K929" i="7"/>
  <c r="L929" i="7"/>
  <c r="M929" i="7"/>
  <c r="K930" i="7"/>
  <c r="L930" i="7"/>
  <c r="M930" i="7"/>
  <c r="K931" i="7"/>
  <c r="L931" i="7"/>
  <c r="M931" i="7"/>
  <c r="K932" i="7"/>
  <c r="L932" i="7"/>
  <c r="M932" i="7"/>
  <c r="K933" i="7"/>
  <c r="L933" i="7"/>
  <c r="M933" i="7"/>
  <c r="K934" i="7"/>
  <c r="L934" i="7"/>
  <c r="M934" i="7"/>
  <c r="K935" i="7"/>
  <c r="L935" i="7"/>
  <c r="M935" i="7"/>
  <c r="K936" i="7"/>
  <c r="L936" i="7"/>
  <c r="M936" i="7"/>
  <c r="K937" i="7"/>
  <c r="L937" i="7"/>
  <c r="M937" i="7"/>
  <c r="K938" i="7"/>
  <c r="L938" i="7"/>
  <c r="M938" i="7"/>
  <c r="K939" i="7"/>
  <c r="L939" i="7"/>
  <c r="M939" i="7"/>
  <c r="K940" i="7"/>
  <c r="L940" i="7"/>
  <c r="M940" i="7"/>
  <c r="K941" i="7"/>
  <c r="L941" i="7"/>
  <c r="M941" i="7"/>
  <c r="K942" i="7"/>
  <c r="L942" i="7"/>
  <c r="M942" i="7"/>
  <c r="K943" i="7"/>
  <c r="L943" i="7"/>
  <c r="M943" i="7"/>
  <c r="K944" i="7"/>
  <c r="L944" i="7"/>
  <c r="M944" i="7"/>
  <c r="K945" i="7"/>
  <c r="L945" i="7"/>
  <c r="M945" i="7"/>
  <c r="K946" i="7"/>
  <c r="L946" i="7"/>
  <c r="M946" i="7"/>
  <c r="K947" i="7"/>
  <c r="L947" i="7"/>
  <c r="M947" i="7"/>
  <c r="K948" i="7"/>
  <c r="L948" i="7"/>
  <c r="M948" i="7"/>
  <c r="K949" i="7"/>
  <c r="L949" i="7"/>
  <c r="M949" i="7"/>
  <c r="K950" i="7"/>
  <c r="L950" i="7"/>
  <c r="M950" i="7"/>
  <c r="K951" i="7"/>
  <c r="L951" i="7"/>
  <c r="M951" i="7"/>
  <c r="K952" i="7"/>
  <c r="L952" i="7"/>
  <c r="M952" i="7"/>
  <c r="K953" i="7"/>
  <c r="L953" i="7"/>
  <c r="M953" i="7"/>
  <c r="K954" i="7"/>
  <c r="L954" i="7"/>
  <c r="M954" i="7"/>
  <c r="K955" i="7"/>
  <c r="L955" i="7"/>
  <c r="M955" i="7"/>
  <c r="K956" i="7"/>
  <c r="L956" i="7"/>
  <c r="M956" i="7"/>
  <c r="K957" i="7"/>
  <c r="L957" i="7"/>
  <c r="M957" i="7"/>
  <c r="K958" i="7"/>
  <c r="L958" i="7"/>
  <c r="M958" i="7"/>
  <c r="K959" i="7"/>
  <c r="L959" i="7"/>
  <c r="M959" i="7"/>
  <c r="K960" i="7"/>
  <c r="L960" i="7"/>
  <c r="M960" i="7"/>
  <c r="K961" i="7"/>
  <c r="L961" i="7"/>
  <c r="M961" i="7"/>
  <c r="K962" i="7"/>
  <c r="L962" i="7"/>
  <c r="M962" i="7"/>
  <c r="K963" i="7"/>
  <c r="L963" i="7"/>
  <c r="M963" i="7"/>
  <c r="K964" i="7"/>
  <c r="L964" i="7"/>
  <c r="M964" i="7"/>
  <c r="K965" i="7"/>
  <c r="L965" i="7"/>
  <c r="M965" i="7"/>
  <c r="K966" i="7"/>
  <c r="L966" i="7"/>
  <c r="M966" i="7"/>
  <c r="K967" i="7"/>
  <c r="L967" i="7"/>
  <c r="M967" i="7"/>
  <c r="K968" i="7"/>
  <c r="L968" i="7"/>
  <c r="M968" i="7"/>
  <c r="K969" i="7"/>
  <c r="L969" i="7"/>
  <c r="M969" i="7"/>
  <c r="K970" i="7"/>
  <c r="L970" i="7"/>
  <c r="M970" i="7"/>
  <c r="K971" i="7"/>
  <c r="L971" i="7"/>
  <c r="M971" i="7"/>
  <c r="K972" i="7"/>
  <c r="L972" i="7"/>
  <c r="M972" i="7"/>
  <c r="K973" i="7"/>
  <c r="L973" i="7"/>
  <c r="M973" i="7"/>
  <c r="K974" i="7"/>
  <c r="L974" i="7"/>
  <c r="M974" i="7"/>
  <c r="K975" i="7"/>
  <c r="L975" i="7"/>
  <c r="M975" i="7"/>
  <c r="K976" i="7"/>
  <c r="L976" i="7"/>
  <c r="M976" i="7"/>
  <c r="K977" i="7"/>
  <c r="L977" i="7"/>
  <c r="M977" i="7"/>
  <c r="K978" i="7"/>
  <c r="L978" i="7"/>
  <c r="M978" i="7"/>
  <c r="K979" i="7"/>
  <c r="L979" i="7"/>
  <c r="M979" i="7"/>
  <c r="K980" i="7"/>
  <c r="L980" i="7"/>
  <c r="M980" i="7"/>
  <c r="K981" i="7"/>
  <c r="L981" i="7"/>
  <c r="M981" i="7"/>
  <c r="K982" i="7"/>
  <c r="L982" i="7"/>
  <c r="M982" i="7"/>
  <c r="K983" i="7"/>
  <c r="L983" i="7"/>
  <c r="M983" i="7"/>
  <c r="K984" i="7"/>
  <c r="L984" i="7"/>
  <c r="M984" i="7"/>
  <c r="K985" i="7"/>
  <c r="L985" i="7"/>
  <c r="M985" i="7"/>
  <c r="K986" i="7"/>
  <c r="L986" i="7"/>
  <c r="M986" i="7"/>
  <c r="K987" i="7"/>
  <c r="L987" i="7"/>
  <c r="M987" i="7"/>
  <c r="K988" i="7"/>
  <c r="L988" i="7"/>
  <c r="M988" i="7"/>
  <c r="K989" i="7"/>
  <c r="L989" i="7"/>
  <c r="M989" i="7"/>
  <c r="K990" i="7"/>
  <c r="L990" i="7"/>
  <c r="M990" i="7"/>
  <c r="K991" i="7"/>
  <c r="L991" i="7"/>
  <c r="M991" i="7"/>
  <c r="K992" i="7"/>
  <c r="L992" i="7"/>
  <c r="M992" i="7"/>
  <c r="K993" i="7"/>
  <c r="L993" i="7"/>
  <c r="M993" i="7"/>
  <c r="K994" i="7"/>
  <c r="L994" i="7"/>
  <c r="M994" i="7"/>
  <c r="K995" i="7"/>
  <c r="L995" i="7"/>
  <c r="M995" i="7"/>
  <c r="K996" i="7"/>
  <c r="L996" i="7"/>
  <c r="M996" i="7"/>
  <c r="K997" i="7"/>
  <c r="L997" i="7"/>
  <c r="M997" i="7"/>
  <c r="K998" i="7"/>
  <c r="L998" i="7"/>
  <c r="M998" i="7"/>
  <c r="K999" i="7"/>
  <c r="L999" i="7"/>
  <c r="M999" i="7"/>
  <c r="K1000" i="7"/>
  <c r="L1000" i="7"/>
  <c r="M1000" i="7"/>
  <c r="K1001" i="7"/>
  <c r="L1001" i="7"/>
  <c r="M1001" i="7"/>
  <c r="K1002" i="7"/>
  <c r="L1002" i="7"/>
  <c r="M1002" i="7"/>
  <c r="K1003" i="7"/>
  <c r="L1003" i="7"/>
  <c r="M1003" i="7"/>
  <c r="K1004" i="7"/>
  <c r="L1004" i="7"/>
  <c r="M1004" i="7"/>
  <c r="K1005" i="7"/>
  <c r="L1005" i="7"/>
  <c r="M1005" i="7"/>
  <c r="K1006" i="7"/>
  <c r="L1006" i="7"/>
  <c r="M1006" i="7"/>
  <c r="K1007" i="7"/>
  <c r="L1007" i="7"/>
  <c r="M1007" i="7"/>
  <c r="K1008" i="7"/>
  <c r="L1008" i="7"/>
  <c r="M1008" i="7"/>
  <c r="K1009" i="7"/>
  <c r="L1009" i="7"/>
  <c r="M1009" i="7"/>
  <c r="K1010" i="7"/>
  <c r="L1010" i="7"/>
  <c r="M1010" i="7"/>
  <c r="K1011" i="7"/>
  <c r="L1011" i="7"/>
  <c r="M1011" i="7"/>
  <c r="K1012" i="7"/>
  <c r="L1012" i="7"/>
  <c r="M1012" i="7"/>
  <c r="K1013" i="7"/>
  <c r="L1013" i="7"/>
  <c r="M1013" i="7"/>
  <c r="K1014" i="7"/>
  <c r="L1014" i="7"/>
  <c r="M1014" i="7"/>
  <c r="K1015" i="7"/>
  <c r="L1015" i="7"/>
  <c r="M1015" i="7"/>
  <c r="K1016" i="7"/>
  <c r="L1016" i="7"/>
  <c r="M1016" i="7"/>
  <c r="K1017" i="7"/>
  <c r="L1017" i="7"/>
  <c r="M1017" i="7"/>
  <c r="K1018" i="7"/>
  <c r="L1018" i="7"/>
  <c r="M1018" i="7"/>
  <c r="K1019" i="7"/>
  <c r="L1019" i="7"/>
  <c r="M1019" i="7"/>
  <c r="K1020" i="7"/>
  <c r="L1020" i="7"/>
  <c r="M1020" i="7"/>
  <c r="K1021" i="7"/>
  <c r="L1021" i="7"/>
  <c r="M1021" i="7"/>
  <c r="K1022" i="7"/>
  <c r="L1022" i="7"/>
  <c r="M1022" i="7"/>
  <c r="K1023" i="7"/>
  <c r="L1023" i="7"/>
  <c r="M1023" i="7"/>
  <c r="K1024" i="7"/>
  <c r="L1024" i="7"/>
  <c r="M1024" i="7"/>
  <c r="K1025" i="7"/>
  <c r="L1025" i="7"/>
  <c r="M1025" i="7"/>
  <c r="K1026" i="7"/>
  <c r="L1026" i="7"/>
  <c r="M1026" i="7"/>
  <c r="K1027" i="7"/>
  <c r="L1027" i="7"/>
  <c r="M1027" i="7"/>
  <c r="K1028" i="7"/>
  <c r="L1028" i="7"/>
  <c r="M1028" i="7"/>
  <c r="K1029" i="7"/>
  <c r="L1029" i="7"/>
  <c r="M1029" i="7"/>
  <c r="K1030" i="7"/>
  <c r="L1030" i="7"/>
  <c r="M1030" i="7"/>
  <c r="K1031" i="7"/>
  <c r="L1031" i="7"/>
  <c r="M1031" i="7"/>
  <c r="K1032" i="7"/>
  <c r="L1032" i="7"/>
  <c r="M1032" i="7"/>
  <c r="K1033" i="7"/>
  <c r="L1033" i="7"/>
  <c r="M1033" i="7"/>
  <c r="K1034" i="7"/>
  <c r="L1034" i="7"/>
  <c r="M1034" i="7"/>
  <c r="K1035" i="7"/>
  <c r="L1035" i="7"/>
  <c r="M1035" i="7"/>
  <c r="K1036" i="7"/>
  <c r="L1036" i="7"/>
  <c r="M1036" i="7"/>
  <c r="K1037" i="7"/>
  <c r="L1037" i="7"/>
  <c r="M1037" i="7"/>
  <c r="K1038" i="7"/>
  <c r="L1038" i="7"/>
  <c r="M1038" i="7"/>
  <c r="K1039" i="7"/>
  <c r="L1039" i="7"/>
  <c r="M1039" i="7"/>
  <c r="K1040" i="7"/>
  <c r="L1040" i="7"/>
  <c r="M1040" i="7"/>
  <c r="K1041" i="7"/>
  <c r="L1041" i="7"/>
  <c r="M1041" i="7"/>
  <c r="K1042" i="7"/>
  <c r="L1042" i="7"/>
  <c r="M1042" i="7"/>
  <c r="K1043" i="7"/>
  <c r="L1043" i="7"/>
  <c r="M1043" i="7"/>
  <c r="K1044" i="7"/>
  <c r="L1044" i="7"/>
  <c r="M1044" i="7"/>
  <c r="K1045" i="7"/>
  <c r="L1045" i="7"/>
  <c r="M1045" i="7"/>
  <c r="K1046" i="7"/>
  <c r="L1046" i="7"/>
  <c r="M1046" i="7"/>
  <c r="K1047" i="7"/>
  <c r="L1047" i="7"/>
  <c r="M1047" i="7"/>
  <c r="K1048" i="7"/>
  <c r="L1048" i="7"/>
  <c r="M1048" i="7"/>
  <c r="K1049" i="7"/>
  <c r="L1049" i="7"/>
  <c r="M1049" i="7"/>
  <c r="K1050" i="7"/>
  <c r="L1050" i="7"/>
  <c r="M1050" i="7"/>
  <c r="K1051" i="7"/>
  <c r="L1051" i="7"/>
  <c r="M1051" i="7"/>
  <c r="K1052" i="7"/>
  <c r="L1052" i="7"/>
  <c r="M1052" i="7"/>
  <c r="K1053" i="7"/>
  <c r="L1053" i="7"/>
  <c r="M1053" i="7"/>
  <c r="K1054" i="7"/>
  <c r="L1054" i="7"/>
  <c r="M1054" i="7"/>
  <c r="K1055" i="7"/>
  <c r="L1055" i="7"/>
  <c r="M1055" i="7"/>
  <c r="K1056" i="7"/>
  <c r="L1056" i="7"/>
  <c r="M1056" i="7"/>
  <c r="K1057" i="7"/>
  <c r="L1057" i="7"/>
  <c r="M1057" i="7"/>
  <c r="K1058" i="7"/>
  <c r="L1058" i="7"/>
  <c r="M1058" i="7"/>
  <c r="K1059" i="7"/>
  <c r="L1059" i="7"/>
  <c r="M1059" i="7"/>
  <c r="K1060" i="7"/>
  <c r="L1060" i="7"/>
  <c r="M1060" i="7"/>
  <c r="K1061" i="7"/>
  <c r="L1061" i="7"/>
  <c r="M1061" i="7"/>
  <c r="K1062" i="7"/>
  <c r="L1062" i="7"/>
  <c r="M1062" i="7"/>
  <c r="K1063" i="7"/>
  <c r="L1063" i="7"/>
  <c r="M1063" i="7"/>
  <c r="K1064" i="7"/>
  <c r="L1064" i="7"/>
  <c r="M1064" i="7"/>
  <c r="K1065" i="7"/>
  <c r="L1065" i="7"/>
  <c r="M1065" i="7"/>
  <c r="K1066" i="7"/>
  <c r="L1066" i="7"/>
  <c r="M1066" i="7"/>
  <c r="K1067" i="7"/>
  <c r="L1067" i="7"/>
  <c r="M1067" i="7"/>
  <c r="K1068" i="7"/>
  <c r="L1068" i="7"/>
  <c r="M1068" i="7"/>
  <c r="K1069" i="7"/>
  <c r="L1069" i="7"/>
  <c r="M1069" i="7"/>
  <c r="K1070" i="7"/>
  <c r="L1070" i="7"/>
  <c r="M1070" i="7"/>
  <c r="K1071" i="7"/>
  <c r="L1071" i="7"/>
  <c r="M1071" i="7"/>
  <c r="K1072" i="7"/>
  <c r="L1072" i="7"/>
  <c r="M1072" i="7"/>
  <c r="K1073" i="7"/>
  <c r="L1073" i="7"/>
  <c r="M1073" i="7"/>
  <c r="K1074" i="7"/>
  <c r="L1074" i="7"/>
  <c r="M1074" i="7"/>
  <c r="K1075" i="7"/>
  <c r="L1075" i="7"/>
  <c r="M1075" i="7"/>
  <c r="K1076" i="7"/>
  <c r="L1076" i="7"/>
  <c r="M1076" i="7"/>
  <c r="K1077" i="7"/>
  <c r="L1077" i="7"/>
  <c r="M1077" i="7"/>
  <c r="K1078" i="7"/>
  <c r="L1078" i="7"/>
  <c r="M1078" i="7"/>
  <c r="K1079" i="7"/>
  <c r="L1079" i="7"/>
  <c r="M1079" i="7"/>
  <c r="K1080" i="7"/>
  <c r="L1080" i="7"/>
  <c r="M1080" i="7"/>
  <c r="K1081" i="7"/>
  <c r="L1081" i="7"/>
  <c r="M1081" i="7"/>
  <c r="K1082" i="7"/>
  <c r="L1082" i="7"/>
  <c r="M1082" i="7"/>
  <c r="K1083" i="7"/>
  <c r="L1083" i="7"/>
  <c r="M1083" i="7"/>
  <c r="K1084" i="7"/>
  <c r="L1084" i="7"/>
  <c r="M1084" i="7"/>
  <c r="K1085" i="7"/>
  <c r="L1085" i="7"/>
  <c r="M1085" i="7"/>
  <c r="K1086" i="7"/>
  <c r="L1086" i="7"/>
  <c r="M1086" i="7"/>
  <c r="K1087" i="7"/>
  <c r="L1087" i="7"/>
  <c r="M1087" i="7"/>
  <c r="K1088" i="7"/>
  <c r="L1088" i="7"/>
  <c r="M1088" i="7"/>
  <c r="K1089" i="7"/>
  <c r="L1089" i="7"/>
  <c r="M1089" i="7"/>
  <c r="K1090" i="7"/>
  <c r="L1090" i="7"/>
  <c r="M1090" i="7"/>
  <c r="K1091" i="7"/>
  <c r="L1091" i="7"/>
  <c r="M1091" i="7"/>
  <c r="K1092" i="7"/>
  <c r="L1092" i="7"/>
  <c r="M1092" i="7"/>
  <c r="K1093" i="7"/>
  <c r="L1093" i="7"/>
  <c r="M1093" i="7"/>
  <c r="K1094" i="7"/>
  <c r="L1094" i="7"/>
  <c r="M1094" i="7"/>
  <c r="K1095" i="7"/>
  <c r="L1095" i="7"/>
  <c r="M1095" i="7"/>
  <c r="K1096" i="7"/>
  <c r="L1096" i="7"/>
  <c r="M1096" i="7"/>
  <c r="K1097" i="7"/>
  <c r="L1097" i="7"/>
  <c r="M1097" i="7"/>
  <c r="K1098" i="7"/>
  <c r="L1098" i="7"/>
  <c r="M1098" i="7"/>
  <c r="K1099" i="7"/>
  <c r="L1099" i="7"/>
  <c r="M1099" i="7"/>
  <c r="K1100" i="7"/>
  <c r="L1100" i="7"/>
  <c r="M1100" i="7"/>
  <c r="K1101" i="7"/>
  <c r="L1101" i="7"/>
  <c r="M1101" i="7"/>
  <c r="K1102" i="7"/>
  <c r="L1102" i="7"/>
  <c r="M1102" i="7"/>
  <c r="K1103" i="7"/>
  <c r="L1103" i="7"/>
  <c r="M1103" i="7"/>
  <c r="K1104" i="7"/>
  <c r="L1104" i="7"/>
  <c r="M1104" i="7"/>
  <c r="K1105" i="7"/>
  <c r="L1105" i="7"/>
  <c r="M1105" i="7"/>
  <c r="K1106" i="7"/>
  <c r="L1106" i="7"/>
  <c r="M1106" i="7"/>
  <c r="K1107" i="7"/>
  <c r="L1107" i="7"/>
  <c r="M1107" i="7"/>
  <c r="K1108" i="7"/>
  <c r="L1108" i="7"/>
  <c r="M1108" i="7"/>
  <c r="K1109" i="7"/>
  <c r="L1109" i="7"/>
  <c r="M1109" i="7"/>
  <c r="K1110" i="7"/>
  <c r="L1110" i="7"/>
  <c r="M1110" i="7"/>
  <c r="K1111" i="7"/>
  <c r="L1111" i="7"/>
  <c r="M1111" i="7"/>
  <c r="K1112" i="7"/>
  <c r="L1112" i="7"/>
  <c r="M1112" i="7"/>
  <c r="K1113" i="7"/>
  <c r="L1113" i="7"/>
  <c r="M1113" i="7"/>
  <c r="K1114" i="7"/>
  <c r="L1114" i="7"/>
  <c r="M1114" i="7"/>
  <c r="K1115" i="7"/>
  <c r="L1115" i="7"/>
  <c r="M1115" i="7"/>
  <c r="K1116" i="7"/>
  <c r="L1116" i="7"/>
  <c r="M1116" i="7"/>
  <c r="K1117" i="7"/>
  <c r="L1117" i="7"/>
  <c r="M1117" i="7"/>
  <c r="K1118" i="7"/>
  <c r="L1118" i="7"/>
  <c r="M1118" i="7"/>
  <c r="K1119" i="7"/>
  <c r="L1119" i="7"/>
  <c r="M1119" i="7"/>
  <c r="K1120" i="7"/>
  <c r="L1120" i="7"/>
  <c r="M1120" i="7"/>
  <c r="K1121" i="7"/>
  <c r="L1121" i="7"/>
  <c r="M1121" i="7"/>
  <c r="K1122" i="7"/>
  <c r="L1122" i="7"/>
  <c r="M1122" i="7"/>
  <c r="K1123" i="7"/>
  <c r="L1123" i="7"/>
  <c r="M1123" i="7"/>
  <c r="K1124" i="7"/>
  <c r="L1124" i="7"/>
  <c r="M1124" i="7"/>
  <c r="K1125" i="7"/>
  <c r="L1125" i="7"/>
  <c r="M1125" i="7"/>
  <c r="K1126" i="7"/>
  <c r="L1126" i="7"/>
  <c r="M1126" i="7"/>
  <c r="K1127" i="7"/>
  <c r="L1127" i="7"/>
  <c r="M1127" i="7"/>
  <c r="K1128" i="7"/>
  <c r="L1128" i="7"/>
  <c r="M1128" i="7"/>
  <c r="K1129" i="7"/>
  <c r="L1129" i="7"/>
  <c r="M1129" i="7"/>
  <c r="K1130" i="7"/>
  <c r="L1130" i="7"/>
  <c r="M1130" i="7"/>
  <c r="K1131" i="7"/>
  <c r="L1131" i="7"/>
  <c r="M1131" i="7"/>
  <c r="K1132" i="7"/>
  <c r="L1132" i="7"/>
  <c r="M1132" i="7"/>
  <c r="K1133" i="7"/>
  <c r="L1133" i="7"/>
  <c r="M1133" i="7"/>
  <c r="K1134" i="7"/>
  <c r="L1134" i="7"/>
  <c r="M1134" i="7"/>
  <c r="K1135" i="7"/>
  <c r="L1135" i="7"/>
  <c r="M1135" i="7"/>
  <c r="K1136" i="7"/>
  <c r="L1136" i="7"/>
  <c r="M1136" i="7"/>
  <c r="K1137" i="7"/>
  <c r="L1137" i="7"/>
  <c r="M1137" i="7"/>
  <c r="K1138" i="7"/>
  <c r="L1138" i="7"/>
  <c r="M1138" i="7"/>
  <c r="K1139" i="7"/>
  <c r="L1139" i="7"/>
  <c r="M1139" i="7"/>
  <c r="K1140" i="7"/>
  <c r="L1140" i="7"/>
  <c r="M1140" i="7"/>
  <c r="K1141" i="7"/>
  <c r="L1141" i="7"/>
  <c r="M1141" i="7"/>
  <c r="K1142" i="7"/>
  <c r="L1142" i="7"/>
  <c r="M1142" i="7"/>
  <c r="K1143" i="7"/>
  <c r="L1143" i="7"/>
  <c r="M1143" i="7"/>
  <c r="K1144" i="7"/>
  <c r="L1144" i="7"/>
  <c r="M1144" i="7"/>
  <c r="K1145" i="7"/>
  <c r="L1145" i="7"/>
  <c r="M1145" i="7"/>
  <c r="K1146" i="7"/>
  <c r="L1146" i="7"/>
  <c r="M1146" i="7"/>
  <c r="K1147" i="7"/>
  <c r="L1147" i="7"/>
  <c r="M1147" i="7"/>
  <c r="K1148" i="7"/>
  <c r="L1148" i="7"/>
  <c r="M1148" i="7"/>
  <c r="K1149" i="7"/>
  <c r="L1149" i="7"/>
  <c r="M1149" i="7"/>
  <c r="K1150" i="7"/>
  <c r="L1150" i="7"/>
  <c r="M1150" i="7"/>
  <c r="K1151" i="7"/>
  <c r="L1151" i="7"/>
  <c r="M1151" i="7"/>
  <c r="K1152" i="7"/>
  <c r="L1152" i="7"/>
  <c r="M1152" i="7"/>
  <c r="K1153" i="7"/>
  <c r="L1153" i="7"/>
  <c r="M1153" i="7"/>
  <c r="K1154" i="7"/>
  <c r="L1154" i="7"/>
  <c r="M1154" i="7"/>
  <c r="K1155" i="7"/>
  <c r="L1155" i="7"/>
  <c r="M1155" i="7"/>
  <c r="K1156" i="7"/>
  <c r="L1156" i="7"/>
  <c r="M1156" i="7"/>
  <c r="K1157" i="7"/>
  <c r="L1157" i="7"/>
  <c r="M1157" i="7"/>
  <c r="K1158" i="7"/>
  <c r="L1158" i="7"/>
  <c r="M1158" i="7"/>
  <c r="K1159" i="7"/>
  <c r="L1159" i="7"/>
  <c r="M1159" i="7"/>
  <c r="K1160" i="7"/>
  <c r="L1160" i="7"/>
  <c r="M1160" i="7"/>
  <c r="K1161" i="7"/>
  <c r="L1161" i="7"/>
  <c r="M1161" i="7"/>
  <c r="K1162" i="7"/>
  <c r="L1162" i="7"/>
  <c r="M1162" i="7"/>
  <c r="K1163" i="7"/>
  <c r="L1163" i="7"/>
  <c r="M1163" i="7"/>
  <c r="K1164" i="7"/>
  <c r="L1164" i="7"/>
  <c r="M1164" i="7"/>
  <c r="K1165" i="7"/>
  <c r="L1165" i="7"/>
  <c r="M1165" i="7"/>
  <c r="K1166" i="7"/>
  <c r="L1166" i="7"/>
  <c r="M1166" i="7"/>
  <c r="K1167" i="7"/>
  <c r="L1167" i="7"/>
  <c r="M1167" i="7"/>
  <c r="K1168" i="7"/>
  <c r="L1168" i="7"/>
  <c r="M1168" i="7"/>
  <c r="K1169" i="7"/>
  <c r="L1169" i="7"/>
  <c r="M1169" i="7"/>
  <c r="K1170" i="7"/>
  <c r="L1170" i="7"/>
  <c r="M1170" i="7"/>
  <c r="K1171" i="7"/>
  <c r="L1171" i="7"/>
  <c r="M1171" i="7"/>
  <c r="K1172" i="7"/>
  <c r="L1172" i="7"/>
  <c r="M1172" i="7"/>
  <c r="K1173" i="7"/>
  <c r="L1173" i="7"/>
  <c r="M1173" i="7"/>
  <c r="K1174" i="7"/>
  <c r="L1174" i="7"/>
  <c r="M1174" i="7"/>
  <c r="K1175" i="7"/>
  <c r="L1175" i="7"/>
  <c r="M1175" i="7"/>
  <c r="K1176" i="7"/>
  <c r="L1176" i="7"/>
  <c r="M1176" i="7"/>
  <c r="K1177" i="7"/>
  <c r="L1177" i="7"/>
  <c r="M1177" i="7"/>
  <c r="K1178" i="7"/>
  <c r="L1178" i="7"/>
  <c r="M1178" i="7"/>
  <c r="K1179" i="7"/>
  <c r="L1179" i="7"/>
  <c r="M1179" i="7"/>
  <c r="K1180" i="7"/>
  <c r="L1180" i="7"/>
  <c r="M1180" i="7"/>
  <c r="K1181" i="7"/>
  <c r="L1181" i="7"/>
  <c r="M1181" i="7"/>
  <c r="K1182" i="7"/>
  <c r="L1182" i="7"/>
  <c r="M1182" i="7"/>
  <c r="K1183" i="7"/>
  <c r="L1183" i="7"/>
  <c r="M1183" i="7"/>
  <c r="K1184" i="7"/>
  <c r="L1184" i="7"/>
  <c r="M1184" i="7"/>
  <c r="K1185" i="7"/>
  <c r="L1185" i="7"/>
  <c r="M1185" i="7"/>
  <c r="K1186" i="7"/>
  <c r="L1186" i="7"/>
  <c r="M1186" i="7"/>
  <c r="K1187" i="7"/>
  <c r="L1187" i="7"/>
  <c r="M1187" i="7"/>
  <c r="K1188" i="7"/>
  <c r="L1188" i="7"/>
  <c r="M1188" i="7"/>
  <c r="K1189" i="7"/>
  <c r="L1189" i="7"/>
  <c r="M1189" i="7"/>
  <c r="K1190" i="7"/>
  <c r="L1190" i="7"/>
  <c r="M1190" i="7"/>
  <c r="K1191" i="7"/>
  <c r="L1191" i="7"/>
  <c r="M1191" i="7"/>
  <c r="K1192" i="7"/>
  <c r="L1192" i="7"/>
  <c r="M1192" i="7"/>
  <c r="K1193" i="7"/>
  <c r="L1193" i="7"/>
  <c r="M1193" i="7"/>
  <c r="K1194" i="7"/>
  <c r="L1194" i="7"/>
  <c r="M1194" i="7"/>
  <c r="K1195" i="7"/>
  <c r="L1195" i="7"/>
  <c r="M1195" i="7"/>
  <c r="K1196" i="7"/>
  <c r="L1196" i="7"/>
  <c r="M1196" i="7"/>
  <c r="K1197" i="7"/>
  <c r="L1197" i="7"/>
  <c r="M1197" i="7"/>
  <c r="K1198" i="7"/>
  <c r="L1198" i="7"/>
  <c r="M1198" i="7"/>
  <c r="K1199" i="7"/>
  <c r="L1199" i="7"/>
  <c r="M1199" i="7"/>
  <c r="K1200" i="7"/>
  <c r="L1200" i="7"/>
  <c r="M1200" i="7"/>
  <c r="K1201" i="7"/>
  <c r="L1201" i="7"/>
  <c r="M1201" i="7"/>
  <c r="K1202" i="7"/>
  <c r="L1202" i="7"/>
  <c r="M1202" i="7"/>
  <c r="K1203" i="7"/>
  <c r="L1203" i="7"/>
  <c r="M1203" i="7"/>
  <c r="K1204" i="7"/>
  <c r="L1204" i="7"/>
  <c r="M1204" i="7"/>
  <c r="K1205" i="7"/>
  <c r="L1205" i="7"/>
  <c r="M1205" i="7"/>
  <c r="K1206" i="7"/>
  <c r="L1206" i="7"/>
  <c r="M1206" i="7"/>
  <c r="K1207" i="7"/>
  <c r="L1207" i="7"/>
  <c r="M1207" i="7"/>
  <c r="K1208" i="7"/>
  <c r="L1208" i="7"/>
  <c r="M1208" i="7"/>
  <c r="K1209" i="7"/>
  <c r="L1209" i="7"/>
  <c r="M1209" i="7"/>
  <c r="K1210" i="7"/>
  <c r="L1210" i="7"/>
  <c r="M1210" i="7"/>
  <c r="K1211" i="7"/>
  <c r="L1211" i="7"/>
  <c r="M1211" i="7"/>
  <c r="K1212" i="7"/>
  <c r="L1212" i="7"/>
  <c r="M1212" i="7"/>
  <c r="K1213" i="7"/>
  <c r="L1213" i="7"/>
  <c r="M1213" i="7"/>
  <c r="K1214" i="7"/>
  <c r="L1214" i="7"/>
  <c r="M1214" i="7"/>
  <c r="K1215" i="7"/>
  <c r="L1215" i="7"/>
  <c r="M1215" i="7"/>
  <c r="K1216" i="7"/>
  <c r="L1216" i="7"/>
  <c r="M1216" i="7"/>
  <c r="K1217" i="7"/>
  <c r="L1217" i="7"/>
  <c r="M1217" i="7"/>
  <c r="K1218" i="7"/>
  <c r="L1218" i="7"/>
  <c r="M1218" i="7"/>
  <c r="K1219" i="7"/>
  <c r="L1219" i="7"/>
  <c r="M1219" i="7"/>
  <c r="K1220" i="7"/>
  <c r="L1220" i="7"/>
  <c r="M1220" i="7"/>
  <c r="K1221" i="7"/>
  <c r="L1221" i="7"/>
  <c r="M1221" i="7"/>
  <c r="K1222" i="7"/>
  <c r="L1222" i="7"/>
  <c r="M1222" i="7"/>
  <c r="K1223" i="7"/>
  <c r="L1223" i="7"/>
  <c r="M1223" i="7"/>
  <c r="K1224" i="7"/>
  <c r="L1224" i="7"/>
  <c r="M1224" i="7"/>
  <c r="K1225" i="7"/>
  <c r="L1225" i="7"/>
  <c r="M1225" i="7"/>
  <c r="K1226" i="7"/>
  <c r="L1226" i="7"/>
  <c r="M1226" i="7"/>
  <c r="K1227" i="7"/>
  <c r="L1227" i="7"/>
  <c r="M1227" i="7"/>
  <c r="K1228" i="7"/>
  <c r="L1228" i="7"/>
  <c r="M1228" i="7"/>
  <c r="K1229" i="7"/>
  <c r="L1229" i="7"/>
  <c r="M1229" i="7"/>
  <c r="K1230" i="7"/>
  <c r="L1230" i="7"/>
  <c r="M1230" i="7"/>
  <c r="K1231" i="7"/>
  <c r="L1231" i="7"/>
  <c r="M1231" i="7"/>
  <c r="K1232" i="7"/>
  <c r="L1232" i="7"/>
  <c r="M1232" i="7"/>
  <c r="K1233" i="7"/>
  <c r="L1233" i="7"/>
  <c r="M1233" i="7"/>
  <c r="K1234" i="7"/>
  <c r="L1234" i="7"/>
  <c r="M1234" i="7"/>
  <c r="K1235" i="7"/>
  <c r="L1235" i="7"/>
  <c r="M1235" i="7"/>
  <c r="K1236" i="7"/>
  <c r="L1236" i="7"/>
  <c r="M1236" i="7"/>
  <c r="K1237" i="7"/>
  <c r="L1237" i="7"/>
  <c r="M1237" i="7"/>
  <c r="K1238" i="7"/>
  <c r="L1238" i="7"/>
  <c r="M1238" i="7"/>
  <c r="K1239" i="7"/>
  <c r="L1239" i="7"/>
  <c r="M1239" i="7"/>
  <c r="K1240" i="7"/>
  <c r="L1240" i="7"/>
  <c r="M1240" i="7"/>
  <c r="K1241" i="7"/>
  <c r="L1241" i="7"/>
  <c r="M1241" i="7"/>
  <c r="K1242" i="7"/>
  <c r="L1242" i="7"/>
  <c r="M1242" i="7"/>
  <c r="K1243" i="7"/>
  <c r="L1243" i="7"/>
  <c r="M1243" i="7"/>
  <c r="K1244" i="7"/>
  <c r="L1244" i="7"/>
  <c r="M1244" i="7"/>
  <c r="K1245" i="7"/>
  <c r="L1245" i="7"/>
  <c r="M1245" i="7"/>
  <c r="K1246" i="7"/>
  <c r="L1246" i="7"/>
  <c r="M1246" i="7"/>
  <c r="K1247" i="7"/>
  <c r="L1247" i="7"/>
  <c r="M1247" i="7"/>
  <c r="K1248" i="7"/>
  <c r="L1248" i="7"/>
  <c r="M1248" i="7"/>
  <c r="K1249" i="7"/>
  <c r="L1249" i="7"/>
  <c r="M1249" i="7"/>
  <c r="K1250" i="7"/>
  <c r="L1250" i="7"/>
  <c r="M1250" i="7"/>
  <c r="K1251" i="7"/>
  <c r="L1251" i="7"/>
  <c r="M1251" i="7"/>
  <c r="K1252" i="7"/>
  <c r="L1252" i="7"/>
  <c r="M1252" i="7"/>
  <c r="K1253" i="7"/>
  <c r="L1253" i="7"/>
  <c r="M1253" i="7"/>
  <c r="K1254" i="7"/>
  <c r="L1254" i="7"/>
  <c r="M1254" i="7"/>
  <c r="K1255" i="7"/>
  <c r="L1255" i="7"/>
  <c r="M1255" i="7"/>
  <c r="K1256" i="7"/>
  <c r="L1256" i="7"/>
  <c r="M1256" i="7"/>
  <c r="K1257" i="7"/>
  <c r="L1257" i="7"/>
  <c r="M1257" i="7"/>
  <c r="K1258" i="7"/>
  <c r="L1258" i="7"/>
  <c r="M1258" i="7"/>
  <c r="K1259" i="7"/>
  <c r="L1259" i="7"/>
  <c r="M1259" i="7"/>
  <c r="K1260" i="7"/>
  <c r="L1260" i="7"/>
  <c r="M1260" i="7"/>
  <c r="K1261" i="7"/>
  <c r="L1261" i="7"/>
  <c r="M1261" i="7"/>
  <c r="K1262" i="7"/>
  <c r="L1262" i="7"/>
  <c r="M1262" i="7"/>
  <c r="K1263" i="7"/>
  <c r="L1263" i="7"/>
  <c r="M1263" i="7"/>
  <c r="K1264" i="7"/>
  <c r="L1264" i="7"/>
  <c r="M1264" i="7"/>
  <c r="K1265" i="7"/>
  <c r="L1265" i="7"/>
  <c r="M1265" i="7"/>
  <c r="K1266" i="7"/>
  <c r="L1266" i="7"/>
  <c r="M1266" i="7"/>
  <c r="K1267" i="7"/>
  <c r="L1267" i="7"/>
  <c r="M1267" i="7"/>
  <c r="K1268" i="7"/>
  <c r="L1268" i="7"/>
  <c r="M1268" i="7"/>
  <c r="K1269" i="7"/>
  <c r="L1269" i="7"/>
  <c r="M1269" i="7"/>
  <c r="K1270" i="7"/>
  <c r="L1270" i="7"/>
  <c r="M1270" i="7"/>
  <c r="K1271" i="7"/>
  <c r="L1271" i="7"/>
  <c r="M1271" i="7"/>
  <c r="K1272" i="7"/>
  <c r="L1272" i="7"/>
  <c r="M1272" i="7"/>
  <c r="K1273" i="7"/>
  <c r="L1273" i="7"/>
  <c r="M1273" i="7"/>
  <c r="K1274" i="7"/>
  <c r="L1274" i="7"/>
  <c r="M1274" i="7"/>
  <c r="K1275" i="7"/>
  <c r="L1275" i="7"/>
  <c r="M1275" i="7"/>
  <c r="K1276" i="7"/>
  <c r="L1276" i="7"/>
  <c r="M1276" i="7"/>
  <c r="K1277" i="7"/>
  <c r="L1277" i="7"/>
  <c r="M1277" i="7"/>
  <c r="K1278" i="7"/>
  <c r="L1278" i="7"/>
  <c r="M1278" i="7"/>
  <c r="K1279" i="7"/>
  <c r="L1279" i="7"/>
  <c r="M1279" i="7"/>
  <c r="K1280" i="7"/>
  <c r="L1280" i="7"/>
  <c r="M1280" i="7"/>
  <c r="K1281" i="7"/>
  <c r="L1281" i="7"/>
  <c r="M1281" i="7"/>
  <c r="K1282" i="7"/>
  <c r="L1282" i="7"/>
  <c r="M1282" i="7"/>
  <c r="K1283" i="7"/>
  <c r="L1283" i="7"/>
  <c r="M1283" i="7"/>
  <c r="K1284" i="7"/>
  <c r="L1284" i="7"/>
  <c r="M1284" i="7"/>
  <c r="K1285" i="7"/>
  <c r="L1285" i="7"/>
  <c r="M1285" i="7"/>
  <c r="K1286" i="7"/>
  <c r="L1286" i="7"/>
  <c r="M1286" i="7"/>
  <c r="K1287" i="7"/>
  <c r="L1287" i="7"/>
  <c r="M1287" i="7"/>
  <c r="K1288" i="7"/>
  <c r="L1288" i="7"/>
  <c r="M1288" i="7"/>
  <c r="K1289" i="7"/>
  <c r="L1289" i="7"/>
  <c r="M1289" i="7"/>
  <c r="K1290" i="7"/>
  <c r="L1290" i="7"/>
  <c r="M1290" i="7"/>
  <c r="K1291" i="7"/>
  <c r="L1291" i="7"/>
  <c r="M1291" i="7"/>
  <c r="K1292" i="7"/>
  <c r="L1292" i="7"/>
  <c r="M1292" i="7"/>
  <c r="K1293" i="7"/>
  <c r="L1293" i="7"/>
  <c r="M1293" i="7"/>
  <c r="K1294" i="7"/>
  <c r="L1294" i="7"/>
  <c r="M1294" i="7"/>
  <c r="K1295" i="7"/>
  <c r="L1295" i="7"/>
  <c r="M1295" i="7"/>
  <c r="K1296" i="7"/>
  <c r="L1296" i="7"/>
  <c r="M1296" i="7"/>
  <c r="K1297" i="7"/>
  <c r="L1297" i="7"/>
  <c r="M1297" i="7"/>
  <c r="K1298" i="7"/>
  <c r="L1298" i="7"/>
  <c r="M1298" i="7"/>
  <c r="K1299" i="7"/>
  <c r="L1299" i="7"/>
  <c r="M1299" i="7"/>
  <c r="K1300" i="7"/>
  <c r="L1300" i="7"/>
  <c r="M1300" i="7"/>
  <c r="K1301" i="7"/>
  <c r="L1301" i="7"/>
  <c r="M1301" i="7"/>
  <c r="K1302" i="7"/>
  <c r="L1302" i="7"/>
  <c r="M1302" i="7"/>
  <c r="K1303" i="7"/>
  <c r="L1303" i="7"/>
  <c r="M1303" i="7"/>
  <c r="K1304" i="7"/>
  <c r="L1304" i="7"/>
  <c r="M1304" i="7"/>
  <c r="K1305" i="7"/>
  <c r="L1305" i="7"/>
  <c r="M1305" i="7"/>
  <c r="K1306" i="7"/>
  <c r="L1306" i="7"/>
  <c r="M1306" i="7"/>
  <c r="K1307" i="7"/>
  <c r="L1307" i="7"/>
  <c r="M1307" i="7"/>
  <c r="K1308" i="7"/>
  <c r="L1308" i="7"/>
  <c r="M1308" i="7"/>
  <c r="K1309" i="7"/>
  <c r="L1309" i="7"/>
  <c r="M1309" i="7"/>
  <c r="K1310" i="7"/>
  <c r="L1310" i="7"/>
  <c r="M1310" i="7"/>
  <c r="K1311" i="7"/>
  <c r="L1311" i="7"/>
  <c r="M1311" i="7"/>
  <c r="K1312" i="7"/>
  <c r="L1312" i="7"/>
  <c r="M1312" i="7"/>
  <c r="K1313" i="7"/>
  <c r="L1313" i="7"/>
  <c r="M1313" i="7"/>
  <c r="K1314" i="7"/>
  <c r="L1314" i="7"/>
  <c r="M1314" i="7"/>
  <c r="K1315" i="7"/>
  <c r="L1315" i="7"/>
  <c r="M1315" i="7"/>
  <c r="K1316" i="7"/>
  <c r="L1316" i="7"/>
  <c r="M1316" i="7"/>
  <c r="K1317" i="7"/>
  <c r="L1317" i="7"/>
  <c r="M1317" i="7"/>
  <c r="K1318" i="7"/>
  <c r="L1318" i="7"/>
  <c r="M1318" i="7"/>
  <c r="K1319" i="7"/>
  <c r="L1319" i="7"/>
  <c r="M1319" i="7"/>
  <c r="K1320" i="7"/>
  <c r="L1320" i="7"/>
  <c r="M1320" i="7"/>
  <c r="K1321" i="7"/>
  <c r="L1321" i="7"/>
  <c r="M1321" i="7"/>
  <c r="K1322" i="7"/>
  <c r="L1322" i="7"/>
  <c r="M1322" i="7"/>
  <c r="K1323" i="7"/>
  <c r="L1323" i="7"/>
  <c r="M1323" i="7"/>
  <c r="K1324" i="7"/>
  <c r="L1324" i="7"/>
  <c r="M1324" i="7"/>
  <c r="K1325" i="7"/>
  <c r="L1325" i="7"/>
  <c r="M1325" i="7"/>
  <c r="K1326" i="7"/>
  <c r="L1326" i="7"/>
  <c r="M1326" i="7"/>
  <c r="K1327" i="7"/>
  <c r="L1327" i="7"/>
  <c r="M1327" i="7"/>
  <c r="K1328" i="7"/>
  <c r="L1328" i="7"/>
  <c r="M1328" i="7"/>
  <c r="K1329" i="7"/>
  <c r="L1329" i="7"/>
  <c r="M1329" i="7"/>
  <c r="K1330" i="7"/>
  <c r="L1330" i="7"/>
  <c r="M1330" i="7"/>
  <c r="K1331" i="7"/>
  <c r="L1331" i="7"/>
  <c r="M1331" i="7"/>
  <c r="K1332" i="7"/>
  <c r="L1332" i="7"/>
  <c r="M1332" i="7"/>
  <c r="K1333" i="7"/>
  <c r="L1333" i="7"/>
  <c r="M1333" i="7"/>
  <c r="K1334" i="7"/>
  <c r="L1334" i="7"/>
  <c r="M1334" i="7"/>
  <c r="K1335" i="7"/>
  <c r="L1335" i="7"/>
  <c r="M1335" i="7"/>
  <c r="K1336" i="7"/>
  <c r="L1336" i="7"/>
  <c r="M1336" i="7"/>
  <c r="K1337" i="7"/>
  <c r="L1337" i="7"/>
  <c r="M1337" i="7"/>
  <c r="K1338" i="7"/>
  <c r="L1338" i="7"/>
  <c r="M1338" i="7"/>
  <c r="K1339" i="7"/>
  <c r="L1339" i="7"/>
  <c r="M1339" i="7"/>
  <c r="K1340" i="7"/>
  <c r="L1340" i="7"/>
  <c r="M1340" i="7"/>
  <c r="K1341" i="7"/>
  <c r="L1341" i="7"/>
  <c r="M1341" i="7"/>
  <c r="K1342" i="7"/>
  <c r="L1342" i="7"/>
  <c r="M1342" i="7"/>
  <c r="K1343" i="7"/>
  <c r="L1343" i="7"/>
  <c r="M1343" i="7"/>
  <c r="K1344" i="7"/>
  <c r="L1344" i="7"/>
  <c r="M1344" i="7"/>
  <c r="K1345" i="7"/>
  <c r="L1345" i="7"/>
  <c r="M1345" i="7"/>
  <c r="K1346" i="7"/>
  <c r="L1346" i="7"/>
  <c r="M1346" i="7"/>
  <c r="K1347" i="7"/>
  <c r="L1347" i="7"/>
  <c r="M1347" i="7"/>
  <c r="K1348" i="7"/>
  <c r="L1348" i="7"/>
  <c r="M1348" i="7"/>
  <c r="K1349" i="7"/>
  <c r="L1349" i="7"/>
  <c r="M1349" i="7"/>
  <c r="K1350" i="7"/>
  <c r="L1350" i="7"/>
  <c r="M1350" i="7"/>
  <c r="K1351" i="7"/>
  <c r="L1351" i="7"/>
  <c r="M1351" i="7"/>
  <c r="K1352" i="7"/>
  <c r="L1352" i="7"/>
  <c r="M1352" i="7"/>
  <c r="K1353" i="7"/>
  <c r="L1353" i="7"/>
  <c r="M1353" i="7"/>
  <c r="K1354" i="7"/>
  <c r="L1354" i="7"/>
  <c r="M1354" i="7"/>
  <c r="K1355" i="7"/>
  <c r="L1355" i="7"/>
  <c r="M1355" i="7"/>
  <c r="K1356" i="7"/>
  <c r="L1356" i="7"/>
  <c r="M1356" i="7"/>
  <c r="K1357" i="7"/>
  <c r="L1357" i="7"/>
  <c r="M1357" i="7"/>
  <c r="K1358" i="7"/>
  <c r="L1358" i="7"/>
  <c r="M1358" i="7"/>
  <c r="K1359" i="7"/>
  <c r="L1359" i="7"/>
  <c r="M1359" i="7"/>
  <c r="K1360" i="7"/>
  <c r="L1360" i="7"/>
  <c r="M1360" i="7"/>
  <c r="K1361" i="7"/>
  <c r="L1361" i="7"/>
  <c r="M1361" i="7"/>
  <c r="K1362" i="7"/>
  <c r="L1362" i="7"/>
  <c r="M1362" i="7"/>
  <c r="K1363" i="7"/>
  <c r="L1363" i="7"/>
  <c r="M1363" i="7"/>
  <c r="K1364" i="7"/>
  <c r="L1364" i="7"/>
  <c r="M1364" i="7"/>
  <c r="K1365" i="7"/>
  <c r="L1365" i="7"/>
  <c r="M1365" i="7"/>
  <c r="K1366" i="7"/>
  <c r="L1366" i="7"/>
  <c r="M1366" i="7"/>
  <c r="K1367" i="7"/>
  <c r="L1367" i="7"/>
  <c r="M1367" i="7"/>
  <c r="K1368" i="7"/>
  <c r="L1368" i="7"/>
  <c r="M1368" i="7"/>
  <c r="K1369" i="7"/>
  <c r="L1369" i="7"/>
  <c r="M1369" i="7"/>
  <c r="K1370" i="7"/>
  <c r="L1370" i="7"/>
  <c r="M1370" i="7"/>
  <c r="K1371" i="7"/>
  <c r="L1371" i="7"/>
  <c r="M1371" i="7"/>
  <c r="K1372" i="7"/>
  <c r="L1372" i="7"/>
  <c r="M1372" i="7"/>
  <c r="K1373" i="7"/>
  <c r="L1373" i="7"/>
  <c r="M1373" i="7"/>
  <c r="K1374" i="7"/>
  <c r="L1374" i="7"/>
  <c r="M1374" i="7"/>
  <c r="K1375" i="7"/>
  <c r="L1375" i="7"/>
  <c r="M1375" i="7"/>
  <c r="K1376" i="7"/>
  <c r="L1376" i="7"/>
  <c r="M1376" i="7"/>
  <c r="K1377" i="7"/>
  <c r="L1377" i="7"/>
  <c r="M1377" i="7"/>
  <c r="K1378" i="7"/>
  <c r="L1378" i="7"/>
  <c r="M1378" i="7"/>
  <c r="K1379" i="7"/>
  <c r="L1379" i="7"/>
  <c r="M1379" i="7"/>
  <c r="K1380" i="7"/>
  <c r="L1380" i="7"/>
  <c r="M1380" i="7"/>
  <c r="K1381" i="7"/>
  <c r="L1381" i="7"/>
  <c r="M1381" i="7"/>
  <c r="K1382" i="7"/>
  <c r="L1382" i="7"/>
  <c r="M1382" i="7"/>
  <c r="K1383" i="7"/>
  <c r="L1383" i="7"/>
  <c r="M1383" i="7"/>
  <c r="K1384" i="7"/>
  <c r="L1384" i="7"/>
  <c r="M1384" i="7"/>
  <c r="K1385" i="7"/>
  <c r="L1385" i="7"/>
  <c r="M1385" i="7"/>
  <c r="K1386" i="7"/>
  <c r="L1386" i="7"/>
  <c r="M1386" i="7"/>
  <c r="K1387" i="7"/>
  <c r="L1387" i="7"/>
  <c r="M1387" i="7"/>
  <c r="K1388" i="7"/>
  <c r="L1388" i="7"/>
  <c r="M1388" i="7"/>
  <c r="K1389" i="7"/>
  <c r="L1389" i="7"/>
  <c r="M1389" i="7"/>
  <c r="K1390" i="7"/>
  <c r="L1390" i="7"/>
  <c r="M1390" i="7"/>
  <c r="K1391" i="7"/>
  <c r="L1391" i="7"/>
  <c r="M1391" i="7"/>
  <c r="K1392" i="7"/>
  <c r="L1392" i="7"/>
  <c r="M1392" i="7"/>
  <c r="K1393" i="7"/>
  <c r="L1393" i="7"/>
  <c r="M1393" i="7"/>
  <c r="K1394" i="7"/>
  <c r="L1394" i="7"/>
  <c r="M1394" i="7"/>
  <c r="K1395" i="7"/>
  <c r="L1395" i="7"/>
  <c r="M1395" i="7"/>
  <c r="K1396" i="7"/>
  <c r="L1396" i="7"/>
  <c r="M1396" i="7"/>
  <c r="K1397" i="7"/>
  <c r="L1397" i="7"/>
  <c r="M1397" i="7"/>
  <c r="K1398" i="7"/>
  <c r="L1398" i="7"/>
  <c r="M1398" i="7"/>
  <c r="K1399" i="7"/>
  <c r="L1399" i="7"/>
  <c r="M1399" i="7"/>
  <c r="K1400" i="7"/>
  <c r="L1400" i="7"/>
  <c r="M1400" i="7"/>
  <c r="K1401" i="7"/>
  <c r="L1401" i="7"/>
  <c r="M1401" i="7"/>
  <c r="K1402" i="7"/>
  <c r="L1402" i="7"/>
  <c r="M1402" i="7"/>
  <c r="K1403" i="7"/>
  <c r="L1403" i="7"/>
  <c r="M1403" i="7"/>
  <c r="K1404" i="7"/>
  <c r="L1404" i="7"/>
  <c r="M1404" i="7"/>
  <c r="K1405" i="7"/>
  <c r="L1405" i="7"/>
  <c r="M1405" i="7"/>
  <c r="K1406" i="7"/>
  <c r="L1406" i="7"/>
  <c r="M1406" i="7"/>
  <c r="K1407" i="7"/>
  <c r="L1407" i="7"/>
  <c r="M1407" i="7"/>
  <c r="K1408" i="7"/>
  <c r="L1408" i="7"/>
  <c r="M1408" i="7"/>
  <c r="K1409" i="7"/>
  <c r="L1409" i="7"/>
  <c r="M1409" i="7"/>
  <c r="K1410" i="7"/>
  <c r="L1410" i="7"/>
  <c r="M1410" i="7"/>
  <c r="K1411" i="7"/>
  <c r="L1411" i="7"/>
  <c r="M1411" i="7"/>
  <c r="K1412" i="7"/>
  <c r="L1412" i="7"/>
  <c r="M1412" i="7"/>
  <c r="K1413" i="7"/>
  <c r="L1413" i="7"/>
  <c r="M1413" i="7"/>
  <c r="K1414" i="7"/>
  <c r="L1414" i="7"/>
  <c r="M1414" i="7"/>
  <c r="K1415" i="7"/>
  <c r="L1415" i="7"/>
  <c r="M1415" i="7"/>
  <c r="K1416" i="7"/>
  <c r="L1416" i="7"/>
  <c r="M1416" i="7"/>
  <c r="K1417" i="7"/>
  <c r="L1417" i="7"/>
  <c r="M1417" i="7"/>
  <c r="K1418" i="7"/>
  <c r="L1418" i="7"/>
  <c r="M1418" i="7"/>
  <c r="K1419" i="7"/>
  <c r="L1419" i="7"/>
  <c r="M1419" i="7"/>
  <c r="K1420" i="7"/>
  <c r="L1420" i="7"/>
  <c r="M1420" i="7"/>
  <c r="K1421" i="7"/>
  <c r="L1421" i="7"/>
  <c r="M1421" i="7"/>
  <c r="K1422" i="7"/>
  <c r="L1422" i="7"/>
  <c r="M1422" i="7"/>
  <c r="K1423" i="7"/>
  <c r="L1423" i="7"/>
  <c r="M1423" i="7"/>
  <c r="K1424" i="7"/>
  <c r="L1424" i="7"/>
  <c r="M1424" i="7"/>
  <c r="K1425" i="7"/>
  <c r="L1425" i="7"/>
  <c r="M1425" i="7"/>
  <c r="K1426" i="7"/>
  <c r="L1426" i="7"/>
  <c r="M1426" i="7"/>
  <c r="K1427" i="7"/>
  <c r="L1427" i="7"/>
  <c r="M1427" i="7"/>
  <c r="K1428" i="7"/>
  <c r="L1428" i="7"/>
  <c r="M1428" i="7"/>
  <c r="K1429" i="7"/>
  <c r="L1429" i="7"/>
  <c r="M1429" i="7"/>
  <c r="K1430" i="7"/>
  <c r="L1430" i="7"/>
  <c r="M1430" i="7"/>
  <c r="K1431" i="7"/>
  <c r="L1431" i="7"/>
  <c r="M1431" i="7"/>
  <c r="K1432" i="7"/>
  <c r="L1432" i="7"/>
  <c r="M1432" i="7"/>
  <c r="K1433" i="7"/>
  <c r="L1433" i="7"/>
  <c r="M1433" i="7"/>
  <c r="K1434" i="7"/>
  <c r="L1434" i="7"/>
  <c r="M1434" i="7"/>
  <c r="K1435" i="7"/>
  <c r="L1435" i="7"/>
  <c r="M1435" i="7"/>
  <c r="K1436" i="7"/>
  <c r="L1436" i="7"/>
  <c r="M1436" i="7"/>
  <c r="K1437" i="7"/>
  <c r="L1437" i="7"/>
  <c r="M1437" i="7"/>
  <c r="K1438" i="7"/>
  <c r="L1438" i="7"/>
  <c r="M1438" i="7"/>
  <c r="K1439" i="7"/>
  <c r="L1439" i="7"/>
  <c r="M1439" i="7"/>
  <c r="K1440" i="7"/>
  <c r="L1440" i="7"/>
  <c r="M1440" i="7"/>
  <c r="K1441" i="7"/>
  <c r="L1441" i="7"/>
  <c r="M1441" i="7"/>
  <c r="K1442" i="7"/>
  <c r="L1442" i="7"/>
  <c r="M1442" i="7"/>
  <c r="K1443" i="7"/>
  <c r="L1443" i="7"/>
  <c r="M1443" i="7"/>
  <c r="K1444" i="7"/>
  <c r="L1444" i="7"/>
  <c r="M1444" i="7"/>
  <c r="K1445" i="7"/>
  <c r="L1445" i="7"/>
  <c r="M1445" i="7"/>
  <c r="K1446" i="7"/>
  <c r="L1446" i="7"/>
  <c r="M1446" i="7"/>
  <c r="K1447" i="7"/>
  <c r="L1447" i="7"/>
  <c r="M1447" i="7"/>
  <c r="K1448" i="7"/>
  <c r="L1448" i="7"/>
  <c r="M1448" i="7"/>
  <c r="K1449" i="7"/>
  <c r="L1449" i="7"/>
  <c r="M1449" i="7"/>
  <c r="K1450" i="7"/>
  <c r="L1450" i="7"/>
  <c r="M1450" i="7"/>
  <c r="K1451" i="7"/>
  <c r="L1451" i="7"/>
  <c r="M1451" i="7"/>
  <c r="K1452" i="7"/>
  <c r="L1452" i="7"/>
  <c r="M1452" i="7"/>
  <c r="K1453" i="7"/>
  <c r="L1453" i="7"/>
  <c r="M1453" i="7"/>
  <c r="K1454" i="7"/>
  <c r="L1454" i="7"/>
  <c r="M1454" i="7"/>
  <c r="K1455" i="7"/>
  <c r="L1455" i="7"/>
  <c r="M1455" i="7"/>
  <c r="K1456" i="7"/>
  <c r="L1456" i="7"/>
  <c r="M1456" i="7"/>
  <c r="K1457" i="7"/>
  <c r="L1457" i="7"/>
  <c r="M1457" i="7"/>
  <c r="K1458" i="7"/>
  <c r="L1458" i="7"/>
  <c r="M1458" i="7"/>
  <c r="K1459" i="7"/>
  <c r="L1459" i="7"/>
  <c r="M1459" i="7"/>
  <c r="K1460" i="7"/>
  <c r="L1460" i="7"/>
  <c r="M1460" i="7"/>
  <c r="K1461" i="7"/>
  <c r="L1461" i="7"/>
  <c r="M1461" i="7"/>
  <c r="K1462" i="7"/>
  <c r="L1462" i="7"/>
  <c r="M1462" i="7"/>
  <c r="K1463" i="7"/>
  <c r="L1463" i="7"/>
  <c r="M1463" i="7"/>
  <c r="K1464" i="7"/>
  <c r="L1464" i="7"/>
  <c r="M1464" i="7"/>
  <c r="K1465" i="7"/>
  <c r="L1465" i="7"/>
  <c r="M1465" i="7"/>
  <c r="K1466" i="7"/>
  <c r="L1466" i="7"/>
  <c r="M1466" i="7"/>
  <c r="K1467" i="7"/>
  <c r="L1467" i="7"/>
  <c r="M1467" i="7"/>
  <c r="K1468" i="7"/>
  <c r="L1468" i="7"/>
  <c r="M1468" i="7"/>
  <c r="K1469" i="7"/>
  <c r="L1469" i="7"/>
  <c r="M1469" i="7"/>
  <c r="K1470" i="7"/>
  <c r="L1470" i="7"/>
  <c r="M1470" i="7"/>
  <c r="K1471" i="7"/>
  <c r="L1471" i="7"/>
  <c r="M1471" i="7"/>
  <c r="K1472" i="7"/>
  <c r="L1472" i="7"/>
  <c r="M1472" i="7"/>
  <c r="K1473" i="7"/>
  <c r="L1473" i="7"/>
  <c r="M1473" i="7"/>
  <c r="K1474" i="7"/>
  <c r="L1474" i="7"/>
  <c r="M1474" i="7"/>
  <c r="K1475" i="7"/>
  <c r="L1475" i="7"/>
  <c r="M1475" i="7"/>
  <c r="K1476" i="7"/>
  <c r="L1476" i="7"/>
  <c r="M1476" i="7"/>
  <c r="K1477" i="7"/>
  <c r="L1477" i="7"/>
  <c r="M1477" i="7"/>
  <c r="K1478" i="7"/>
  <c r="L1478" i="7"/>
  <c r="M1478" i="7"/>
  <c r="K1479" i="7"/>
  <c r="L1479" i="7"/>
  <c r="M1479" i="7"/>
  <c r="K1480" i="7"/>
  <c r="L1480" i="7"/>
  <c r="M1480" i="7"/>
  <c r="K1481" i="7"/>
  <c r="L1481" i="7"/>
  <c r="M1481" i="7"/>
  <c r="K1482" i="7"/>
  <c r="L1482" i="7"/>
  <c r="M1482" i="7"/>
  <c r="K1483" i="7"/>
  <c r="L1483" i="7"/>
  <c r="M1483" i="7"/>
  <c r="K1484" i="7"/>
  <c r="L1484" i="7"/>
  <c r="M1484" i="7"/>
  <c r="K1485" i="7"/>
  <c r="L1485" i="7"/>
  <c r="M1485" i="7"/>
  <c r="K1486" i="7"/>
  <c r="L1486" i="7"/>
  <c r="M1486" i="7"/>
  <c r="K1487" i="7"/>
  <c r="L1487" i="7"/>
  <c r="M1487" i="7"/>
  <c r="K1488" i="7"/>
  <c r="L1488" i="7"/>
  <c r="M1488" i="7"/>
  <c r="K1489" i="7"/>
  <c r="L1489" i="7"/>
  <c r="M1489" i="7"/>
  <c r="K1490" i="7"/>
  <c r="L1490" i="7"/>
  <c r="M1490" i="7"/>
  <c r="K1491" i="7"/>
  <c r="L1491" i="7"/>
  <c r="M1491" i="7"/>
  <c r="K1492" i="7"/>
  <c r="L1492" i="7"/>
  <c r="M1492" i="7"/>
  <c r="K1493" i="7"/>
  <c r="L1493" i="7"/>
  <c r="M1493" i="7"/>
  <c r="K1494" i="7"/>
  <c r="L1494" i="7"/>
  <c r="M1494" i="7"/>
  <c r="K1495" i="7"/>
  <c r="L1495" i="7"/>
  <c r="M1495" i="7"/>
  <c r="K1496" i="7"/>
  <c r="L1496" i="7"/>
  <c r="M1496" i="7"/>
  <c r="K1497" i="7"/>
  <c r="L1497" i="7"/>
  <c r="M1497" i="7"/>
  <c r="K1498" i="7"/>
  <c r="L1498" i="7"/>
  <c r="M1498" i="7"/>
  <c r="K1499" i="7"/>
  <c r="L1499" i="7"/>
  <c r="M1499" i="7"/>
  <c r="K1500" i="7"/>
  <c r="L1500" i="7"/>
  <c r="M1500" i="7"/>
  <c r="K1501" i="7"/>
  <c r="L1501" i="7"/>
  <c r="M1501" i="7"/>
  <c r="K1502" i="7"/>
  <c r="L1502" i="7"/>
  <c r="M1502" i="7"/>
  <c r="K1503" i="7"/>
  <c r="L1503" i="7"/>
  <c r="M1503" i="7"/>
  <c r="K1504" i="7"/>
  <c r="L1504" i="7"/>
  <c r="M1504" i="7"/>
  <c r="K1505" i="7"/>
  <c r="L1505" i="7"/>
  <c r="M1505" i="7"/>
  <c r="K1506" i="7"/>
  <c r="L1506" i="7"/>
  <c r="M1506" i="7"/>
  <c r="K1507" i="7"/>
  <c r="L1507" i="7"/>
  <c r="M1507" i="7"/>
  <c r="K1508" i="7"/>
  <c r="L1508" i="7"/>
  <c r="M1508" i="7"/>
  <c r="K1509" i="7"/>
  <c r="L1509" i="7"/>
  <c r="M1509" i="7"/>
  <c r="K1510" i="7"/>
  <c r="L1510" i="7"/>
  <c r="M1510" i="7"/>
  <c r="K1511" i="7"/>
  <c r="L1511" i="7"/>
  <c r="M1511" i="7"/>
  <c r="K1512" i="7"/>
  <c r="L1512" i="7"/>
  <c r="M1512" i="7"/>
  <c r="K1513" i="7"/>
  <c r="L1513" i="7"/>
  <c r="M1513" i="7"/>
  <c r="K1514" i="7"/>
  <c r="L1514" i="7"/>
  <c r="M1514" i="7"/>
  <c r="K1515" i="7"/>
  <c r="L1515" i="7"/>
  <c r="M1515" i="7"/>
  <c r="K1516" i="7"/>
  <c r="L1516" i="7"/>
  <c r="M1516" i="7"/>
  <c r="K1517" i="7"/>
  <c r="L1517" i="7"/>
  <c r="M1517" i="7"/>
  <c r="K1518" i="7"/>
  <c r="L1518" i="7"/>
  <c r="M1518" i="7"/>
  <c r="K1519" i="7"/>
  <c r="L1519" i="7"/>
  <c r="M1519" i="7"/>
  <c r="K1520" i="7"/>
  <c r="L1520" i="7"/>
  <c r="M1520" i="7"/>
  <c r="K1521" i="7"/>
  <c r="L1521" i="7"/>
  <c r="M1521" i="7"/>
  <c r="K1522" i="7"/>
  <c r="L1522" i="7"/>
  <c r="M1522" i="7"/>
  <c r="K1523" i="7"/>
  <c r="L1523" i="7"/>
  <c r="M1523" i="7"/>
  <c r="K1524" i="7"/>
  <c r="L1524" i="7"/>
  <c r="M1524" i="7"/>
  <c r="K1525" i="7"/>
  <c r="L1525" i="7"/>
  <c r="M1525" i="7"/>
  <c r="K1526" i="7"/>
  <c r="L1526" i="7"/>
  <c r="M1526" i="7"/>
  <c r="K1527" i="7"/>
  <c r="L1527" i="7"/>
  <c r="M1527" i="7"/>
  <c r="K1528" i="7"/>
  <c r="L1528" i="7"/>
  <c r="M1528" i="7"/>
  <c r="K1529" i="7"/>
  <c r="L1529" i="7"/>
  <c r="M1529" i="7"/>
  <c r="K1530" i="7"/>
  <c r="L1530" i="7"/>
  <c r="M1530" i="7"/>
  <c r="K1531" i="7"/>
  <c r="L1531" i="7"/>
  <c r="M1531" i="7"/>
  <c r="K1532" i="7"/>
  <c r="L1532" i="7"/>
  <c r="M1532" i="7"/>
  <c r="K1533" i="7"/>
  <c r="L1533" i="7"/>
  <c r="M1533" i="7"/>
  <c r="K1534" i="7"/>
  <c r="L1534" i="7"/>
  <c r="M1534" i="7"/>
  <c r="K1535" i="7"/>
  <c r="L1535" i="7"/>
  <c r="M1535" i="7"/>
  <c r="K1536" i="7"/>
  <c r="L1536" i="7"/>
  <c r="M1536" i="7"/>
  <c r="K1537" i="7"/>
  <c r="L1537" i="7"/>
  <c r="M1537" i="7"/>
  <c r="K1538" i="7"/>
  <c r="L1538" i="7"/>
  <c r="M1538" i="7"/>
  <c r="K1539" i="7"/>
  <c r="L1539" i="7"/>
  <c r="M1539" i="7"/>
  <c r="K1540" i="7"/>
  <c r="L1540" i="7"/>
  <c r="M1540" i="7"/>
  <c r="K1541" i="7"/>
  <c r="L1541" i="7"/>
  <c r="M1541" i="7"/>
  <c r="K1542" i="7"/>
  <c r="L1542" i="7"/>
  <c r="M1542" i="7"/>
  <c r="K1543" i="7"/>
  <c r="L1543" i="7"/>
  <c r="M1543" i="7"/>
  <c r="K1544" i="7"/>
  <c r="L1544" i="7"/>
  <c r="M1544" i="7"/>
  <c r="K1545" i="7"/>
  <c r="L1545" i="7"/>
  <c r="M1545" i="7"/>
  <c r="K1546" i="7"/>
  <c r="L1546" i="7"/>
  <c r="M1546" i="7"/>
  <c r="K1547" i="7"/>
  <c r="L1547" i="7"/>
  <c r="M1547" i="7"/>
  <c r="K1548" i="7"/>
  <c r="L1548" i="7"/>
  <c r="M1548" i="7"/>
  <c r="K1549" i="7"/>
  <c r="L1549" i="7"/>
  <c r="M1549" i="7"/>
  <c r="K1550" i="7"/>
  <c r="L1550" i="7"/>
  <c r="M1550" i="7"/>
  <c r="K1551" i="7"/>
  <c r="L1551" i="7"/>
  <c r="M1551" i="7"/>
  <c r="K1552" i="7"/>
  <c r="L1552" i="7"/>
  <c r="M1552" i="7"/>
  <c r="K1553" i="7"/>
  <c r="L1553" i="7"/>
  <c r="M1553" i="7"/>
  <c r="K1554" i="7"/>
  <c r="L1554" i="7"/>
  <c r="M1554" i="7"/>
  <c r="K1555" i="7"/>
  <c r="L1555" i="7"/>
  <c r="M1555" i="7"/>
  <c r="K1556" i="7"/>
  <c r="L1556" i="7"/>
  <c r="M1556" i="7"/>
  <c r="K1557" i="7"/>
  <c r="L1557" i="7"/>
  <c r="M1557" i="7"/>
  <c r="K1558" i="7"/>
  <c r="L1558" i="7"/>
  <c r="M1558" i="7"/>
  <c r="K1559" i="7"/>
  <c r="L1559" i="7"/>
  <c r="M1559" i="7"/>
  <c r="K1560" i="7"/>
  <c r="L1560" i="7"/>
  <c r="M1560" i="7"/>
  <c r="K1561" i="7"/>
  <c r="L1561" i="7"/>
  <c r="M1561" i="7"/>
  <c r="K1562" i="7"/>
  <c r="L1562" i="7"/>
  <c r="M1562" i="7"/>
  <c r="K1563" i="7"/>
  <c r="L1563" i="7"/>
  <c r="M1563" i="7"/>
  <c r="K1564" i="7"/>
  <c r="L1564" i="7"/>
  <c r="M1564" i="7"/>
  <c r="K1565" i="7"/>
  <c r="L1565" i="7"/>
  <c r="M1565" i="7"/>
  <c r="K1566" i="7"/>
  <c r="L1566" i="7"/>
  <c r="M1566" i="7"/>
  <c r="K1567" i="7"/>
  <c r="L1567" i="7"/>
  <c r="M1567" i="7"/>
  <c r="K1568" i="7"/>
  <c r="L1568" i="7"/>
  <c r="M1568" i="7"/>
  <c r="K1569" i="7"/>
  <c r="L1569" i="7"/>
  <c r="M1569" i="7"/>
  <c r="K1570" i="7"/>
  <c r="L1570" i="7"/>
  <c r="M1570" i="7"/>
  <c r="K1571" i="7"/>
  <c r="L1571" i="7"/>
  <c r="M1571" i="7"/>
  <c r="K1572" i="7"/>
  <c r="L1572" i="7"/>
  <c r="M1572" i="7"/>
  <c r="K1573" i="7"/>
  <c r="L1573" i="7"/>
  <c r="M1573" i="7"/>
  <c r="K1574" i="7"/>
  <c r="L1574" i="7"/>
  <c r="M1574" i="7"/>
  <c r="K1575" i="7"/>
  <c r="L1575" i="7"/>
  <c r="M1575" i="7"/>
  <c r="K1576" i="7"/>
  <c r="L1576" i="7"/>
  <c r="M1576" i="7"/>
  <c r="K1577" i="7"/>
  <c r="L1577" i="7"/>
  <c r="M1577" i="7"/>
  <c r="K1578" i="7"/>
  <c r="L1578" i="7"/>
  <c r="M1578" i="7"/>
  <c r="K1579" i="7"/>
  <c r="L1579" i="7"/>
  <c r="M1579" i="7"/>
  <c r="K1580" i="7"/>
  <c r="L1580" i="7"/>
  <c r="M1580" i="7"/>
  <c r="K1581" i="7"/>
  <c r="L1581" i="7"/>
  <c r="M1581" i="7"/>
  <c r="K1582" i="7"/>
  <c r="L1582" i="7"/>
  <c r="M1582" i="7"/>
  <c r="K1583" i="7"/>
  <c r="L1583" i="7"/>
  <c r="M1583" i="7"/>
  <c r="K1584" i="7"/>
  <c r="L1584" i="7"/>
  <c r="M1584" i="7"/>
  <c r="K1585" i="7"/>
  <c r="L1585" i="7"/>
  <c r="M1585" i="7"/>
  <c r="K1586" i="7"/>
  <c r="L1586" i="7"/>
  <c r="M1586" i="7"/>
  <c r="K1587" i="7"/>
  <c r="L1587" i="7"/>
  <c r="M1587" i="7"/>
  <c r="K1588" i="7"/>
  <c r="L1588" i="7"/>
  <c r="M1588" i="7"/>
  <c r="K1589" i="7"/>
  <c r="L1589" i="7"/>
  <c r="M1589" i="7"/>
  <c r="K1590" i="7"/>
  <c r="L1590" i="7"/>
  <c r="M1590" i="7"/>
  <c r="K1591" i="7"/>
  <c r="L1591" i="7"/>
  <c r="M1591" i="7"/>
  <c r="K1592" i="7"/>
  <c r="L1592" i="7"/>
  <c r="M1592" i="7"/>
  <c r="K1593" i="7"/>
  <c r="L1593" i="7"/>
  <c r="M1593" i="7"/>
  <c r="K1594" i="7"/>
  <c r="L1594" i="7"/>
  <c r="M1594" i="7"/>
  <c r="K1595" i="7"/>
  <c r="L1595" i="7"/>
  <c r="M1595" i="7"/>
  <c r="K1596" i="7"/>
  <c r="L1596" i="7"/>
  <c r="M1596" i="7"/>
  <c r="K1597" i="7"/>
  <c r="L1597" i="7"/>
  <c r="M1597" i="7"/>
  <c r="K1598" i="7"/>
  <c r="L1598" i="7"/>
  <c r="M1598" i="7"/>
  <c r="K1599" i="7"/>
  <c r="L1599" i="7"/>
  <c r="M1599" i="7"/>
  <c r="K1600" i="7"/>
  <c r="L1600" i="7"/>
  <c r="M1600" i="7"/>
  <c r="K1601" i="7"/>
  <c r="L1601" i="7"/>
  <c r="M1601" i="7"/>
  <c r="K1602" i="7"/>
  <c r="L1602" i="7"/>
  <c r="M1602" i="7"/>
  <c r="K1603" i="7"/>
  <c r="L1603" i="7"/>
  <c r="M1603" i="7"/>
  <c r="K1604" i="7"/>
  <c r="L1604" i="7"/>
  <c r="M1604" i="7"/>
  <c r="K1605" i="7"/>
  <c r="L1605" i="7"/>
  <c r="M1605" i="7"/>
  <c r="K1606" i="7"/>
  <c r="L1606" i="7"/>
  <c r="M1606" i="7"/>
  <c r="K1607" i="7"/>
  <c r="L1607" i="7"/>
  <c r="M1607" i="7"/>
  <c r="K1608" i="7"/>
  <c r="L1608" i="7"/>
  <c r="M1608" i="7"/>
  <c r="K1609" i="7"/>
  <c r="L1609" i="7"/>
  <c r="M1609" i="7"/>
  <c r="K1610" i="7"/>
  <c r="L1610" i="7"/>
  <c r="M1610" i="7"/>
  <c r="K1611" i="7"/>
  <c r="L1611" i="7"/>
  <c r="M1611" i="7"/>
  <c r="K1612" i="7"/>
  <c r="L1612" i="7"/>
  <c r="M1612" i="7"/>
  <c r="K1613" i="7"/>
  <c r="L1613" i="7"/>
  <c r="M1613" i="7"/>
  <c r="K1614" i="7"/>
  <c r="L1614" i="7"/>
  <c r="M1614" i="7"/>
  <c r="K1615" i="7"/>
  <c r="L1615" i="7"/>
  <c r="M1615" i="7"/>
  <c r="K1616" i="7"/>
  <c r="L1616" i="7"/>
  <c r="M1616" i="7"/>
  <c r="K4" i="7"/>
  <c r="L4" i="7"/>
  <c r="M4" i="7"/>
  <c r="K5" i="7"/>
  <c r="L5" i="7"/>
  <c r="M5" i="7"/>
  <c r="K6" i="7"/>
  <c r="L6" i="7"/>
  <c r="M6" i="7"/>
  <c r="K7" i="7"/>
  <c r="L7" i="7"/>
  <c r="M7" i="7"/>
  <c r="K8" i="7"/>
  <c r="L8" i="7"/>
  <c r="M8" i="7"/>
  <c r="K9" i="7"/>
  <c r="L9" i="7"/>
  <c r="M9" i="7"/>
  <c r="K10" i="7"/>
  <c r="L10" i="7"/>
  <c r="M10" i="7"/>
  <c r="K11" i="7"/>
  <c r="L11" i="7"/>
  <c r="M11" i="7"/>
  <c r="K12" i="7"/>
  <c r="L12" i="7"/>
  <c r="M12" i="7"/>
  <c r="K13" i="7"/>
  <c r="L13" i="7"/>
  <c r="M13" i="7"/>
  <c r="L3" i="7"/>
  <c r="M3" i="7"/>
  <c r="K3" i="7"/>
  <c r="AB22" i="7" l="1"/>
  <c r="T6" i="7"/>
  <c r="S7" i="7"/>
  <c r="V5" i="7"/>
  <c r="S6" i="7"/>
  <c r="R21" i="7"/>
  <c r="U22" i="7"/>
  <c r="Y20" i="7"/>
  <c r="U19" i="7"/>
  <c r="Y17" i="7"/>
  <c r="U16" i="7"/>
  <c r="Y14" i="7"/>
  <c r="AB21" i="7"/>
  <c r="U5" i="7"/>
  <c r="R7" i="7"/>
  <c r="R20" i="7"/>
  <c r="T22" i="7"/>
  <c r="X20" i="7"/>
  <c r="T19" i="7"/>
  <c r="X17" i="7"/>
  <c r="T16" i="7"/>
  <c r="X14" i="7"/>
  <c r="AB20" i="7"/>
  <c r="T5" i="7"/>
  <c r="Z7" i="7"/>
  <c r="R19" i="7"/>
  <c r="S22" i="7"/>
  <c r="S38" i="7" s="1"/>
  <c r="W20" i="7"/>
  <c r="S19" i="7"/>
  <c r="W17" i="7"/>
  <c r="S16" i="7"/>
  <c r="W14" i="7"/>
  <c r="AB19" i="7"/>
  <c r="S5" i="7"/>
  <c r="Y7" i="7"/>
  <c r="R18" i="7"/>
  <c r="Z21" i="7"/>
  <c r="V20" i="7"/>
  <c r="Z18" i="7"/>
  <c r="V17" i="7"/>
  <c r="Z15" i="7"/>
  <c r="V14" i="7"/>
  <c r="AB18" i="7"/>
  <c r="R6" i="7"/>
  <c r="X7" i="7"/>
  <c r="R17" i="7"/>
  <c r="Y21" i="7"/>
  <c r="U20" i="7"/>
  <c r="Y18" i="7"/>
  <c r="U17" i="7"/>
  <c r="U33" i="7" s="1"/>
  <c r="Y15" i="7"/>
  <c r="U14" i="7"/>
  <c r="U30" i="7" s="1"/>
  <c r="AB17" i="7"/>
  <c r="Z6" i="7"/>
  <c r="W7" i="7"/>
  <c r="R16" i="7"/>
  <c r="X21" i="7"/>
  <c r="T20" i="7"/>
  <c r="X18" i="7"/>
  <c r="T17" i="7"/>
  <c r="T33" i="7" s="1"/>
  <c r="X15" i="7"/>
  <c r="T14" i="7"/>
  <c r="AB16" i="7"/>
  <c r="Y6" i="7"/>
  <c r="V7" i="7"/>
  <c r="R15" i="7"/>
  <c r="W21" i="7"/>
  <c r="S20" i="7"/>
  <c r="S36" i="7" s="1"/>
  <c r="W18" i="7"/>
  <c r="S17" i="7"/>
  <c r="S33" i="7" s="1"/>
  <c r="W15" i="7"/>
  <c r="S14" i="7"/>
  <c r="S30" i="7" s="1"/>
  <c r="AB15" i="7"/>
  <c r="R5" i="7"/>
  <c r="X6" i="7"/>
  <c r="U7" i="7"/>
  <c r="Z22" i="7"/>
  <c r="V21" i="7"/>
  <c r="Z19" i="7"/>
  <c r="V18" i="7"/>
  <c r="Z16" i="7"/>
  <c r="V15" i="7"/>
  <c r="Z5" i="7"/>
  <c r="W6" i="7"/>
  <c r="T7" i="7"/>
  <c r="Y22" i="7"/>
  <c r="U21" i="7"/>
  <c r="Y19" i="7"/>
  <c r="U18" i="7"/>
  <c r="Y16" i="7"/>
  <c r="U15" i="7"/>
  <c r="Y5" i="7"/>
  <c r="V6" i="7"/>
  <c r="X22" i="7"/>
  <c r="T21" i="7"/>
  <c r="X19" i="7"/>
  <c r="T18" i="7"/>
  <c r="T34" i="7" s="1"/>
  <c r="X16" i="7"/>
  <c r="T15" i="7"/>
  <c r="T31" i="7" s="1"/>
  <c r="X5" i="7"/>
  <c r="U6" i="7"/>
  <c r="R14" i="7"/>
  <c r="W22" i="7"/>
  <c r="S21" i="7"/>
  <c r="S37" i="7" s="1"/>
  <c r="W19" i="7"/>
  <c r="S18" i="7"/>
  <c r="S34" i="7" s="1"/>
  <c r="W16" i="7"/>
  <c r="S15" i="7"/>
  <c r="S31" i="7" s="1"/>
  <c r="AB14" i="7"/>
  <c r="W5" i="7"/>
  <c r="R22" i="7"/>
  <c r="V22" i="7"/>
  <c r="Z20" i="7"/>
  <c r="V19" i="7"/>
  <c r="Z17" i="7"/>
  <c r="V16" i="7"/>
  <c r="Z14" i="7"/>
  <c r="T37" i="7" l="1"/>
  <c r="T30" i="7"/>
  <c r="V33" i="7"/>
  <c r="W36" i="7"/>
  <c r="R36" i="7"/>
  <c r="R38" i="7"/>
  <c r="U37" i="7"/>
  <c r="AI19" i="7" a="1"/>
  <c r="AI19" i="7" s="1"/>
  <c r="R35" i="7"/>
  <c r="X32" i="7"/>
  <c r="U36" i="7"/>
  <c r="R34" i="7"/>
  <c r="W32" i="7"/>
  <c r="W31" i="7"/>
  <c r="X34" i="7"/>
  <c r="U32" i="7"/>
  <c r="X38" i="7"/>
  <c r="V31" i="7"/>
  <c r="T36" i="7"/>
  <c r="R33" i="7"/>
  <c r="X30" i="7"/>
  <c r="V36" i="7"/>
  <c r="W35" i="7"/>
  <c r="W34" i="7"/>
  <c r="X37" i="7"/>
  <c r="T32" i="7"/>
  <c r="U35" i="7"/>
  <c r="X35" i="7"/>
  <c r="V32" i="7"/>
  <c r="V34" i="7"/>
  <c r="R32" i="7"/>
  <c r="AH19" i="7" a="1"/>
  <c r="AH19" i="7" s="1"/>
  <c r="W30" i="7"/>
  <c r="X33" i="7"/>
  <c r="AG19" i="7" a="1"/>
  <c r="AG19" i="7" s="1"/>
  <c r="AG4" i="7" a="1"/>
  <c r="U31" i="7"/>
  <c r="W37" i="7"/>
  <c r="S32" i="7"/>
  <c r="T35" i="7"/>
  <c r="U38" i="7"/>
  <c r="V38" i="7"/>
  <c r="X31" i="7"/>
  <c r="V35" i="7"/>
  <c r="R30" i="7"/>
  <c r="AP18" i="7" s="1" a="1"/>
  <c r="V37" i="7"/>
  <c r="R31" i="7"/>
  <c r="V30" i="7"/>
  <c r="W33" i="7"/>
  <c r="X36" i="7"/>
  <c r="R37" i="7"/>
  <c r="W38" i="7"/>
  <c r="U34" i="7"/>
  <c r="S35" i="7"/>
  <c r="T38" i="7"/>
  <c r="AP18" i="7" l="1"/>
  <c r="AP30" i="7" s="1" a="1"/>
  <c r="AG4" i="7"/>
  <c r="AH4" i="7" a="1"/>
  <c r="AP30" i="7" l="1"/>
  <c r="AQ42" i="7" a="1"/>
  <c r="AQ42" i="7" s="1"/>
  <c r="AH4" i="7"/>
  <c r="AI4" i="7" s="1" a="1"/>
  <c r="AK20" i="7" l="1"/>
  <c r="AK21" i="7"/>
  <c r="AK22" i="7"/>
  <c r="AK23" i="7"/>
  <c r="AK24" i="7"/>
  <c r="AK25" i="7"/>
  <c r="AK26" i="7"/>
  <c r="AI4" i="7"/>
  <c r="AK19" i="7" l="1"/>
  <c r="AL19" i="7" s="1"/>
  <c r="AJ4" i="7" a="1"/>
  <c r="AJ4" i="7" s="1"/>
  <c r="AK4" i="7" s="1" a="1"/>
  <c r="AK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<sst xmlns="http://schemas.openxmlformats.org/spreadsheetml/2006/main" count="1881" uniqueCount="114">
  <si>
    <t>Ocotea pulchella</t>
  </si>
  <si>
    <t>Myrsine coriacea</t>
  </si>
  <si>
    <t>Lithraea brasiliensis</t>
  </si>
  <si>
    <t>Gymnanthes klotzschiana</t>
  </si>
  <si>
    <t>Duranta vestita</t>
  </si>
  <si>
    <t>Schinus terebinthifolia</t>
  </si>
  <si>
    <t>Allophylus edulis</t>
  </si>
  <si>
    <t>Ocotea puberula</t>
  </si>
  <si>
    <t>Luehea divaricata</t>
  </si>
  <si>
    <t>Dahlstedtia floribunda</t>
  </si>
  <si>
    <t>Casearia obliqua</t>
  </si>
  <si>
    <t>Matayba elaeagnoides</t>
  </si>
  <si>
    <t>Casearia sylvestris</t>
  </si>
  <si>
    <t>Machaerium paraguariense</t>
  </si>
  <si>
    <t>Ocotea nutans</t>
  </si>
  <si>
    <t>Solanum sanctaecatharinae</t>
  </si>
  <si>
    <t>Blepharocalyx salicifolius</t>
  </si>
  <si>
    <t>Hovenia dulcis</t>
  </si>
  <si>
    <t>NI</t>
  </si>
  <si>
    <t>Symplocos uniflora</t>
  </si>
  <si>
    <t>Prunus brasiliensis</t>
  </si>
  <si>
    <t>Calyptranthes concinna</t>
  </si>
  <si>
    <t>Xylosma pseudosalzmanii</t>
  </si>
  <si>
    <t>Campomanesia xanthocarpa</t>
  </si>
  <si>
    <t>Nectandra lanceolata</t>
  </si>
  <si>
    <t>Jacaranda puberula</t>
  </si>
  <si>
    <t>Araucaria angustifolia</t>
  </si>
  <si>
    <t>Myrcia splendens</t>
  </si>
  <si>
    <t>Myrcia hatschbachii</t>
  </si>
  <si>
    <t>Celtis iguanaea</t>
  </si>
  <si>
    <t>Styrax leprosus</t>
  </si>
  <si>
    <t>Citronella paniculata</t>
  </si>
  <si>
    <t>Solanum pseudoquina</t>
  </si>
  <si>
    <t>Cinnamodendron dinisii</t>
  </si>
  <si>
    <t>Eugenia chlorophylla</t>
  </si>
  <si>
    <t>Dalbergia frutescens</t>
  </si>
  <si>
    <t>Zanthoxylum petiolare</t>
  </si>
  <si>
    <t>Sapium glandulosum</t>
  </si>
  <si>
    <t>Picramnia parvifolia</t>
  </si>
  <si>
    <t>Ocotea bicolor</t>
  </si>
  <si>
    <t>Allophylus semidentatus</t>
  </si>
  <si>
    <t>Clethra scabra</t>
  </si>
  <si>
    <t>Eugenia uniflora</t>
  </si>
  <si>
    <t>Lamanonia ternata</t>
  </si>
  <si>
    <t>Cupania vernalis</t>
  </si>
  <si>
    <t>Casearia decandra</t>
  </si>
  <si>
    <t>Symplocos tetrandra</t>
  </si>
  <si>
    <t>Cryptocarya aschersoniana</t>
  </si>
  <si>
    <t>Oreopanax fulvus</t>
  </si>
  <si>
    <t>Annona rugulosa</t>
  </si>
  <si>
    <t>Sloanea monosperma</t>
  </si>
  <si>
    <t>Myrsine gardneriana</t>
  </si>
  <si>
    <t>Roupala montana</t>
  </si>
  <si>
    <t>Myrceugenia acutiflora</t>
  </si>
  <si>
    <t>Campomanesia guazumifolia</t>
  </si>
  <si>
    <t>Zanthoxylum rhoifolium</t>
  </si>
  <si>
    <t>Picrasma crenata</t>
  </si>
  <si>
    <t>Coutarea hexandra</t>
  </si>
  <si>
    <t>Campomanesia guaviroba</t>
  </si>
  <si>
    <t>Mollinedia clavigera</t>
  </si>
  <si>
    <t>Zanthoxylum kleinii</t>
  </si>
  <si>
    <t>Nectandra megapotamica</t>
  </si>
  <si>
    <t>Cinnamomum sellowianum</t>
  </si>
  <si>
    <t>Piptocarpha axillaris</t>
  </si>
  <si>
    <t>Scutia buxifolia</t>
  </si>
  <si>
    <t>Cedrela fissilis</t>
  </si>
  <si>
    <t>Lonchocarpus nitidus</t>
  </si>
  <si>
    <t>Solanum</t>
  </si>
  <si>
    <t>Machaerium stipitatum</t>
  </si>
  <si>
    <t>Machaerium brasiliense</t>
  </si>
  <si>
    <t>Eugenia involucrata</t>
  </si>
  <si>
    <t>Eriobotrya japonica</t>
  </si>
  <si>
    <t>Erythrina falcata</t>
  </si>
  <si>
    <t>Banara parvifolia</t>
  </si>
  <si>
    <t>Casearia lasiophylla</t>
  </si>
  <si>
    <t>Moquiniastrum polymorphum</t>
  </si>
  <si>
    <t>Ilex brevicuspis</t>
  </si>
  <si>
    <t>Dalbergia brasiliensis</t>
  </si>
  <si>
    <t>Ilex dumosa</t>
  </si>
  <si>
    <t>Eugenia sp,</t>
  </si>
  <si>
    <t>Dasyphyllum tomentosum</t>
  </si>
  <si>
    <t>Lafoensia pacari</t>
  </si>
  <si>
    <t>Erythroxylum deciduum</t>
  </si>
  <si>
    <t>Myrcia palustris</t>
  </si>
  <si>
    <t>Drimys brasiliensis</t>
  </si>
  <si>
    <t>Monteverdia evonymoides</t>
  </si>
  <si>
    <t>Senna multijuga</t>
  </si>
  <si>
    <t>Classe</t>
  </si>
  <si>
    <t>Classe 2006</t>
  </si>
  <si>
    <t>Morta</t>
  </si>
  <si>
    <t>Classe 2009</t>
  </si>
  <si>
    <t>Classe 2012</t>
  </si>
  <si>
    <t>Y1</t>
  </si>
  <si>
    <t>Y2</t>
  </si>
  <si>
    <t>Y3</t>
  </si>
  <si>
    <t>Espécie</t>
  </si>
  <si>
    <t>CAP 2006</t>
  </si>
  <si>
    <t>CAP 2009</t>
  </si>
  <si>
    <t>CAP 2012</t>
  </si>
  <si>
    <t>DAP 2006</t>
  </si>
  <si>
    <t>DAP 2009</t>
  </si>
  <si>
    <t>DAP 2012</t>
  </si>
  <si>
    <t>LS</t>
  </si>
  <si>
    <t>Frequências Observadas</t>
  </si>
  <si>
    <t>Matriz de Transições 2006-2009 (Mudanças Absolutas)</t>
  </si>
  <si>
    <t>Matriz de Transições 2006-2009 (Probabilidades)</t>
  </si>
  <si>
    <t>Ingresso</t>
  </si>
  <si>
    <t>Prognoses</t>
  </si>
  <si>
    <t>Resíduo</t>
  </si>
  <si>
    <t>RQME</t>
  </si>
  <si>
    <t>Inversa</t>
  </si>
  <si>
    <t xml:space="preserve">Yeq = </t>
  </si>
  <si>
    <t>Id - M</t>
  </si>
  <si>
    <t>Matriz Identidade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</si>
</sst>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0" borderId="11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0" borderId="17" xfId="0" applyFill="1" applyBorder="1" applyAlignment="1">
      <alignment horizontal="center" vertical="center"/>
    </xf>
    <xf numFmtId="0" fontId="0" fillId="40" borderId="19" xfId="0" applyFill="1" applyBorder="1" applyAlignment="1">
      <alignment horizontal="center" vertical="center"/>
    </xf>
    <xf numFmtId="0" fontId="0" fillId="40" borderId="18" xfId="0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0" fontId="16" fillId="41" borderId="0" xfId="0" applyFont="1" applyFill="1" applyAlignment="1">
      <alignment horizontal="center"/>
    </xf>
    <xf numFmtId="0" fontId="16" fillId="41" borderId="10" xfId="0" applyFont="1" applyFill="1" applyBorder="1" applyAlignment="1">
      <alignment horizontal="left" vertical="center"/>
    </xf>
    <xf numFmtId="0" fontId="16" fillId="41" borderId="0" xfId="0" applyFont="1" applyFill="1" applyAlignment="1">
      <alignment horizontal="center" vertical="center"/>
    </xf>
    <xf numFmtId="0" fontId="16" fillId="41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0" fillId="40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</a:t>
            </a:r>
            <a:r>
              <a:rPr lang="pt-BR" baseline="0"/>
              <a:t> de Resíduos nas Classes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Planilha6!$AF$19:$AF$26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Planilha6!$AK$19:$AK$26</c:f>
              <c:numCache>
                <c:formatCode>0</c:formatCode>
                <c:ptCount val="8"/>
                <c:pt idx="0">
                  <c:v>-43.580152671755741</c:v>
                </c:pt>
                <c:pt idx="1">
                  <c:v>-25.359362118989736</c:v>
                </c:pt>
                <c:pt idx="2">
                  <c:v>-1.6405329593267908</c:v>
                </c:pt>
                <c:pt idx="3">
                  <c:v>4.2903225806451601</c:v>
                </c:pt>
                <c:pt idx="4">
                  <c:v>0.67647058823529704</c:v>
                </c:pt>
                <c:pt idx="5">
                  <c:v>-7.0712074303405572</c:v>
                </c:pt>
                <c:pt idx="6">
                  <c:v>5.8947368421052637</c:v>
                </c:pt>
                <c:pt idx="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7-40A5-B604-EEB65339A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567567"/>
        <c:axId val="1047566127"/>
      </c:scatterChart>
      <c:valAx>
        <c:axId val="104756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566127"/>
        <c:crosses val="autoZero"/>
        <c:crossBetween val="midCat"/>
      </c:valAx>
      <c:valAx>
        <c:axId val="1047566127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56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247650</xdr:colOff>
      <xdr:row>29</xdr:row>
      <xdr:rowOff>952</xdr:rowOff>
    </xdr:from>
    <xdr:to>
      <xdr:col>37</xdr:col>
      <xdr:colOff>552450</xdr:colOff>
      <xdr:row>44</xdr:row>
      <xdr:rowOff>27622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B4ABE9-31A8-B156-6425-E09F6B732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43</xdr:col>
      <xdr:colOff>209550</xdr:colOff>
      <xdr:row>1</xdr:row>
      <xdr:rowOff>86677</xdr:rowOff>
    </xdr:from>
    <xdr:ext cx="1832425" cy="269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FCCEC360-4A64-3BC4-3D84-050F32A0C1EA}"/>
                </a:ext>
              </a:extLst>
            </xdr:cNvPr>
            <xdr:cNvSpPr txBox="1"/>
          </xdr:nvSpPr>
          <xdr:spPr>
            <a:xfrm>
              <a:off x="28936950" y="267652"/>
              <a:ext cx="1832425" cy="269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𝑒𝑞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𝐼𝑑</m:t>
                            </m:r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</m:d>
                      </m:e>
                      <m:sup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pt-BR" sz="1600" b="0" i="1">
                        <a:latin typeface="Cambria Math" panose="02040503050406030204" pitchFamily="18" charset="0"/>
                      </a:rPr>
                      <m:t> . 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𝐼</m:t>
                    </m:r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FCCEC360-4A64-3BC4-3D84-050F32A0C1EA}"/>
                </a:ext>
              </a:extLst>
            </xdr:cNvPr>
            <xdr:cNvSpPr txBox="1"/>
          </xdr:nvSpPr>
          <xdr:spPr>
            <a:xfrm>
              <a:off x="28936950" y="267652"/>
              <a:ext cx="1832425" cy="269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600" b="0" i="0">
                  <a:latin typeface="Cambria Math" panose="02040503050406030204" pitchFamily="18" charset="0"/>
                </a:rPr>
                <a:t>𝑌_𝑒𝑞=(𝐼𝑑 −𝑀)^(−1)  . 𝐼</a:t>
              </a:r>
              <a:endParaRPr lang="pt-BR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347F-9D5A-4A08-B254-16B30302BA0C}">
  <dimension ref="B2:C12"/>
  <sheetViews>
    <sheetView showGridLines="0" workbookViewId="0">
      <selection activeCell="C14" sqref="C14"/>
    </sheetView>
  </sheetViews>
  <sheetFormatPr defaultRowHeight="15" x14ac:dyDescent="0.25"/>
  <sheetData>
    <row r="2" spans="2:3" x14ac:dyDescent="0.25">
      <c r="B2" s="6" t="s">
        <v>102</v>
      </c>
      <c r="C2" s="6" t="s">
        <v>87</v>
      </c>
    </row>
    <row r="3" spans="2:3" x14ac:dyDescent="0.25">
      <c r="B3" s="1">
        <v>20</v>
      </c>
      <c r="C3" s="1">
        <v>1</v>
      </c>
    </row>
    <row r="4" spans="2:3" x14ac:dyDescent="0.25">
      <c r="B4" s="1">
        <v>30</v>
      </c>
      <c r="C4" s="1">
        <v>2</v>
      </c>
    </row>
    <row r="5" spans="2:3" x14ac:dyDescent="0.25">
      <c r="B5" s="1">
        <v>40</v>
      </c>
      <c r="C5" s="1">
        <v>3</v>
      </c>
    </row>
    <row r="6" spans="2:3" x14ac:dyDescent="0.25">
      <c r="B6" s="1">
        <v>50</v>
      </c>
      <c r="C6" s="1">
        <v>4</v>
      </c>
    </row>
    <row r="7" spans="2:3" x14ac:dyDescent="0.25">
      <c r="B7" s="1">
        <v>60</v>
      </c>
      <c r="C7" s="1">
        <v>5</v>
      </c>
    </row>
    <row r="8" spans="2:3" x14ac:dyDescent="0.25">
      <c r="B8" s="1">
        <v>70</v>
      </c>
      <c r="C8" s="1">
        <v>6</v>
      </c>
    </row>
    <row r="9" spans="2:3" x14ac:dyDescent="0.25">
      <c r="B9" s="1">
        <v>80</v>
      </c>
      <c r="C9" s="1">
        <v>7</v>
      </c>
    </row>
    <row r="10" spans="2:3" x14ac:dyDescent="0.25">
      <c r="B10" s="1">
        <v>90</v>
      </c>
      <c r="C10" s="1">
        <v>8</v>
      </c>
    </row>
    <row r="11" spans="2:3" x14ac:dyDescent="0.25">
      <c r="B11" s="1">
        <v>100</v>
      </c>
      <c r="C11" s="1">
        <v>9</v>
      </c>
    </row>
    <row r="12" spans="2:3" x14ac:dyDescent="0.25">
      <c r="B12" s="6">
        <v>0</v>
      </c>
      <c r="C12" s="6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CE30-4073-4FB3-963C-1F0EF54D382D}">
  <dimension ref="B2:AX1850"/>
  <sheetViews>
    <sheetView showGridLines="0" tabSelected="1" topLeftCell="Z13" workbookViewId="0">
      <selection activeCell="AP29" sqref="AP29:AQ29"/>
    </sheetView>
  </sheetViews>
  <sheetFormatPr defaultRowHeight="15" x14ac:dyDescent="0.25"/>
  <cols>
    <col min="2" max="2" width="24.28515625" style="1" customWidth="1"/>
    <col min="3" max="5" width="8.85546875" style="1"/>
    <col min="6" max="6" width="10" style="1" bestFit="1" customWidth="1"/>
    <col min="7" max="10" width="8.85546875" style="1"/>
    <col min="11" max="11" width="12.28515625" style="1" customWidth="1"/>
    <col min="12" max="12" width="13.85546875" style="1" customWidth="1"/>
    <col min="13" max="13" width="12.5703125" style="1" customWidth="1"/>
    <col min="14" max="16" width="8.85546875" style="1"/>
    <col min="17" max="17" width="12" style="1" bestFit="1" customWidth="1"/>
    <col min="18" max="26" width="8.85546875" style="1"/>
    <col min="27" max="27" width="11" style="1" bestFit="1" customWidth="1"/>
    <col min="28" max="28" width="11.7109375" style="1" customWidth="1"/>
    <col min="29" max="30" width="8.85546875" style="1"/>
  </cols>
  <sheetData>
    <row r="2" spans="2:50" x14ac:dyDescent="0.25">
      <c r="B2" s="14" t="s">
        <v>95</v>
      </c>
      <c r="C2" s="12" t="s">
        <v>96</v>
      </c>
      <c r="D2" s="12" t="s">
        <v>97</v>
      </c>
      <c r="E2" s="13" t="s">
        <v>98</v>
      </c>
      <c r="F2" s="12" t="s">
        <v>99</v>
      </c>
      <c r="G2" s="12" t="s">
        <v>100</v>
      </c>
      <c r="H2" s="13" t="s">
        <v>101</v>
      </c>
      <c r="K2" s="8" t="s">
        <v>88</v>
      </c>
      <c r="L2" s="8" t="s">
        <v>90</v>
      </c>
      <c r="M2" s="8" t="s">
        <v>91</v>
      </c>
      <c r="Q2" s="37" t="s">
        <v>103</v>
      </c>
      <c r="R2" s="37"/>
      <c r="S2" s="37"/>
      <c r="T2" s="37"/>
      <c r="U2" s="37"/>
      <c r="V2" s="37"/>
      <c r="W2" s="37"/>
      <c r="X2" s="37"/>
      <c r="Y2" s="37"/>
      <c r="Z2" s="37"/>
      <c r="AF2" s="35" t="s">
        <v>107</v>
      </c>
      <c r="AG2" s="35"/>
      <c r="AH2" s="35"/>
      <c r="AI2" s="35"/>
      <c r="AJ2" s="35"/>
      <c r="AK2" s="35"/>
    </row>
    <row r="3" spans="2:50" x14ac:dyDescent="0.25">
      <c r="B3" s="15" t="s">
        <v>0</v>
      </c>
      <c r="C3" s="9">
        <v>44.2</v>
      </c>
      <c r="D3" s="9">
        <v>0</v>
      </c>
      <c r="E3" s="10">
        <v>0</v>
      </c>
      <c r="F3" s="9">
        <f>IF(C3="", "", C3/PI())</f>
        <v>14.069296969323549</v>
      </c>
      <c r="G3" s="9">
        <f t="shared" ref="G3:H3" si="0">IF(D3="", "", D3/PI())</f>
        <v>0</v>
      </c>
      <c r="H3" s="10">
        <f t="shared" si="0"/>
        <v>0</v>
      </c>
      <c r="K3" s="11">
        <f>_xlfn.XLOOKUP(F3,Ref!$B$3:$B$12,Ref!$C$3:$C$12,"",1)</f>
        <v>1</v>
      </c>
      <c r="L3" s="11" t="str">
        <f>_xlfn.XLOOKUP(G3,Ref!$B$3:$B$12,Ref!$C$3:$C$12,"",1)</f>
        <v>Morta</v>
      </c>
      <c r="M3" s="11" t="str">
        <f>_xlfn.XLOOKUP(H3,Ref!$B$3:$B$12,Ref!$C$3:$C$12,"",1)</f>
        <v>Morta</v>
      </c>
      <c r="Q3" s="16"/>
      <c r="R3" s="38" t="s">
        <v>87</v>
      </c>
      <c r="S3" s="38"/>
      <c r="T3" s="38"/>
      <c r="U3" s="38"/>
      <c r="V3" s="38"/>
      <c r="W3" s="38"/>
      <c r="X3" s="38"/>
      <c r="Y3" s="38"/>
      <c r="Z3" s="38"/>
      <c r="AF3" s="22" t="s">
        <v>87</v>
      </c>
      <c r="AG3" s="6">
        <v>2006</v>
      </c>
      <c r="AH3" s="6">
        <v>2009</v>
      </c>
      <c r="AI3" s="6">
        <v>2012</v>
      </c>
      <c r="AJ3" s="6">
        <v>2015</v>
      </c>
      <c r="AK3" s="6">
        <v>2018</v>
      </c>
    </row>
    <row r="4" spans="2:50" x14ac:dyDescent="0.25">
      <c r="B4" s="15" t="s">
        <v>1</v>
      </c>
      <c r="C4" s="9">
        <v>87.1</v>
      </c>
      <c r="D4" s="9">
        <v>94.6</v>
      </c>
      <c r="E4" s="10">
        <v>101.5</v>
      </c>
      <c r="F4" s="9">
        <f t="shared" ref="F4:F14" si="1">IF(C4="", "", C4/PI())</f>
        <v>27.724791086608167</v>
      </c>
      <c r="G4" s="9">
        <f t="shared" ref="G4:G14" si="2">IF(D4="", "", D4/PI())</f>
        <v>30.112115232986596</v>
      </c>
      <c r="H4" s="10">
        <f t="shared" ref="H4:H14" si="3">IF(E4="", "", E4/PI())</f>
        <v>32.308453447654756</v>
      </c>
      <c r="K4" s="11">
        <f>_xlfn.XLOOKUP(F4,Ref!$B$3:$B$12,Ref!$C$3:$C$12,"",1)</f>
        <v>2</v>
      </c>
      <c r="L4" s="11">
        <f>_xlfn.XLOOKUP(G4,Ref!$B$3:$B$12,Ref!$C$3:$C$12,"",1)</f>
        <v>3</v>
      </c>
      <c r="M4" s="11">
        <f>_xlfn.XLOOKUP(H4,Ref!$B$3:$B$12,Ref!$C$3:$C$12,"",1)</f>
        <v>3</v>
      </c>
      <c r="Q4" s="16"/>
      <c r="R4" s="17">
        <v>1</v>
      </c>
      <c r="S4" s="17">
        <v>2</v>
      </c>
      <c r="T4" s="17">
        <v>3</v>
      </c>
      <c r="U4" s="17">
        <v>4</v>
      </c>
      <c r="V4" s="17">
        <v>5</v>
      </c>
      <c r="W4" s="17">
        <v>6</v>
      </c>
      <c r="X4" s="17">
        <v>7</v>
      </c>
      <c r="Y4" s="17">
        <v>8</v>
      </c>
      <c r="Z4" s="17">
        <v>9</v>
      </c>
      <c r="AF4" s="7">
        <v>1</v>
      </c>
      <c r="AG4" s="2" cm="1">
        <f t="array" ref="AG4:AG12">TRANSPOSE($R$5:$Z$5)</f>
        <v>1310</v>
      </c>
      <c r="AH4" s="2" cm="1">
        <f t="array" ref="AH4:AH12">MMULT($R$30:$Z$38,_xlfn.ANCHORARRAY(AG$4)) + $AB$14:$AB$22</f>
        <v>1315</v>
      </c>
      <c r="AI4" s="2" cm="1">
        <f t="array" ref="AI4:AI12">MMULT($R$30:$Z$38,_xlfn.ANCHORARRAY(AH$4)) + $AB$14:$AB$22</f>
        <v>1319.5801526717557</v>
      </c>
      <c r="AJ4" s="2" cm="1">
        <f t="array" ref="AJ4:AJ12">MMULT($R$30:$Z$38,_xlfn.ANCHORARRAY(AI$4)) + $AB$14:$AB$22</f>
        <v>1323.775712371074</v>
      </c>
      <c r="AK4" s="2" cm="1">
        <f t="array" ref="AK4:AK12">MMULT($R$30:$Z$38,_xlfn.ANCHORARRAY(AJ$4)) + $AB$14:$AB$22</f>
        <v>1327.6189731643426</v>
      </c>
    </row>
    <row r="5" spans="2:50" x14ac:dyDescent="0.25">
      <c r="B5" s="15" t="s">
        <v>2</v>
      </c>
      <c r="C5" s="9">
        <v>74.599999999999994</v>
      </c>
      <c r="D5" s="9">
        <v>81.2</v>
      </c>
      <c r="E5" s="10">
        <v>85.1</v>
      </c>
      <c r="F5" s="9">
        <f t="shared" si="1"/>
        <v>23.745917509310782</v>
      </c>
      <c r="G5" s="9">
        <f t="shared" si="2"/>
        <v>25.846762758123806</v>
      </c>
      <c r="H5" s="10">
        <f t="shared" si="3"/>
        <v>27.088171314240586</v>
      </c>
      <c r="K5" s="11">
        <f>_xlfn.XLOOKUP(F5,Ref!$B$3:$B$12,Ref!$C$3:$C$12,"",1)</f>
        <v>2</v>
      </c>
      <c r="L5" s="11">
        <f>_xlfn.XLOOKUP(G5,Ref!$B$3:$B$12,Ref!$C$3:$C$12,"",1)</f>
        <v>2</v>
      </c>
      <c r="M5" s="11">
        <f>_xlfn.XLOOKUP(H5,Ref!$B$3:$B$12,Ref!$C$3:$C$12,"",1)</f>
        <v>2</v>
      </c>
      <c r="Q5" s="16" t="s">
        <v>92</v>
      </c>
      <c r="R5" s="16">
        <f>COUNTIF($K$3:$K$1850,R$4)</f>
        <v>1310</v>
      </c>
      <c r="S5" s="16">
        <f t="shared" ref="S5:Z5" si="4">COUNTIF($K$3:$K$1850,S$4)</f>
        <v>230</v>
      </c>
      <c r="T5" s="16">
        <f t="shared" si="4"/>
        <v>62</v>
      </c>
      <c r="U5" s="16">
        <f t="shared" si="4"/>
        <v>24</v>
      </c>
      <c r="V5" s="16">
        <f t="shared" si="4"/>
        <v>17</v>
      </c>
      <c r="W5" s="16">
        <f t="shared" si="4"/>
        <v>19</v>
      </c>
      <c r="X5" s="16">
        <f t="shared" si="4"/>
        <v>3</v>
      </c>
      <c r="Y5" s="16">
        <f t="shared" si="4"/>
        <v>0</v>
      </c>
      <c r="Z5" s="16">
        <f t="shared" si="4"/>
        <v>0</v>
      </c>
      <c r="AF5" s="7">
        <v>2</v>
      </c>
      <c r="AG5" s="2">
        <v>230</v>
      </c>
      <c r="AH5" s="2">
        <v>277</v>
      </c>
      <c r="AI5" s="2">
        <v>320.35936211898974</v>
      </c>
      <c r="AJ5" s="2">
        <v>360.41738216838382</v>
      </c>
      <c r="AK5" s="2">
        <v>397.47937486583186</v>
      </c>
      <c r="AP5" s="32" t="s">
        <v>113</v>
      </c>
      <c r="AQ5" s="32"/>
    </row>
    <row r="6" spans="2:50" x14ac:dyDescent="0.25">
      <c r="B6" s="15" t="s">
        <v>3</v>
      </c>
      <c r="C6" s="9">
        <v>34.4</v>
      </c>
      <c r="D6" s="9">
        <v>35.299999999999997</v>
      </c>
      <c r="E6" s="10">
        <v>36.799999999999997</v>
      </c>
      <c r="F6" s="9">
        <f t="shared" si="1"/>
        <v>10.949860084722399</v>
      </c>
      <c r="G6" s="9">
        <f t="shared" si="2"/>
        <v>11.23633898228781</v>
      </c>
      <c r="H6" s="10">
        <f t="shared" si="3"/>
        <v>11.713803811563496</v>
      </c>
      <c r="K6" s="11">
        <f>_xlfn.XLOOKUP(F6,Ref!$B$3:$B$12,Ref!$C$3:$C$12,"",1)</f>
        <v>1</v>
      </c>
      <c r="L6" s="11">
        <f>_xlfn.XLOOKUP(G6,Ref!$B$3:$B$12,Ref!$C$3:$C$12,"",1)</f>
        <v>1</v>
      </c>
      <c r="M6" s="11">
        <f>_xlfn.XLOOKUP(H6,Ref!$B$3:$B$12,Ref!$C$3:$C$12,"",1)</f>
        <v>1</v>
      </c>
      <c r="Q6" s="16" t="s">
        <v>93</v>
      </c>
      <c r="R6" s="16">
        <f>COUNTIF($L$3:$L$1850,R$4)</f>
        <v>1315</v>
      </c>
      <c r="S6" s="16">
        <f t="shared" ref="S6:Z6" si="5">COUNTIF($L$3:$L$1850,S$4)</f>
        <v>277</v>
      </c>
      <c r="T6" s="16">
        <f t="shared" si="5"/>
        <v>75</v>
      </c>
      <c r="U6" s="16">
        <f t="shared" si="5"/>
        <v>21</v>
      </c>
      <c r="V6" s="16">
        <f t="shared" si="5"/>
        <v>18</v>
      </c>
      <c r="W6" s="16">
        <f t="shared" si="5"/>
        <v>21</v>
      </c>
      <c r="X6" s="16">
        <f t="shared" si="5"/>
        <v>3</v>
      </c>
      <c r="Y6" s="16">
        <f t="shared" si="5"/>
        <v>1</v>
      </c>
      <c r="Z6" s="16">
        <f t="shared" si="5"/>
        <v>0</v>
      </c>
      <c r="AF6" s="7">
        <v>3</v>
      </c>
      <c r="AG6" s="2">
        <v>62</v>
      </c>
      <c r="AH6" s="2">
        <v>75</v>
      </c>
      <c r="AI6" s="2">
        <v>90.640532959326791</v>
      </c>
      <c r="AJ6" s="2">
        <v>108.54056938850647</v>
      </c>
      <c r="AK6" s="2">
        <v>128.36111989572717</v>
      </c>
      <c r="AP6" s="27">
        <v>1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9">
        <v>0</v>
      </c>
    </row>
    <row r="7" spans="2:50" x14ac:dyDescent="0.25">
      <c r="B7" s="15" t="s">
        <v>4</v>
      </c>
      <c r="C7" s="9">
        <v>37.4</v>
      </c>
      <c r="D7" s="9">
        <v>37.4</v>
      </c>
      <c r="E7" s="10">
        <v>0</v>
      </c>
      <c r="F7" s="9">
        <f t="shared" si="1"/>
        <v>11.904789743273771</v>
      </c>
      <c r="G7" s="9">
        <f t="shared" si="2"/>
        <v>11.904789743273771</v>
      </c>
      <c r="H7" s="10">
        <f t="shared" si="3"/>
        <v>0</v>
      </c>
      <c r="K7" s="11">
        <f>_xlfn.XLOOKUP(F7,Ref!$B$3:$B$12,Ref!$C$3:$C$12,"",1)</f>
        <v>1</v>
      </c>
      <c r="L7" s="11">
        <f>_xlfn.XLOOKUP(G7,Ref!$B$3:$B$12,Ref!$C$3:$C$12,"",1)</f>
        <v>1</v>
      </c>
      <c r="M7" s="11" t="str">
        <f>_xlfn.XLOOKUP(H7,Ref!$B$3:$B$12,Ref!$C$3:$C$12,"",1)</f>
        <v>Morta</v>
      </c>
      <c r="Q7" s="16" t="s">
        <v>94</v>
      </c>
      <c r="R7" s="17">
        <f>COUNTIF($M$3:$M$1850,R$4)</f>
        <v>1276</v>
      </c>
      <c r="S7" s="17">
        <f t="shared" ref="S7:Z7" si="6">COUNTIF($M$3:$M$1850,S$4)</f>
        <v>295</v>
      </c>
      <c r="T7" s="17">
        <f t="shared" si="6"/>
        <v>89</v>
      </c>
      <c r="U7" s="17">
        <f t="shared" si="6"/>
        <v>23</v>
      </c>
      <c r="V7" s="17">
        <f t="shared" si="6"/>
        <v>19</v>
      </c>
      <c r="W7" s="17">
        <f t="shared" si="6"/>
        <v>16</v>
      </c>
      <c r="X7" s="17">
        <f t="shared" si="6"/>
        <v>9</v>
      </c>
      <c r="Y7" s="17">
        <f t="shared" si="6"/>
        <v>2</v>
      </c>
      <c r="Z7" s="17">
        <f t="shared" si="6"/>
        <v>0</v>
      </c>
      <c r="AF7" s="7">
        <v>4</v>
      </c>
      <c r="AG7" s="2">
        <v>24</v>
      </c>
      <c r="AH7" s="2">
        <v>21</v>
      </c>
      <c r="AI7" s="2">
        <v>18.70967741935484</v>
      </c>
      <c r="AJ7" s="2">
        <v>17.053341929451509</v>
      </c>
      <c r="AK7" s="2">
        <v>15.961772619518834</v>
      </c>
      <c r="AP7" s="30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5">
        <v>0</v>
      </c>
    </row>
    <row r="8" spans="2:50" x14ac:dyDescent="0.25">
      <c r="B8" s="15" t="s">
        <v>4</v>
      </c>
      <c r="C8" s="9"/>
      <c r="D8" s="9"/>
      <c r="E8" s="10">
        <v>34</v>
      </c>
      <c r="F8" s="9" t="str">
        <f t="shared" si="1"/>
        <v/>
      </c>
      <c r="G8" s="9" t="str">
        <f t="shared" si="2"/>
        <v/>
      </c>
      <c r="H8" s="10">
        <f t="shared" si="3"/>
        <v>10.822536130248883</v>
      </c>
      <c r="K8" s="11" t="str">
        <f>_xlfn.XLOOKUP(F8,Ref!$B$3:$B$12,Ref!$C$3:$C$12,"",1)</f>
        <v/>
      </c>
      <c r="L8" s="11" t="str">
        <f>_xlfn.XLOOKUP(G8,Ref!$B$3:$B$12,Ref!$C$3:$C$12,"",1)</f>
        <v/>
      </c>
      <c r="M8" s="11">
        <f>_xlfn.XLOOKUP(H8,Ref!$B$3:$B$12,Ref!$C$3:$C$12,"",1)</f>
        <v>1</v>
      </c>
      <c r="AF8" s="7">
        <v>5</v>
      </c>
      <c r="AG8" s="2">
        <v>17</v>
      </c>
      <c r="AH8" s="2">
        <v>18</v>
      </c>
      <c r="AI8" s="2">
        <v>18.323529411764703</v>
      </c>
      <c r="AJ8" s="2">
        <v>18.208244967816345</v>
      </c>
      <c r="AK8" s="2">
        <v>17.837248922522043</v>
      </c>
      <c r="AP8" s="30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 s="5">
        <v>0</v>
      </c>
    </row>
    <row r="9" spans="2:50" x14ac:dyDescent="0.25">
      <c r="B9" s="15" t="s">
        <v>5</v>
      </c>
      <c r="C9" s="9">
        <v>74.8</v>
      </c>
      <c r="D9" s="9">
        <v>82.5</v>
      </c>
      <c r="E9" s="10">
        <v>87.5</v>
      </c>
      <c r="F9" s="9">
        <f t="shared" si="1"/>
        <v>23.809579486547541</v>
      </c>
      <c r="G9" s="9">
        <f t="shared" si="2"/>
        <v>26.260565610162732</v>
      </c>
      <c r="H9" s="10">
        <f t="shared" si="3"/>
        <v>27.852115041081685</v>
      </c>
      <c r="K9" s="11">
        <f>_xlfn.XLOOKUP(F9,Ref!$B$3:$B$12,Ref!$C$3:$C$12,"",1)</f>
        <v>2</v>
      </c>
      <c r="L9" s="11">
        <f>_xlfn.XLOOKUP(G9,Ref!$B$3:$B$12,Ref!$C$3:$C$12,"",1)</f>
        <v>2</v>
      </c>
      <c r="M9" s="11">
        <f>_xlfn.XLOOKUP(H9,Ref!$B$3:$B$12,Ref!$C$3:$C$12,"",1)</f>
        <v>2</v>
      </c>
      <c r="AF9" s="7">
        <v>6</v>
      </c>
      <c r="AG9" s="2">
        <v>19</v>
      </c>
      <c r="AH9" s="2">
        <v>21</v>
      </c>
      <c r="AI9" s="2">
        <v>23.071207430340557</v>
      </c>
      <c r="AJ9" s="2">
        <v>25.090497368900305</v>
      </c>
      <c r="AK9" s="2">
        <v>26.983164576003173</v>
      </c>
      <c r="AP9" s="30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 s="5">
        <v>0</v>
      </c>
    </row>
    <row r="10" spans="2:50" x14ac:dyDescent="0.25">
      <c r="B10" s="15" t="s">
        <v>5</v>
      </c>
      <c r="C10" s="9">
        <v>52</v>
      </c>
      <c r="D10" s="9">
        <v>55.3</v>
      </c>
      <c r="E10" s="10">
        <v>57.2</v>
      </c>
      <c r="F10" s="9">
        <f t="shared" si="1"/>
        <v>16.552114081557114</v>
      </c>
      <c r="G10" s="9">
        <f t="shared" si="2"/>
        <v>17.602536705963622</v>
      </c>
      <c r="H10" s="10">
        <f t="shared" si="3"/>
        <v>18.207325489712829</v>
      </c>
      <c r="K10" s="11">
        <f>_xlfn.XLOOKUP(F10,Ref!$B$3:$B$12,Ref!$C$3:$C$12,"",1)</f>
        <v>1</v>
      </c>
      <c r="L10" s="11">
        <f>_xlfn.XLOOKUP(G10,Ref!$B$3:$B$12,Ref!$C$3:$C$12,"",1)</f>
        <v>1</v>
      </c>
      <c r="M10" s="11">
        <f>_xlfn.XLOOKUP(H10,Ref!$B$3:$B$12,Ref!$C$3:$C$12,"",1)</f>
        <v>1</v>
      </c>
      <c r="AF10" s="7">
        <v>7</v>
      </c>
      <c r="AG10" s="2">
        <v>3</v>
      </c>
      <c r="AH10" s="2">
        <v>3</v>
      </c>
      <c r="AI10" s="2">
        <v>3.1052631578947367</v>
      </c>
      <c r="AJ10" s="2">
        <v>3.2844495138775729</v>
      </c>
      <c r="AK10" s="2">
        <v>3.5101855023517308</v>
      </c>
      <c r="AP10" s="3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 s="5">
        <v>0</v>
      </c>
    </row>
    <row r="11" spans="2:50" x14ac:dyDescent="0.25">
      <c r="B11" s="15" t="s">
        <v>6</v>
      </c>
      <c r="C11" s="9">
        <v>36.700000000000003</v>
      </c>
      <c r="D11" s="9">
        <v>39</v>
      </c>
      <c r="E11" s="10">
        <v>42.5</v>
      </c>
      <c r="F11" s="9">
        <f t="shared" si="1"/>
        <v>11.681972822945118</v>
      </c>
      <c r="G11" s="9">
        <f t="shared" si="2"/>
        <v>12.414085561167836</v>
      </c>
      <c r="H11" s="10">
        <f t="shared" si="3"/>
        <v>13.528170162811104</v>
      </c>
      <c r="K11" s="11">
        <f>_xlfn.XLOOKUP(F11,Ref!$B$3:$B$12,Ref!$C$3:$C$12,"",1)</f>
        <v>1</v>
      </c>
      <c r="L11" s="11">
        <f>_xlfn.XLOOKUP(G11,Ref!$B$3:$B$12,Ref!$C$3:$C$12,"",1)</f>
        <v>1</v>
      </c>
      <c r="M11" s="11">
        <f>_xlfn.XLOOKUP(H11,Ref!$B$3:$B$12,Ref!$C$3:$C$12,"",1)</f>
        <v>1</v>
      </c>
      <c r="AF11" s="7">
        <v>8</v>
      </c>
      <c r="AG11" s="2">
        <v>0</v>
      </c>
      <c r="AH11" s="2">
        <v>1</v>
      </c>
      <c r="AI11" s="2">
        <v>1.5</v>
      </c>
      <c r="AJ11" s="2">
        <v>1.7850877192982455</v>
      </c>
      <c r="AK11" s="2">
        <v>1.9873603642749802</v>
      </c>
      <c r="AP11" s="30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 s="5">
        <v>0</v>
      </c>
    </row>
    <row r="12" spans="2:50" x14ac:dyDescent="0.25">
      <c r="B12" s="15" t="s">
        <v>5</v>
      </c>
      <c r="C12" s="9">
        <v>90.5</v>
      </c>
      <c r="D12" s="9">
        <v>93.5</v>
      </c>
      <c r="E12" s="10">
        <v>104.6</v>
      </c>
      <c r="F12" s="9">
        <f t="shared" si="1"/>
        <v>28.807044699633057</v>
      </c>
      <c r="G12" s="9">
        <f t="shared" si="2"/>
        <v>29.761974358184428</v>
      </c>
      <c r="H12" s="10">
        <f t="shared" si="3"/>
        <v>33.295214094824502</v>
      </c>
      <c r="K12" s="11">
        <f>_xlfn.XLOOKUP(F12,Ref!$B$3:$B$12,Ref!$C$3:$C$12,"",1)</f>
        <v>2</v>
      </c>
      <c r="L12" s="11">
        <f>_xlfn.XLOOKUP(G12,Ref!$B$3:$B$12,Ref!$C$3:$C$12,"",1)</f>
        <v>2</v>
      </c>
      <c r="M12" s="11">
        <f>_xlfn.XLOOKUP(H12,Ref!$B$3:$B$12,Ref!$C$3:$C$12,"",1)</f>
        <v>3</v>
      </c>
      <c r="Q12" s="33" t="s">
        <v>104</v>
      </c>
      <c r="R12" s="33"/>
      <c r="S12" s="33"/>
      <c r="T12" s="33"/>
      <c r="U12" s="33"/>
      <c r="V12" s="33"/>
      <c r="W12" s="33"/>
      <c r="X12" s="33"/>
      <c r="Y12" s="33"/>
      <c r="Z12" s="33"/>
      <c r="AB12" s="34" t="s">
        <v>106</v>
      </c>
      <c r="AF12" s="22">
        <v>9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P12" s="30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 s="5">
        <v>0</v>
      </c>
    </row>
    <row r="13" spans="2:50" x14ac:dyDescent="0.25">
      <c r="B13" s="15" t="s">
        <v>5</v>
      </c>
      <c r="C13" s="9">
        <v>55</v>
      </c>
      <c r="D13" s="9">
        <v>59.5</v>
      </c>
      <c r="E13" s="10">
        <v>62.7</v>
      </c>
      <c r="F13" s="9">
        <f t="shared" si="1"/>
        <v>17.507043740108486</v>
      </c>
      <c r="G13" s="9">
        <f t="shared" si="2"/>
        <v>18.939438227935547</v>
      </c>
      <c r="H13" s="10">
        <f t="shared" si="3"/>
        <v>19.958029863723677</v>
      </c>
      <c r="K13" s="11">
        <f>_xlfn.XLOOKUP(F13,Ref!$B$3:$B$12,Ref!$C$3:$C$12,"",1)</f>
        <v>1</v>
      </c>
      <c r="L13" s="11">
        <f>_xlfn.XLOOKUP(G13,Ref!$B$3:$B$12,Ref!$C$3:$C$12,"",1)</f>
        <v>1</v>
      </c>
      <c r="M13" s="11">
        <f>_xlfn.XLOOKUP(H13,Ref!$B$3:$B$12,Ref!$C$3:$C$12,"",1)</f>
        <v>1</v>
      </c>
      <c r="Q13" s="20" t="s">
        <v>87</v>
      </c>
      <c r="R13" s="21">
        <v>1</v>
      </c>
      <c r="S13" s="21">
        <v>2</v>
      </c>
      <c r="T13" s="21">
        <v>3</v>
      </c>
      <c r="U13" s="21">
        <v>4</v>
      </c>
      <c r="V13" s="21">
        <v>5</v>
      </c>
      <c r="W13" s="21">
        <v>6</v>
      </c>
      <c r="X13" s="21">
        <v>7</v>
      </c>
      <c r="Y13" s="21">
        <v>8</v>
      </c>
      <c r="Z13" s="20">
        <v>9</v>
      </c>
      <c r="AB13" s="34"/>
      <c r="AP13" s="30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 s="5">
        <v>0</v>
      </c>
    </row>
    <row r="14" spans="2:50" x14ac:dyDescent="0.25">
      <c r="B14" s="15" t="s">
        <v>5</v>
      </c>
      <c r="C14" s="9">
        <v>65.2</v>
      </c>
      <c r="D14" s="9">
        <v>73.2</v>
      </c>
      <c r="E14" s="10">
        <v>76</v>
      </c>
      <c r="F14" s="9">
        <f t="shared" si="1"/>
        <v>20.753804579183154</v>
      </c>
      <c r="G14" s="9">
        <f t="shared" si="2"/>
        <v>23.300283668653478</v>
      </c>
      <c r="H14" s="10">
        <f t="shared" si="3"/>
        <v>24.191551349968091</v>
      </c>
      <c r="K14" s="11">
        <f>_xlfn.XLOOKUP(F14,Ref!$B$3:$B$12,Ref!$C$3:$C$12,"",1)</f>
        <v>2</v>
      </c>
      <c r="L14" s="11">
        <f>_xlfn.XLOOKUP(G14,Ref!$B$3:$B$12,Ref!$C$3:$C$12,"",1)</f>
        <v>2</v>
      </c>
      <c r="M14" s="11">
        <f>_xlfn.XLOOKUP(H14,Ref!$B$3:$B$12,Ref!$C$3:$C$12,"",1)</f>
        <v>2</v>
      </c>
      <c r="Q14" s="7">
        <v>1</v>
      </c>
      <c r="R14" s="16">
        <f>COUNTIFS($K$3:$K$1850,R$13,$L$3:$L$1850,$Q14)</f>
        <v>1200</v>
      </c>
      <c r="S14" s="16">
        <f t="shared" ref="S14:Z14" si="7">COUNTIFS($K$3:$K$1850,S$13,$L$3:$L$1850,$Q14)</f>
        <v>0</v>
      </c>
      <c r="T14" s="16">
        <f t="shared" si="7"/>
        <v>0</v>
      </c>
      <c r="U14" s="16">
        <f t="shared" si="7"/>
        <v>0</v>
      </c>
      <c r="V14" s="16">
        <f t="shared" si="7"/>
        <v>0</v>
      </c>
      <c r="W14" s="16">
        <f t="shared" si="7"/>
        <v>0</v>
      </c>
      <c r="X14" s="16">
        <f t="shared" si="7"/>
        <v>0</v>
      </c>
      <c r="Y14" s="16">
        <f t="shared" si="7"/>
        <v>0</v>
      </c>
      <c r="Z14" s="23">
        <f t="shared" si="7"/>
        <v>0</v>
      </c>
      <c r="AB14" s="1">
        <f>COUNTIFS($K$3:$K$1850,"",$L$3:$L$1850,$Q14)</f>
        <v>115</v>
      </c>
      <c r="AP14" s="31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4">
        <v>1</v>
      </c>
    </row>
    <row r="15" spans="2:50" x14ac:dyDescent="0.25">
      <c r="B15" s="15" t="s">
        <v>5</v>
      </c>
      <c r="C15" s="9">
        <v>53</v>
      </c>
      <c r="D15" s="9">
        <v>56.6</v>
      </c>
      <c r="E15" s="10">
        <v>58.7</v>
      </c>
      <c r="F15" s="9">
        <f t="shared" ref="F15:F71" si="8">IF(C15="", "", C15/PI())</f>
        <v>16.870423967740905</v>
      </c>
      <c r="G15" s="9">
        <f t="shared" ref="G15:G71" si="9">IF(D15="", "", D15/PI())</f>
        <v>18.016339558002553</v>
      </c>
      <c r="H15" s="10">
        <f t="shared" ref="H15:H71" si="10">IF(E15="", "", E15/PI())</f>
        <v>18.684790318988515</v>
      </c>
      <c r="K15" s="11">
        <f>_xlfn.XLOOKUP(F15,Ref!$B$3:$B$12,Ref!$C$3:$C$12,"",1)</f>
        <v>1</v>
      </c>
      <c r="L15" s="11">
        <f>_xlfn.XLOOKUP(G15,Ref!$B$3:$B$12,Ref!$C$3:$C$12,"",1)</f>
        <v>1</v>
      </c>
      <c r="M15" s="11">
        <f>_xlfn.XLOOKUP(H15,Ref!$B$3:$B$12,Ref!$C$3:$C$12,"",1)</f>
        <v>1</v>
      </c>
      <c r="Q15" s="7">
        <v>2</v>
      </c>
      <c r="R15" s="16">
        <f t="shared" ref="R15:Z22" si="11">COUNTIFS($K$3:$K$1850,R$13,$L$3:$L$1850,$Q15)</f>
        <v>62</v>
      </c>
      <c r="S15" s="16">
        <f t="shared" si="11"/>
        <v>210</v>
      </c>
      <c r="T15" s="16">
        <f t="shared" si="11"/>
        <v>1</v>
      </c>
      <c r="U15" s="16">
        <f t="shared" si="11"/>
        <v>0</v>
      </c>
      <c r="V15" s="16">
        <f t="shared" si="11"/>
        <v>0</v>
      </c>
      <c r="W15" s="16">
        <f t="shared" si="11"/>
        <v>0</v>
      </c>
      <c r="X15" s="16">
        <f t="shared" si="11"/>
        <v>0</v>
      </c>
      <c r="Y15" s="16">
        <f t="shared" si="11"/>
        <v>0</v>
      </c>
      <c r="Z15" s="18">
        <f t="shared" si="11"/>
        <v>0</v>
      </c>
      <c r="AB15" s="1">
        <f t="shared" ref="AB15:AB22" si="12">COUNTIFS($K$3:$K$1850,"",$L$3:$L$1850,$Q15)</f>
        <v>4</v>
      </c>
    </row>
    <row r="16" spans="2:50" x14ac:dyDescent="0.25">
      <c r="B16" s="15" t="s">
        <v>5</v>
      </c>
      <c r="C16" s="9">
        <v>42</v>
      </c>
      <c r="D16" s="9">
        <v>44</v>
      </c>
      <c r="E16" s="10">
        <v>46.8</v>
      </c>
      <c r="F16" s="9">
        <f t="shared" si="8"/>
        <v>13.369015219719209</v>
      </c>
      <c r="G16" s="9">
        <f t="shared" si="9"/>
        <v>14.00563499208679</v>
      </c>
      <c r="H16" s="10">
        <f t="shared" si="10"/>
        <v>14.896902673401403</v>
      </c>
      <c r="K16" s="11">
        <f>_xlfn.XLOOKUP(F16,Ref!$B$3:$B$12,Ref!$C$3:$C$12,"",1)</f>
        <v>1</v>
      </c>
      <c r="L16" s="11">
        <f>_xlfn.XLOOKUP(G16,Ref!$B$3:$B$12,Ref!$C$3:$C$12,"",1)</f>
        <v>1</v>
      </c>
      <c r="M16" s="11">
        <f>_xlfn.XLOOKUP(H16,Ref!$B$3:$B$12,Ref!$C$3:$C$12,"",1)</f>
        <v>1</v>
      </c>
      <c r="Q16" s="7">
        <v>3</v>
      </c>
      <c r="R16" s="16">
        <f t="shared" si="11"/>
        <v>0</v>
      </c>
      <c r="S16" s="16">
        <f t="shared" si="11"/>
        <v>16</v>
      </c>
      <c r="T16" s="16">
        <f t="shared" si="11"/>
        <v>59</v>
      </c>
      <c r="U16" s="16">
        <f t="shared" si="11"/>
        <v>0</v>
      </c>
      <c r="V16" s="16">
        <f t="shared" si="11"/>
        <v>0</v>
      </c>
      <c r="W16" s="16">
        <f t="shared" si="11"/>
        <v>0</v>
      </c>
      <c r="X16" s="16">
        <f t="shared" si="11"/>
        <v>0</v>
      </c>
      <c r="Y16" s="16">
        <f t="shared" si="11"/>
        <v>0</v>
      </c>
      <c r="Z16" s="18">
        <f t="shared" si="11"/>
        <v>0</v>
      </c>
      <c r="AB16" s="1">
        <f t="shared" si="12"/>
        <v>0</v>
      </c>
    </row>
    <row r="17" spans="2:50" x14ac:dyDescent="0.25">
      <c r="B17" s="15" t="s">
        <v>2</v>
      </c>
      <c r="C17" s="9">
        <v>76.3</v>
      </c>
      <c r="D17" s="9">
        <v>76.3</v>
      </c>
      <c r="E17" s="10">
        <v>75.2</v>
      </c>
      <c r="F17" s="9">
        <f t="shared" si="8"/>
        <v>24.287044315823227</v>
      </c>
      <c r="G17" s="9">
        <f t="shared" si="9"/>
        <v>24.287044315823227</v>
      </c>
      <c r="H17" s="10">
        <f t="shared" si="10"/>
        <v>23.936903441021059</v>
      </c>
      <c r="K17" s="11">
        <f>_xlfn.XLOOKUP(F17,Ref!$B$3:$B$12,Ref!$C$3:$C$12,"",1)</f>
        <v>2</v>
      </c>
      <c r="L17" s="11">
        <f>_xlfn.XLOOKUP(G17,Ref!$B$3:$B$12,Ref!$C$3:$C$12,"",1)</f>
        <v>2</v>
      </c>
      <c r="M17" s="11">
        <f>_xlfn.XLOOKUP(H17,Ref!$B$3:$B$12,Ref!$C$3:$C$12,"",1)</f>
        <v>2</v>
      </c>
      <c r="Q17" s="7">
        <v>4</v>
      </c>
      <c r="R17" s="16">
        <f t="shared" si="11"/>
        <v>0</v>
      </c>
      <c r="S17" s="16">
        <f t="shared" si="11"/>
        <v>0</v>
      </c>
      <c r="T17" s="16">
        <f t="shared" si="11"/>
        <v>1</v>
      </c>
      <c r="U17" s="16">
        <f t="shared" si="11"/>
        <v>20</v>
      </c>
      <c r="V17" s="16">
        <f t="shared" si="11"/>
        <v>0</v>
      </c>
      <c r="W17" s="16">
        <f t="shared" si="11"/>
        <v>0</v>
      </c>
      <c r="X17" s="16">
        <f t="shared" si="11"/>
        <v>0</v>
      </c>
      <c r="Y17" s="16">
        <f t="shared" si="11"/>
        <v>0</v>
      </c>
      <c r="Z17" s="18">
        <f t="shared" si="11"/>
        <v>0</v>
      </c>
      <c r="AB17" s="1">
        <f t="shared" si="12"/>
        <v>0</v>
      </c>
      <c r="AF17" s="35" t="s">
        <v>103</v>
      </c>
      <c r="AG17" s="35"/>
      <c r="AH17" s="35"/>
      <c r="AI17" s="35"/>
      <c r="AP17" s="32" t="s">
        <v>112</v>
      </c>
      <c r="AQ17" s="32"/>
    </row>
    <row r="18" spans="2:50" x14ac:dyDescent="0.25">
      <c r="B18" s="15" t="s">
        <v>5</v>
      </c>
      <c r="C18" s="9">
        <v>37</v>
      </c>
      <c r="D18" s="9">
        <v>42.9</v>
      </c>
      <c r="E18" s="10">
        <v>46</v>
      </c>
      <c r="F18" s="9">
        <f t="shared" si="8"/>
        <v>11.777465788800255</v>
      </c>
      <c r="G18" s="9">
        <f t="shared" si="9"/>
        <v>13.65549411728462</v>
      </c>
      <c r="H18" s="10">
        <f t="shared" si="10"/>
        <v>14.642254764454371</v>
      </c>
      <c r="K18" s="11">
        <f>_xlfn.XLOOKUP(F18,Ref!$B$3:$B$12,Ref!$C$3:$C$12,"",1)</f>
        <v>1</v>
      </c>
      <c r="L18" s="11">
        <f>_xlfn.XLOOKUP(G18,Ref!$B$3:$B$12,Ref!$C$3:$C$12,"",1)</f>
        <v>1</v>
      </c>
      <c r="M18" s="11">
        <f>_xlfn.XLOOKUP(H18,Ref!$B$3:$B$12,Ref!$C$3:$C$12,"",1)</f>
        <v>1</v>
      </c>
      <c r="Q18" s="7">
        <v>5</v>
      </c>
      <c r="R18" s="16">
        <f t="shared" si="11"/>
        <v>0</v>
      </c>
      <c r="S18" s="16">
        <f t="shared" si="11"/>
        <v>0</v>
      </c>
      <c r="T18" s="16">
        <f t="shared" si="11"/>
        <v>0</v>
      </c>
      <c r="U18" s="16">
        <f t="shared" si="11"/>
        <v>4</v>
      </c>
      <c r="V18" s="16">
        <f t="shared" si="11"/>
        <v>14</v>
      </c>
      <c r="W18" s="16">
        <f t="shared" si="11"/>
        <v>0</v>
      </c>
      <c r="X18" s="16">
        <f t="shared" si="11"/>
        <v>0</v>
      </c>
      <c r="Y18" s="16">
        <f t="shared" si="11"/>
        <v>0</v>
      </c>
      <c r="Z18" s="18">
        <f t="shared" si="11"/>
        <v>0</v>
      </c>
      <c r="AB18" s="1">
        <f t="shared" si="12"/>
        <v>0</v>
      </c>
      <c r="AF18" s="22" t="s">
        <v>87</v>
      </c>
      <c r="AG18" s="6">
        <v>2006</v>
      </c>
      <c r="AH18" s="6">
        <v>2009</v>
      </c>
      <c r="AI18" s="6">
        <v>2012</v>
      </c>
      <c r="AK18" t="s">
        <v>108</v>
      </c>
      <c r="AL18" t="s">
        <v>109</v>
      </c>
      <c r="AP18" s="27" cm="1">
        <f t="array" ref="AP18:AX26">AP6:AX14-R30:Z38</f>
        <v>8.3969465648854991E-2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9">
        <v>0</v>
      </c>
    </row>
    <row r="19" spans="2:50" x14ac:dyDescent="0.25">
      <c r="B19" s="15" t="s">
        <v>5</v>
      </c>
      <c r="C19" s="9">
        <v>34.700000000000003</v>
      </c>
      <c r="D19" s="9">
        <v>39.6</v>
      </c>
      <c r="E19" s="10">
        <v>43.3</v>
      </c>
      <c r="F19" s="9">
        <f t="shared" si="8"/>
        <v>11.045353050577537</v>
      </c>
      <c r="G19" s="9">
        <f t="shared" si="9"/>
        <v>12.605071492878112</v>
      </c>
      <c r="H19" s="10">
        <f t="shared" si="10"/>
        <v>13.782818071758136</v>
      </c>
      <c r="K19" s="11">
        <f>_xlfn.XLOOKUP(F19,Ref!$B$3:$B$12,Ref!$C$3:$C$12,"",1)</f>
        <v>1</v>
      </c>
      <c r="L19" s="11">
        <f>_xlfn.XLOOKUP(G19,Ref!$B$3:$B$12,Ref!$C$3:$C$12,"",1)</f>
        <v>1</v>
      </c>
      <c r="M19" s="11">
        <f>_xlfn.XLOOKUP(H19,Ref!$B$3:$B$12,Ref!$C$3:$C$12,"",1)</f>
        <v>1</v>
      </c>
      <c r="Q19" s="7">
        <v>6</v>
      </c>
      <c r="R19" s="16">
        <f t="shared" si="11"/>
        <v>0</v>
      </c>
      <c r="S19" s="16">
        <f t="shared" si="11"/>
        <v>0</v>
      </c>
      <c r="T19" s="16">
        <f t="shared" si="11"/>
        <v>0</v>
      </c>
      <c r="U19" s="16">
        <f t="shared" si="11"/>
        <v>0</v>
      </c>
      <c r="V19" s="16">
        <f t="shared" si="11"/>
        <v>3</v>
      </c>
      <c r="W19" s="16">
        <f t="shared" si="11"/>
        <v>18</v>
      </c>
      <c r="X19" s="16">
        <f t="shared" si="11"/>
        <v>0</v>
      </c>
      <c r="Y19" s="16">
        <f t="shared" si="11"/>
        <v>0</v>
      </c>
      <c r="Z19" s="18">
        <f t="shared" si="11"/>
        <v>0</v>
      </c>
      <c r="AB19" s="1">
        <f t="shared" si="12"/>
        <v>0</v>
      </c>
      <c r="AF19" s="7">
        <v>1</v>
      </c>
      <c r="AG19" s="2" cm="1">
        <f t="array" ref="AG19:AG27">TRANSPOSE($R$5:$Z$5)</f>
        <v>1310</v>
      </c>
      <c r="AH19" s="2" cm="1">
        <f t="array" ref="AH19:AH27">TRANSPOSE(R6:Z6)</f>
        <v>1315</v>
      </c>
      <c r="AI19" s="2" cm="1">
        <f t="array" ref="AI19:AI27">TRANSPOSE(R7:Z7)</f>
        <v>1276</v>
      </c>
      <c r="AJ19" s="2"/>
      <c r="AK19" s="2">
        <f>AI19-AI4</f>
        <v>-43.580152671755741</v>
      </c>
      <c r="AL19">
        <f>SQRT(AVERAGE(SUMSQ(AK19:AK26)))</f>
        <v>51.467297185975731</v>
      </c>
      <c r="AP19" s="30">
        <v>-4.732824427480916E-2</v>
      </c>
      <c r="AQ19">
        <v>8.6956521739130488E-2</v>
      </c>
      <c r="AR19">
        <v>-1.6129032258064516E-2</v>
      </c>
      <c r="AS19">
        <v>0</v>
      </c>
      <c r="AT19">
        <v>0</v>
      </c>
      <c r="AU19">
        <v>0</v>
      </c>
      <c r="AV19">
        <v>0</v>
      </c>
      <c r="AW19">
        <v>0</v>
      </c>
      <c r="AX19" s="5">
        <v>0</v>
      </c>
    </row>
    <row r="20" spans="2:50" x14ac:dyDescent="0.25">
      <c r="B20" s="15" t="s">
        <v>5</v>
      </c>
      <c r="C20" s="9">
        <v>59.2</v>
      </c>
      <c r="D20" s="9">
        <v>64.2</v>
      </c>
      <c r="E20" s="10">
        <v>67.7</v>
      </c>
      <c r="F20" s="9">
        <f t="shared" si="8"/>
        <v>18.84394526208041</v>
      </c>
      <c r="G20" s="9">
        <f t="shared" si="9"/>
        <v>20.435494692999363</v>
      </c>
      <c r="H20" s="10">
        <f t="shared" si="10"/>
        <v>21.54957929464263</v>
      </c>
      <c r="K20" s="11">
        <f>_xlfn.XLOOKUP(F20,Ref!$B$3:$B$12,Ref!$C$3:$C$12,"",1)</f>
        <v>1</v>
      </c>
      <c r="L20" s="11">
        <f>_xlfn.XLOOKUP(G20,Ref!$B$3:$B$12,Ref!$C$3:$C$12,"",1)</f>
        <v>2</v>
      </c>
      <c r="M20" s="11">
        <f>_xlfn.XLOOKUP(H20,Ref!$B$3:$B$12,Ref!$C$3:$C$12,"",1)</f>
        <v>2</v>
      </c>
      <c r="Q20" s="7">
        <v>7</v>
      </c>
      <c r="R20" s="16">
        <f t="shared" si="11"/>
        <v>0</v>
      </c>
      <c r="S20" s="16">
        <f t="shared" si="11"/>
        <v>0</v>
      </c>
      <c r="T20" s="16">
        <f t="shared" si="11"/>
        <v>0</v>
      </c>
      <c r="U20" s="16">
        <f t="shared" si="11"/>
        <v>0</v>
      </c>
      <c r="V20" s="16">
        <f t="shared" si="11"/>
        <v>0</v>
      </c>
      <c r="W20" s="16">
        <f t="shared" si="11"/>
        <v>1</v>
      </c>
      <c r="X20" s="16">
        <f t="shared" si="11"/>
        <v>2</v>
      </c>
      <c r="Y20" s="16">
        <f t="shared" si="11"/>
        <v>0</v>
      </c>
      <c r="Z20" s="18">
        <f t="shared" si="11"/>
        <v>0</v>
      </c>
      <c r="AB20" s="1">
        <f t="shared" si="12"/>
        <v>0</v>
      </c>
      <c r="AF20" s="7">
        <v>2</v>
      </c>
      <c r="AG20" s="2">
        <v>230</v>
      </c>
      <c r="AH20" s="2">
        <v>277</v>
      </c>
      <c r="AI20" s="2">
        <v>295</v>
      </c>
      <c r="AJ20" s="2"/>
      <c r="AK20" s="2">
        <f t="shared" ref="AK20:AK26" si="13">AI20-AI5</f>
        <v>-25.359362118989736</v>
      </c>
      <c r="AP20" s="30">
        <v>0</v>
      </c>
      <c r="AQ20">
        <v>-6.9565217391304349E-2</v>
      </c>
      <c r="AR20">
        <v>4.8387096774193505E-2</v>
      </c>
      <c r="AS20">
        <v>0</v>
      </c>
      <c r="AT20">
        <v>0</v>
      </c>
      <c r="AU20">
        <v>0</v>
      </c>
      <c r="AV20">
        <v>0</v>
      </c>
      <c r="AW20">
        <v>0</v>
      </c>
      <c r="AX20" s="5">
        <v>0</v>
      </c>
    </row>
    <row r="21" spans="2:50" x14ac:dyDescent="0.25">
      <c r="B21" s="15" t="s">
        <v>7</v>
      </c>
      <c r="C21" s="9">
        <v>47.7</v>
      </c>
      <c r="D21" s="9">
        <v>59.2</v>
      </c>
      <c r="E21" s="10">
        <v>65.7</v>
      </c>
      <c r="F21" s="9">
        <f t="shared" si="8"/>
        <v>15.183381570966816</v>
      </c>
      <c r="G21" s="9">
        <f t="shared" si="9"/>
        <v>18.84394526208041</v>
      </c>
      <c r="H21" s="10">
        <f t="shared" si="10"/>
        <v>20.912959522275049</v>
      </c>
      <c r="K21" s="11">
        <f>_xlfn.XLOOKUP(F21,Ref!$B$3:$B$12,Ref!$C$3:$C$12,"",1)</f>
        <v>1</v>
      </c>
      <c r="L21" s="11">
        <f>_xlfn.XLOOKUP(G21,Ref!$B$3:$B$12,Ref!$C$3:$C$12,"",1)</f>
        <v>1</v>
      </c>
      <c r="M21" s="11">
        <f>_xlfn.XLOOKUP(H21,Ref!$B$3:$B$12,Ref!$C$3:$C$12,"",1)</f>
        <v>2</v>
      </c>
      <c r="Q21" s="7">
        <v>8</v>
      </c>
      <c r="R21" s="24">
        <f t="shared" si="11"/>
        <v>0</v>
      </c>
      <c r="S21" s="16">
        <f t="shared" si="11"/>
        <v>0</v>
      </c>
      <c r="T21" s="16">
        <f t="shared" si="11"/>
        <v>0</v>
      </c>
      <c r="U21" s="16">
        <f t="shared" si="11"/>
        <v>0</v>
      </c>
      <c r="V21" s="16">
        <f t="shared" si="11"/>
        <v>0</v>
      </c>
      <c r="W21" s="16">
        <f t="shared" si="11"/>
        <v>0</v>
      </c>
      <c r="X21" s="16">
        <f t="shared" si="11"/>
        <v>1</v>
      </c>
      <c r="Y21" s="16">
        <f t="shared" si="11"/>
        <v>0</v>
      </c>
      <c r="Z21" s="18">
        <f t="shared" si="11"/>
        <v>0</v>
      </c>
      <c r="AB21" s="1">
        <f t="shared" si="12"/>
        <v>0</v>
      </c>
      <c r="AF21" s="7">
        <v>3</v>
      </c>
      <c r="AG21" s="2">
        <v>62</v>
      </c>
      <c r="AH21" s="2">
        <v>75</v>
      </c>
      <c r="AI21" s="2">
        <v>89</v>
      </c>
      <c r="AJ21" s="2"/>
      <c r="AK21" s="2">
        <f t="shared" si="13"/>
        <v>-1.6405329593267908</v>
      </c>
      <c r="AP21" s="30">
        <v>0</v>
      </c>
      <c r="AQ21">
        <v>0</v>
      </c>
      <c r="AR21">
        <v>-1.6129032258064516E-2</v>
      </c>
      <c r="AS21">
        <v>0.16666666666666663</v>
      </c>
      <c r="AT21">
        <v>0</v>
      </c>
      <c r="AU21">
        <v>0</v>
      </c>
      <c r="AV21">
        <v>0</v>
      </c>
      <c r="AW21">
        <v>0</v>
      </c>
      <c r="AX21" s="5">
        <v>0</v>
      </c>
    </row>
    <row r="22" spans="2:50" x14ac:dyDescent="0.25">
      <c r="B22" s="15" t="s">
        <v>5</v>
      </c>
      <c r="C22" s="9">
        <v>43.4</v>
      </c>
      <c r="D22" s="9">
        <v>59.8</v>
      </c>
      <c r="E22" s="10">
        <v>68.3</v>
      </c>
      <c r="F22" s="9">
        <f t="shared" si="8"/>
        <v>13.814649060376516</v>
      </c>
      <c r="G22" s="9">
        <f t="shared" si="9"/>
        <v>19.034931193790683</v>
      </c>
      <c r="H22" s="10">
        <f t="shared" si="10"/>
        <v>21.740565226352903</v>
      </c>
      <c r="K22" s="11">
        <f>_xlfn.XLOOKUP(F22,Ref!$B$3:$B$12,Ref!$C$3:$C$12,"",1)</f>
        <v>1</v>
      </c>
      <c r="L22" s="11">
        <f>_xlfn.XLOOKUP(G22,Ref!$B$3:$B$12,Ref!$C$3:$C$12,"",1)</f>
        <v>1</v>
      </c>
      <c r="M22" s="11">
        <f>_xlfn.XLOOKUP(H22,Ref!$B$3:$B$12,Ref!$C$3:$C$12,"",1)</f>
        <v>2</v>
      </c>
      <c r="Q22" s="22">
        <v>9</v>
      </c>
      <c r="R22" s="25">
        <f t="shared" si="11"/>
        <v>0</v>
      </c>
      <c r="S22" s="17">
        <f t="shared" si="11"/>
        <v>0</v>
      </c>
      <c r="T22" s="17">
        <f t="shared" si="11"/>
        <v>0</v>
      </c>
      <c r="U22" s="17">
        <f t="shared" si="11"/>
        <v>0</v>
      </c>
      <c r="V22" s="17">
        <f t="shared" si="11"/>
        <v>0</v>
      </c>
      <c r="W22" s="17">
        <f t="shared" si="11"/>
        <v>0</v>
      </c>
      <c r="X22" s="17">
        <f t="shared" si="11"/>
        <v>0</v>
      </c>
      <c r="Y22" s="17">
        <f t="shared" si="11"/>
        <v>0</v>
      </c>
      <c r="Z22" s="19">
        <f t="shared" si="11"/>
        <v>0</v>
      </c>
      <c r="AB22" s="1">
        <f t="shared" si="12"/>
        <v>0</v>
      </c>
      <c r="AF22" s="7">
        <v>4</v>
      </c>
      <c r="AG22" s="2">
        <v>24</v>
      </c>
      <c r="AH22" s="2">
        <v>21</v>
      </c>
      <c r="AI22" s="2">
        <v>23</v>
      </c>
      <c r="AJ22" s="2"/>
      <c r="AK22" s="2">
        <f t="shared" si="13"/>
        <v>4.2903225806451601</v>
      </c>
      <c r="AP22" s="30">
        <v>0</v>
      </c>
      <c r="AQ22">
        <v>0</v>
      </c>
      <c r="AR22">
        <v>0</v>
      </c>
      <c r="AS22">
        <v>-0.16666666666666666</v>
      </c>
      <c r="AT22">
        <v>0.17647058823529416</v>
      </c>
      <c r="AU22">
        <v>0</v>
      </c>
      <c r="AV22">
        <v>0</v>
      </c>
      <c r="AW22">
        <v>0</v>
      </c>
      <c r="AX22" s="5">
        <v>0</v>
      </c>
    </row>
    <row r="23" spans="2:50" x14ac:dyDescent="0.25">
      <c r="B23" s="15" t="s">
        <v>8</v>
      </c>
      <c r="C23" s="9">
        <v>53.5</v>
      </c>
      <c r="D23" s="9">
        <v>55.3</v>
      </c>
      <c r="E23" s="10">
        <v>56</v>
      </c>
      <c r="F23" s="9">
        <f t="shared" si="8"/>
        <v>17.0295789108328</v>
      </c>
      <c r="G23" s="9">
        <f t="shared" si="9"/>
        <v>17.602536705963622</v>
      </c>
      <c r="H23" s="10">
        <f t="shared" si="10"/>
        <v>17.82535362629228</v>
      </c>
      <c r="K23" s="11">
        <f>_xlfn.XLOOKUP(F23,Ref!$B$3:$B$12,Ref!$C$3:$C$12,"",1)</f>
        <v>1</v>
      </c>
      <c r="L23" s="11">
        <f>_xlfn.XLOOKUP(G23,Ref!$B$3:$B$12,Ref!$C$3:$C$12,"",1)</f>
        <v>1</v>
      </c>
      <c r="M23" s="11">
        <f>_xlfn.XLOOKUP(H23,Ref!$B$3:$B$12,Ref!$C$3:$C$12,"",1)</f>
        <v>1</v>
      </c>
      <c r="AF23" s="7">
        <v>5</v>
      </c>
      <c r="AG23" s="2">
        <v>17</v>
      </c>
      <c r="AH23" s="2">
        <v>18</v>
      </c>
      <c r="AI23" s="2">
        <v>19</v>
      </c>
      <c r="AJ23" s="2"/>
      <c r="AK23" s="2">
        <f t="shared" si="13"/>
        <v>0.67647058823529704</v>
      </c>
      <c r="AP23" s="30">
        <v>0</v>
      </c>
      <c r="AQ23">
        <v>0</v>
      </c>
      <c r="AR23">
        <v>0</v>
      </c>
      <c r="AS23">
        <v>0</v>
      </c>
      <c r="AT23">
        <v>-0.17647058823529413</v>
      </c>
      <c r="AU23">
        <v>5.2631578947368474E-2</v>
      </c>
      <c r="AV23">
        <v>0</v>
      </c>
      <c r="AW23">
        <v>0</v>
      </c>
      <c r="AX23" s="5">
        <v>0</v>
      </c>
    </row>
    <row r="24" spans="2:50" x14ac:dyDescent="0.25">
      <c r="B24" s="15" t="s">
        <v>5</v>
      </c>
      <c r="C24" s="9">
        <v>42.7</v>
      </c>
      <c r="D24" s="9">
        <v>44</v>
      </c>
      <c r="E24" s="10">
        <v>44.2</v>
      </c>
      <c r="F24" s="9">
        <f t="shared" si="8"/>
        <v>13.591832140047863</v>
      </c>
      <c r="G24" s="9">
        <f t="shared" si="9"/>
        <v>14.00563499208679</v>
      </c>
      <c r="H24" s="10">
        <f t="shared" si="10"/>
        <v>14.069296969323549</v>
      </c>
      <c r="K24" s="11">
        <f>_xlfn.XLOOKUP(F24,Ref!$B$3:$B$12,Ref!$C$3:$C$12,"",1)</f>
        <v>1</v>
      </c>
      <c r="L24" s="11">
        <f>_xlfn.XLOOKUP(G24,Ref!$B$3:$B$12,Ref!$C$3:$C$12,"",1)</f>
        <v>1</v>
      </c>
      <c r="M24" s="11">
        <f>_xlfn.XLOOKUP(H24,Ref!$B$3:$B$12,Ref!$C$3:$C$12,"",1)</f>
        <v>1</v>
      </c>
      <c r="AF24" s="7">
        <v>6</v>
      </c>
      <c r="AG24" s="2">
        <v>19</v>
      </c>
      <c r="AH24" s="2">
        <v>21</v>
      </c>
      <c r="AI24" s="2">
        <v>16</v>
      </c>
      <c r="AJ24" s="2"/>
      <c r="AK24" s="2">
        <f t="shared" si="13"/>
        <v>-7.0712074303405572</v>
      </c>
      <c r="AP24" s="30">
        <v>0</v>
      </c>
      <c r="AQ24">
        <v>0</v>
      </c>
      <c r="AR24">
        <v>0</v>
      </c>
      <c r="AS24">
        <v>0</v>
      </c>
      <c r="AT24">
        <v>0</v>
      </c>
      <c r="AU24">
        <v>-5.2631578947368418E-2</v>
      </c>
      <c r="AV24">
        <v>0.33333333333333337</v>
      </c>
      <c r="AW24">
        <v>0</v>
      </c>
      <c r="AX24" s="5">
        <v>0</v>
      </c>
    </row>
    <row r="25" spans="2:50" x14ac:dyDescent="0.25">
      <c r="B25" s="15" t="s">
        <v>9</v>
      </c>
      <c r="C25" s="9"/>
      <c r="D25" s="9"/>
      <c r="E25" s="10">
        <v>36.5</v>
      </c>
      <c r="F25" s="9" t="str">
        <f t="shared" si="8"/>
        <v/>
      </c>
      <c r="G25" s="9" t="str">
        <f t="shared" si="9"/>
        <v/>
      </c>
      <c r="H25" s="10">
        <f t="shared" si="10"/>
        <v>11.618310845708359</v>
      </c>
      <c r="K25" s="11" t="str">
        <f>_xlfn.XLOOKUP(F25,Ref!$B$3:$B$12,Ref!$C$3:$C$12,"",1)</f>
        <v/>
      </c>
      <c r="L25" s="11" t="str">
        <f>_xlfn.XLOOKUP(G25,Ref!$B$3:$B$12,Ref!$C$3:$C$12,"",1)</f>
        <v/>
      </c>
      <c r="M25" s="11">
        <f>_xlfn.XLOOKUP(H25,Ref!$B$3:$B$12,Ref!$C$3:$C$12,"",1)</f>
        <v>1</v>
      </c>
      <c r="AF25" s="7">
        <v>7</v>
      </c>
      <c r="AG25" s="2">
        <v>3</v>
      </c>
      <c r="AH25" s="2">
        <v>3</v>
      </c>
      <c r="AI25" s="2">
        <v>9</v>
      </c>
      <c r="AJ25" s="2"/>
      <c r="AK25" s="2">
        <f t="shared" si="13"/>
        <v>5.8947368421052637</v>
      </c>
      <c r="AP25" s="30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-0.33333333333333331</v>
      </c>
      <c r="AW25">
        <v>0.5</v>
      </c>
      <c r="AX25" s="5">
        <v>0</v>
      </c>
    </row>
    <row r="26" spans="2:50" x14ac:dyDescent="0.25">
      <c r="B26" s="15" t="s">
        <v>7</v>
      </c>
      <c r="C26" s="9"/>
      <c r="D26" s="9"/>
      <c r="E26" s="10">
        <v>35.5</v>
      </c>
      <c r="F26" s="9" t="str">
        <f t="shared" si="8"/>
        <v/>
      </c>
      <c r="G26" s="9" t="str">
        <f t="shared" si="9"/>
        <v/>
      </c>
      <c r="H26" s="10">
        <f t="shared" si="10"/>
        <v>11.300000959524569</v>
      </c>
      <c r="K26" s="11" t="str">
        <f>_xlfn.XLOOKUP(F26,Ref!$B$3:$B$12,Ref!$C$3:$C$12,"",1)</f>
        <v/>
      </c>
      <c r="L26" s="11" t="str">
        <f>_xlfn.XLOOKUP(G26,Ref!$B$3:$B$12,Ref!$C$3:$C$12,"",1)</f>
        <v/>
      </c>
      <c r="M26" s="11">
        <f>_xlfn.XLOOKUP(H26,Ref!$B$3:$B$12,Ref!$C$3:$C$12,"",1)</f>
        <v>1</v>
      </c>
      <c r="AF26" s="7">
        <v>8</v>
      </c>
      <c r="AG26" s="2">
        <v>0</v>
      </c>
      <c r="AH26" s="2">
        <v>1</v>
      </c>
      <c r="AI26" s="2">
        <v>2</v>
      </c>
      <c r="AJ26" s="2"/>
      <c r="AK26" s="2">
        <f t="shared" si="13"/>
        <v>0.5</v>
      </c>
      <c r="AP26" s="31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4">
        <v>1</v>
      </c>
    </row>
    <row r="27" spans="2:50" x14ac:dyDescent="0.25">
      <c r="B27" s="15" t="s">
        <v>5</v>
      </c>
      <c r="C27" s="9">
        <v>57.7</v>
      </c>
      <c r="D27" s="9">
        <v>60.2</v>
      </c>
      <c r="E27" s="10">
        <v>61.8</v>
      </c>
      <c r="F27" s="9">
        <f t="shared" si="8"/>
        <v>18.366480432804725</v>
      </c>
      <c r="G27" s="9">
        <f t="shared" si="9"/>
        <v>19.162255148264201</v>
      </c>
      <c r="H27" s="10">
        <f t="shared" si="10"/>
        <v>19.671550966158264</v>
      </c>
      <c r="K27" s="11">
        <f>_xlfn.XLOOKUP(F27,Ref!$B$3:$B$12,Ref!$C$3:$C$12,"",1)</f>
        <v>1</v>
      </c>
      <c r="L27" s="11">
        <f>_xlfn.XLOOKUP(G27,Ref!$B$3:$B$12,Ref!$C$3:$C$12,"",1)</f>
        <v>1</v>
      </c>
      <c r="M27" s="11">
        <f>_xlfn.XLOOKUP(H27,Ref!$B$3:$B$12,Ref!$C$3:$C$12,"",1)</f>
        <v>1</v>
      </c>
      <c r="Q27" s="36"/>
      <c r="R27" s="36"/>
      <c r="S27" s="36"/>
      <c r="T27" s="36"/>
      <c r="U27" s="36"/>
      <c r="V27" s="36"/>
      <c r="W27" s="36"/>
      <c r="X27" s="36"/>
      <c r="Y27" s="36"/>
      <c r="AF27" s="22">
        <v>9</v>
      </c>
      <c r="AG27" s="26">
        <v>0</v>
      </c>
      <c r="AH27" s="26">
        <v>0</v>
      </c>
      <c r="AI27" s="26">
        <v>0</v>
      </c>
      <c r="AJ27" s="2"/>
      <c r="AK27" s="2"/>
    </row>
    <row r="28" spans="2:50" x14ac:dyDescent="0.25">
      <c r="B28" s="15" t="s">
        <v>5</v>
      </c>
      <c r="C28" s="9">
        <v>34</v>
      </c>
      <c r="D28" s="9">
        <v>38.5</v>
      </c>
      <c r="E28" s="10">
        <v>40.299999999999997</v>
      </c>
      <c r="F28" s="9">
        <f t="shared" si="8"/>
        <v>10.822536130248883</v>
      </c>
      <c r="G28" s="9">
        <f t="shared" si="9"/>
        <v>12.254930618075941</v>
      </c>
      <c r="H28" s="10">
        <f t="shared" si="10"/>
        <v>12.827888413206765</v>
      </c>
      <c r="K28" s="11">
        <f>_xlfn.XLOOKUP(F28,Ref!$B$3:$B$12,Ref!$C$3:$C$12,"",1)</f>
        <v>1</v>
      </c>
      <c r="L28" s="11">
        <f>_xlfn.XLOOKUP(G28,Ref!$B$3:$B$12,Ref!$C$3:$C$12,"",1)</f>
        <v>1</v>
      </c>
      <c r="M28" s="11">
        <f>_xlfn.XLOOKUP(H28,Ref!$B$3:$B$12,Ref!$C$3:$C$12,"",1)</f>
        <v>1</v>
      </c>
      <c r="Q28" s="33" t="s">
        <v>105</v>
      </c>
      <c r="R28" s="33"/>
      <c r="S28" s="33"/>
      <c r="T28" s="33"/>
      <c r="U28" s="33"/>
      <c r="V28" s="33"/>
      <c r="W28" s="33"/>
      <c r="X28" s="33"/>
      <c r="Y28" s="33"/>
      <c r="Z28" s="33"/>
    </row>
    <row r="29" spans="2:50" x14ac:dyDescent="0.25">
      <c r="B29" s="15" t="s">
        <v>5</v>
      </c>
      <c r="C29" s="9">
        <v>44.7</v>
      </c>
      <c r="D29" s="9">
        <v>47.8</v>
      </c>
      <c r="E29" s="10">
        <v>47.5</v>
      </c>
      <c r="F29" s="9">
        <f t="shared" si="8"/>
        <v>14.228451912415444</v>
      </c>
      <c r="G29" s="9">
        <f t="shared" si="9"/>
        <v>15.215212559585193</v>
      </c>
      <c r="H29" s="10">
        <f t="shared" si="10"/>
        <v>15.119719593730057</v>
      </c>
      <c r="K29" s="11">
        <f>_xlfn.XLOOKUP(F29,Ref!$B$3:$B$12,Ref!$C$3:$C$12,"",1)</f>
        <v>1</v>
      </c>
      <c r="L29" s="11">
        <f>_xlfn.XLOOKUP(G29,Ref!$B$3:$B$12,Ref!$C$3:$C$12,"",1)</f>
        <v>1</v>
      </c>
      <c r="M29" s="11">
        <f>_xlfn.XLOOKUP(H29,Ref!$B$3:$B$12,Ref!$C$3:$C$12,"",1)</f>
        <v>1</v>
      </c>
      <c r="Q29" s="20" t="s">
        <v>87</v>
      </c>
      <c r="R29" s="21">
        <v>1</v>
      </c>
      <c r="S29" s="21">
        <v>2</v>
      </c>
      <c r="T29" s="21">
        <v>3</v>
      </c>
      <c r="U29" s="21">
        <v>4</v>
      </c>
      <c r="V29" s="21">
        <v>5</v>
      </c>
      <c r="W29" s="21">
        <v>6</v>
      </c>
      <c r="X29" s="21">
        <v>7</v>
      </c>
      <c r="Y29" s="21">
        <v>8</v>
      </c>
      <c r="Z29" s="20">
        <v>9</v>
      </c>
      <c r="AP29" s="32" t="s">
        <v>110</v>
      </c>
      <c r="AQ29" s="32"/>
    </row>
    <row r="30" spans="2:50" x14ac:dyDescent="0.25">
      <c r="B30" s="15" t="s">
        <v>5</v>
      </c>
      <c r="C30" s="9">
        <v>47.5</v>
      </c>
      <c r="D30" s="9">
        <v>49</v>
      </c>
      <c r="E30" s="10">
        <v>49.6</v>
      </c>
      <c r="F30" s="9">
        <f t="shared" si="8"/>
        <v>15.119719593730057</v>
      </c>
      <c r="G30" s="9">
        <f t="shared" si="9"/>
        <v>15.597184423005743</v>
      </c>
      <c r="H30" s="10">
        <f t="shared" si="10"/>
        <v>15.788170354716019</v>
      </c>
      <c r="K30" s="11">
        <f>_xlfn.XLOOKUP(F30,Ref!$B$3:$B$12,Ref!$C$3:$C$12,"",1)</f>
        <v>1</v>
      </c>
      <c r="L30" s="11">
        <f>_xlfn.XLOOKUP(G30,Ref!$B$3:$B$12,Ref!$C$3:$C$12,"",1)</f>
        <v>1</v>
      </c>
      <c r="M30" s="11">
        <f>_xlfn.XLOOKUP(H30,Ref!$B$3:$B$12,Ref!$C$3:$C$12,"",1)</f>
        <v>1</v>
      </c>
      <c r="Q30" s="7">
        <v>1</v>
      </c>
      <c r="R30" s="16">
        <f>R14/R$5</f>
        <v>0.91603053435114501</v>
      </c>
      <c r="S30" s="16">
        <f t="shared" ref="S30:X30" si="14">S14/S$5</f>
        <v>0</v>
      </c>
      <c r="T30" s="16">
        <f t="shared" si="14"/>
        <v>0</v>
      </c>
      <c r="U30" s="16">
        <f t="shared" si="14"/>
        <v>0</v>
      </c>
      <c r="V30" s="16">
        <f t="shared" si="14"/>
        <v>0</v>
      </c>
      <c r="W30" s="16">
        <f t="shared" si="14"/>
        <v>0</v>
      </c>
      <c r="X30" s="16">
        <f t="shared" si="14"/>
        <v>0</v>
      </c>
      <c r="Y30" s="16">
        <v>0</v>
      </c>
      <c r="Z30" s="16">
        <v>0</v>
      </c>
      <c r="AP30" s="27" cm="1">
        <f t="array" ref="AP30:AX38">MINVERSE(_xlfn.ANCHORARRAY(AP18))</f>
        <v>11.909090909090905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9">
        <v>0</v>
      </c>
    </row>
    <row r="31" spans="2:50" x14ac:dyDescent="0.25">
      <c r="B31" s="15" t="s">
        <v>11</v>
      </c>
      <c r="C31" s="9">
        <v>34.5</v>
      </c>
      <c r="D31" s="9">
        <v>42.1</v>
      </c>
      <c r="E31" s="10">
        <v>46.6</v>
      </c>
      <c r="F31" s="9">
        <f t="shared" si="8"/>
        <v>10.981691073340778</v>
      </c>
      <c r="G31" s="9">
        <f t="shared" si="9"/>
        <v>13.400846208337589</v>
      </c>
      <c r="H31" s="10">
        <f t="shared" si="10"/>
        <v>14.833240696164646</v>
      </c>
      <c r="K31" s="11">
        <f>_xlfn.XLOOKUP(F31,Ref!$B$3:$B$12,Ref!$C$3:$C$12,"",1)</f>
        <v>1</v>
      </c>
      <c r="L31" s="11">
        <f>_xlfn.XLOOKUP(G31,Ref!$B$3:$B$12,Ref!$C$3:$C$12,"",1)</f>
        <v>1</v>
      </c>
      <c r="M31" s="11">
        <f>_xlfn.XLOOKUP(H31,Ref!$B$3:$B$12,Ref!$C$3:$C$12,"",1)</f>
        <v>1</v>
      </c>
      <c r="Q31" s="7">
        <v>2</v>
      </c>
      <c r="R31" s="16">
        <f t="shared" ref="R31:X38" si="15">R15/R$5</f>
        <v>4.732824427480916E-2</v>
      </c>
      <c r="S31" s="16">
        <f t="shared" si="15"/>
        <v>0.91304347826086951</v>
      </c>
      <c r="T31" s="16">
        <f t="shared" si="15"/>
        <v>1.6129032258064516E-2</v>
      </c>
      <c r="U31" s="16">
        <f t="shared" si="15"/>
        <v>0</v>
      </c>
      <c r="V31" s="16">
        <f t="shared" si="15"/>
        <v>0</v>
      </c>
      <c r="W31" s="16">
        <f t="shared" si="15"/>
        <v>0</v>
      </c>
      <c r="X31" s="16">
        <f t="shared" si="15"/>
        <v>0</v>
      </c>
      <c r="Y31" s="16">
        <v>0</v>
      </c>
      <c r="Z31" s="16">
        <v>0</v>
      </c>
      <c r="AP31" s="30">
        <v>8.8388429752066049</v>
      </c>
      <c r="AQ31">
        <v>15.681818181818173</v>
      </c>
      <c r="AR31">
        <v>5.2272727272727293</v>
      </c>
      <c r="AS31">
        <v>0</v>
      </c>
      <c r="AT31">
        <v>0</v>
      </c>
      <c r="AU31">
        <v>0</v>
      </c>
      <c r="AV31">
        <v>0</v>
      </c>
      <c r="AW31">
        <v>0</v>
      </c>
      <c r="AX31" s="5">
        <v>0</v>
      </c>
    </row>
    <row r="32" spans="2:50" x14ac:dyDescent="0.25">
      <c r="B32" s="15" t="s">
        <v>5</v>
      </c>
      <c r="C32" s="9">
        <v>43.7</v>
      </c>
      <c r="D32" s="9">
        <v>45.2</v>
      </c>
      <c r="E32" s="10">
        <v>45.5</v>
      </c>
      <c r="F32" s="9">
        <f t="shared" si="8"/>
        <v>13.910142026231654</v>
      </c>
      <c r="G32" s="9">
        <f t="shared" si="9"/>
        <v>14.38760685550734</v>
      </c>
      <c r="H32" s="10">
        <f t="shared" si="10"/>
        <v>14.483099821362476</v>
      </c>
      <c r="K32" s="11">
        <f>_xlfn.XLOOKUP(F32,Ref!$B$3:$B$12,Ref!$C$3:$C$12,"",1)</f>
        <v>1</v>
      </c>
      <c r="L32" s="11">
        <f>_xlfn.XLOOKUP(G32,Ref!$B$3:$B$12,Ref!$C$3:$C$12,"",1)</f>
        <v>1</v>
      </c>
      <c r="M32" s="11">
        <f>_xlfn.XLOOKUP(H32,Ref!$B$3:$B$12,Ref!$C$3:$C$12,"",1)</f>
        <v>1</v>
      </c>
      <c r="Q32" s="7">
        <v>3</v>
      </c>
      <c r="R32" s="16">
        <f t="shared" si="15"/>
        <v>0</v>
      </c>
      <c r="S32" s="16">
        <f t="shared" si="15"/>
        <v>6.9565217391304349E-2</v>
      </c>
      <c r="T32" s="16">
        <f t="shared" si="15"/>
        <v>0.95161290322580649</v>
      </c>
      <c r="U32" s="16">
        <f t="shared" si="15"/>
        <v>0</v>
      </c>
      <c r="V32" s="16">
        <f t="shared" si="15"/>
        <v>0</v>
      </c>
      <c r="W32" s="16">
        <f t="shared" si="15"/>
        <v>0</v>
      </c>
      <c r="X32" s="16">
        <f t="shared" si="15"/>
        <v>0</v>
      </c>
      <c r="Y32" s="16">
        <v>0</v>
      </c>
      <c r="Z32" s="16">
        <v>0</v>
      </c>
      <c r="AP32" s="30">
        <v>12.707438016528926</v>
      </c>
      <c r="AQ32">
        <v>22.545454545454554</v>
      </c>
      <c r="AR32">
        <v>28.181818181818208</v>
      </c>
      <c r="AS32">
        <v>0</v>
      </c>
      <c r="AT32">
        <v>0</v>
      </c>
      <c r="AU32">
        <v>0</v>
      </c>
      <c r="AV32">
        <v>0</v>
      </c>
      <c r="AW32">
        <v>0</v>
      </c>
      <c r="AX32" s="5">
        <v>0</v>
      </c>
    </row>
    <row r="33" spans="2:50" x14ac:dyDescent="0.25">
      <c r="B33" s="15" t="s">
        <v>5</v>
      </c>
      <c r="C33" s="9">
        <v>37.1</v>
      </c>
      <c r="D33" s="9">
        <v>37.200000000000003</v>
      </c>
      <c r="E33" s="10">
        <v>36.5</v>
      </c>
      <c r="F33" s="9">
        <f t="shared" si="8"/>
        <v>11.809296777418634</v>
      </c>
      <c r="G33" s="9">
        <f t="shared" si="9"/>
        <v>11.841127766037014</v>
      </c>
      <c r="H33" s="10">
        <f t="shared" si="10"/>
        <v>11.618310845708359</v>
      </c>
      <c r="K33" s="11">
        <f>_xlfn.XLOOKUP(F33,Ref!$B$3:$B$12,Ref!$C$3:$C$12,"",1)</f>
        <v>1</v>
      </c>
      <c r="L33" s="11">
        <f>_xlfn.XLOOKUP(G33,Ref!$B$3:$B$12,Ref!$C$3:$C$12,"",1)</f>
        <v>1</v>
      </c>
      <c r="M33" s="11">
        <f>_xlfn.XLOOKUP(H33,Ref!$B$3:$B$12,Ref!$C$3:$C$12,"",1)</f>
        <v>1</v>
      </c>
      <c r="Q33" s="7">
        <v>4</v>
      </c>
      <c r="R33" s="16">
        <f t="shared" si="15"/>
        <v>0</v>
      </c>
      <c r="S33" s="16">
        <f t="shared" si="15"/>
        <v>0</v>
      </c>
      <c r="T33" s="16">
        <f t="shared" si="15"/>
        <v>1.6129032258064516E-2</v>
      </c>
      <c r="U33" s="16">
        <f t="shared" si="15"/>
        <v>0.83333333333333337</v>
      </c>
      <c r="V33" s="16">
        <f t="shared" si="15"/>
        <v>0</v>
      </c>
      <c r="W33" s="16">
        <f t="shared" si="15"/>
        <v>0</v>
      </c>
      <c r="X33" s="16">
        <f t="shared" si="15"/>
        <v>0</v>
      </c>
      <c r="Y33" s="16">
        <v>0</v>
      </c>
      <c r="Z33" s="16">
        <v>0</v>
      </c>
      <c r="AP33" s="30">
        <v>1.2297520661157029</v>
      </c>
      <c r="AQ33">
        <v>2.181818181818183</v>
      </c>
      <c r="AR33">
        <v>2.7272727272727302</v>
      </c>
      <c r="AS33">
        <v>6.0000000000000018</v>
      </c>
      <c r="AT33">
        <v>0</v>
      </c>
      <c r="AU33">
        <v>0</v>
      </c>
      <c r="AV33">
        <v>0</v>
      </c>
      <c r="AW33">
        <v>0</v>
      </c>
      <c r="AX33" s="5">
        <v>0</v>
      </c>
    </row>
    <row r="34" spans="2:50" x14ac:dyDescent="0.25">
      <c r="B34" s="15" t="s">
        <v>8</v>
      </c>
      <c r="C34" s="9">
        <v>51.9</v>
      </c>
      <c r="D34" s="9">
        <v>57.8</v>
      </c>
      <c r="E34" s="10">
        <v>63.5</v>
      </c>
      <c r="F34" s="9">
        <f t="shared" si="8"/>
        <v>16.520283092938737</v>
      </c>
      <c r="G34" s="9">
        <f t="shared" si="9"/>
        <v>18.398311421423102</v>
      </c>
      <c r="H34" s="10">
        <f t="shared" si="10"/>
        <v>20.212677772670709</v>
      </c>
      <c r="K34" s="11">
        <f>_xlfn.XLOOKUP(F34,Ref!$B$3:$B$12,Ref!$C$3:$C$12,"",1)</f>
        <v>1</v>
      </c>
      <c r="L34" s="11">
        <f>_xlfn.XLOOKUP(G34,Ref!$B$3:$B$12,Ref!$C$3:$C$12,"",1)</f>
        <v>1</v>
      </c>
      <c r="M34" s="11">
        <f>_xlfn.XLOOKUP(H34,Ref!$B$3:$B$12,Ref!$C$3:$C$12,"",1)</f>
        <v>2</v>
      </c>
      <c r="Q34" s="7">
        <v>5</v>
      </c>
      <c r="R34" s="16">
        <f t="shared" si="15"/>
        <v>0</v>
      </c>
      <c r="S34" s="16">
        <f t="shared" si="15"/>
        <v>0</v>
      </c>
      <c r="T34" s="16">
        <f t="shared" si="15"/>
        <v>0</v>
      </c>
      <c r="U34" s="16">
        <f t="shared" si="15"/>
        <v>0.16666666666666666</v>
      </c>
      <c r="V34" s="16">
        <f t="shared" si="15"/>
        <v>0.82352941176470584</v>
      </c>
      <c r="W34" s="16">
        <f t="shared" si="15"/>
        <v>0</v>
      </c>
      <c r="X34" s="16">
        <f t="shared" si="15"/>
        <v>0</v>
      </c>
      <c r="Y34" s="16">
        <v>0</v>
      </c>
      <c r="Z34" s="16">
        <v>0</v>
      </c>
      <c r="AP34" s="30">
        <v>1.1614325068870524</v>
      </c>
      <c r="AQ34">
        <v>2.060606060606061</v>
      </c>
      <c r="AR34">
        <v>2.5757575757575779</v>
      </c>
      <c r="AS34">
        <v>5.6666666666666661</v>
      </c>
      <c r="AT34">
        <v>5.6666666666666652</v>
      </c>
      <c r="AU34">
        <v>0</v>
      </c>
      <c r="AV34">
        <v>0</v>
      </c>
      <c r="AW34">
        <v>0</v>
      </c>
      <c r="AX34" s="5">
        <v>0</v>
      </c>
    </row>
    <row r="35" spans="2:50" x14ac:dyDescent="0.25">
      <c r="B35" s="15" t="s">
        <v>7</v>
      </c>
      <c r="C35" s="9">
        <v>87.1</v>
      </c>
      <c r="D35" s="9">
        <v>93.7</v>
      </c>
      <c r="E35" s="10">
        <v>98.1</v>
      </c>
      <c r="F35" s="9">
        <f t="shared" si="8"/>
        <v>27.724791086608167</v>
      </c>
      <c r="G35" s="9">
        <f t="shared" si="9"/>
        <v>29.825636335421187</v>
      </c>
      <c r="H35" s="10">
        <f t="shared" si="10"/>
        <v>31.226199834629863</v>
      </c>
      <c r="K35" s="11">
        <f>_xlfn.XLOOKUP(F35,Ref!$B$3:$B$12,Ref!$C$3:$C$12,"",1)</f>
        <v>2</v>
      </c>
      <c r="L35" s="11">
        <f>_xlfn.XLOOKUP(G35,Ref!$B$3:$B$12,Ref!$C$3:$C$12,"",1)</f>
        <v>2</v>
      </c>
      <c r="M35" s="11">
        <f>_xlfn.XLOOKUP(H35,Ref!$B$3:$B$12,Ref!$C$3:$C$12,"",1)</f>
        <v>3</v>
      </c>
      <c r="Q35" s="7">
        <v>6</v>
      </c>
      <c r="R35" s="16">
        <f t="shared" si="15"/>
        <v>0</v>
      </c>
      <c r="S35" s="16">
        <f t="shared" si="15"/>
        <v>0</v>
      </c>
      <c r="T35" s="16">
        <f t="shared" si="15"/>
        <v>0</v>
      </c>
      <c r="U35" s="16">
        <f t="shared" si="15"/>
        <v>0</v>
      </c>
      <c r="V35" s="16">
        <f t="shared" si="15"/>
        <v>0.17647058823529413</v>
      </c>
      <c r="W35" s="16">
        <f t="shared" si="15"/>
        <v>0.94736842105263153</v>
      </c>
      <c r="X35" s="16">
        <f t="shared" si="15"/>
        <v>0</v>
      </c>
      <c r="Y35" s="16">
        <v>0</v>
      </c>
      <c r="Z35" s="16">
        <v>0</v>
      </c>
      <c r="AP35" s="30">
        <v>3.8942148760330539</v>
      </c>
      <c r="AQ35">
        <v>6.9090909090909047</v>
      </c>
      <c r="AR35">
        <v>8.6363636363636367</v>
      </c>
      <c r="AS35">
        <v>18.999999999999982</v>
      </c>
      <c r="AT35">
        <v>18.999999999999975</v>
      </c>
      <c r="AU35">
        <v>18.999999999999982</v>
      </c>
      <c r="AV35">
        <v>0</v>
      </c>
      <c r="AW35">
        <v>0</v>
      </c>
      <c r="AX35" s="5">
        <v>0</v>
      </c>
    </row>
    <row r="36" spans="2:50" x14ac:dyDescent="0.25">
      <c r="B36" s="15" t="s">
        <v>4</v>
      </c>
      <c r="C36" s="9">
        <v>33.299999999999997</v>
      </c>
      <c r="D36" s="9">
        <v>34.6</v>
      </c>
      <c r="E36" s="10">
        <v>34.700000000000003</v>
      </c>
      <c r="F36" s="9">
        <f t="shared" si="8"/>
        <v>10.599719209920229</v>
      </c>
      <c r="G36" s="9">
        <f t="shared" si="9"/>
        <v>11.013522061959158</v>
      </c>
      <c r="H36" s="10">
        <f t="shared" si="10"/>
        <v>11.045353050577537</v>
      </c>
      <c r="K36" s="11">
        <f>_xlfn.XLOOKUP(F36,Ref!$B$3:$B$12,Ref!$C$3:$C$12,"",1)</f>
        <v>1</v>
      </c>
      <c r="L36" s="11">
        <f>_xlfn.XLOOKUP(G36,Ref!$B$3:$B$12,Ref!$C$3:$C$12,"",1)</f>
        <v>1</v>
      </c>
      <c r="M36" s="11">
        <f>_xlfn.XLOOKUP(H36,Ref!$B$3:$B$12,Ref!$C$3:$C$12,"",1)</f>
        <v>1</v>
      </c>
      <c r="Q36" s="7">
        <v>7</v>
      </c>
      <c r="R36" s="16">
        <f t="shared" si="15"/>
        <v>0</v>
      </c>
      <c r="S36" s="16">
        <f t="shared" si="15"/>
        <v>0</v>
      </c>
      <c r="T36" s="16">
        <f t="shared" si="15"/>
        <v>0</v>
      </c>
      <c r="U36" s="16">
        <f t="shared" si="15"/>
        <v>0</v>
      </c>
      <c r="V36" s="16">
        <f t="shared" si="15"/>
        <v>0</v>
      </c>
      <c r="W36" s="16">
        <f t="shared" si="15"/>
        <v>5.2631578947368418E-2</v>
      </c>
      <c r="X36" s="16">
        <f t="shared" si="15"/>
        <v>0.66666666666666663</v>
      </c>
      <c r="Y36" s="16">
        <v>0</v>
      </c>
      <c r="Z36" s="16">
        <v>0</v>
      </c>
      <c r="AP36" s="30">
        <v>0.61487603305785055</v>
      </c>
      <c r="AQ36">
        <v>1.0909090909090899</v>
      </c>
      <c r="AR36">
        <v>1.3636363636363633</v>
      </c>
      <c r="AS36">
        <v>2.9999999999999964</v>
      </c>
      <c r="AT36">
        <v>2.9999999999999956</v>
      </c>
      <c r="AU36">
        <v>2.9999999999999964</v>
      </c>
      <c r="AV36">
        <v>2.9999999999999996</v>
      </c>
      <c r="AW36">
        <v>0</v>
      </c>
      <c r="AX36" s="5">
        <v>0</v>
      </c>
    </row>
    <row r="37" spans="2:50" x14ac:dyDescent="0.25">
      <c r="B37" s="15" t="s">
        <v>12</v>
      </c>
      <c r="C37" s="9">
        <v>58.8</v>
      </c>
      <c r="D37" s="9">
        <v>52.2</v>
      </c>
      <c r="E37" s="10">
        <v>51.5</v>
      </c>
      <c r="F37" s="9">
        <f t="shared" si="8"/>
        <v>18.716621307606893</v>
      </c>
      <c r="G37" s="9">
        <f t="shared" si="9"/>
        <v>16.615776058793873</v>
      </c>
      <c r="H37" s="10">
        <f t="shared" si="10"/>
        <v>16.392959138465219</v>
      </c>
      <c r="K37" s="11">
        <f>_xlfn.XLOOKUP(F37,Ref!$B$3:$B$12,Ref!$C$3:$C$12,"",1)</f>
        <v>1</v>
      </c>
      <c r="L37" s="11">
        <f>_xlfn.XLOOKUP(G37,Ref!$B$3:$B$12,Ref!$C$3:$C$12,"",1)</f>
        <v>1</v>
      </c>
      <c r="M37" s="11">
        <f>_xlfn.XLOOKUP(H37,Ref!$B$3:$B$12,Ref!$C$3:$C$12,"",1)</f>
        <v>1</v>
      </c>
      <c r="Q37" s="7">
        <v>8</v>
      </c>
      <c r="R37" s="16">
        <f t="shared" si="15"/>
        <v>0</v>
      </c>
      <c r="S37" s="16">
        <f t="shared" si="15"/>
        <v>0</v>
      </c>
      <c r="T37" s="16">
        <f t="shared" si="15"/>
        <v>0</v>
      </c>
      <c r="U37" s="16">
        <f t="shared" si="15"/>
        <v>0</v>
      </c>
      <c r="V37" s="16">
        <f t="shared" si="15"/>
        <v>0</v>
      </c>
      <c r="W37" s="16">
        <f t="shared" si="15"/>
        <v>0</v>
      </c>
      <c r="X37" s="16">
        <f t="shared" si="15"/>
        <v>0.33333333333333331</v>
      </c>
      <c r="Y37" s="16">
        <v>0.5</v>
      </c>
      <c r="Z37" s="16">
        <v>0</v>
      </c>
      <c r="AP37" s="30">
        <v>0.40991735537190027</v>
      </c>
      <c r="AQ37">
        <v>0.72727272727272663</v>
      </c>
      <c r="AR37">
        <v>0.90909090909090873</v>
      </c>
      <c r="AS37">
        <v>1.9999999999999973</v>
      </c>
      <c r="AT37">
        <v>1.9999999999999969</v>
      </c>
      <c r="AU37">
        <v>1.9999999999999973</v>
      </c>
      <c r="AV37">
        <v>1.9999999999999996</v>
      </c>
      <c r="AW37">
        <v>2</v>
      </c>
      <c r="AX37" s="5">
        <v>0</v>
      </c>
    </row>
    <row r="38" spans="2:50" x14ac:dyDescent="0.25">
      <c r="B38" s="15" t="s">
        <v>7</v>
      </c>
      <c r="C38" s="9">
        <v>32.1</v>
      </c>
      <c r="D38" s="9">
        <v>36.5</v>
      </c>
      <c r="E38" s="10">
        <v>43.1</v>
      </c>
      <c r="F38" s="9">
        <f t="shared" si="8"/>
        <v>10.217747346499682</v>
      </c>
      <c r="G38" s="9">
        <f t="shared" si="9"/>
        <v>11.618310845708359</v>
      </c>
      <c r="H38" s="10">
        <f t="shared" si="10"/>
        <v>13.719156094521379</v>
      </c>
      <c r="K38" s="11">
        <f>_xlfn.XLOOKUP(F38,Ref!$B$3:$B$12,Ref!$C$3:$C$12,"",1)</f>
        <v>1</v>
      </c>
      <c r="L38" s="11">
        <f>_xlfn.XLOOKUP(G38,Ref!$B$3:$B$12,Ref!$C$3:$C$12,"",1)</f>
        <v>1</v>
      </c>
      <c r="M38" s="11">
        <f>_xlfn.XLOOKUP(H38,Ref!$B$3:$B$12,Ref!$C$3:$C$12,"",1)</f>
        <v>1</v>
      </c>
      <c r="Q38" s="22">
        <v>9</v>
      </c>
      <c r="R38" s="25">
        <f t="shared" si="15"/>
        <v>0</v>
      </c>
      <c r="S38" s="17">
        <f t="shared" si="15"/>
        <v>0</v>
      </c>
      <c r="T38" s="17">
        <f t="shared" si="15"/>
        <v>0</v>
      </c>
      <c r="U38" s="17">
        <f t="shared" si="15"/>
        <v>0</v>
      </c>
      <c r="V38" s="17">
        <f t="shared" si="15"/>
        <v>0</v>
      </c>
      <c r="W38" s="17">
        <f t="shared" si="15"/>
        <v>0</v>
      </c>
      <c r="X38" s="17">
        <f t="shared" si="15"/>
        <v>0</v>
      </c>
      <c r="Y38" s="17">
        <v>0</v>
      </c>
      <c r="Z38" s="17">
        <v>0</v>
      </c>
      <c r="AP38" s="31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4">
        <v>1</v>
      </c>
    </row>
    <row r="39" spans="2:50" x14ac:dyDescent="0.25">
      <c r="B39" s="15" t="s">
        <v>5</v>
      </c>
      <c r="C39" s="9">
        <v>48.3</v>
      </c>
      <c r="D39" s="9">
        <v>0</v>
      </c>
      <c r="E39" s="10">
        <v>50.3</v>
      </c>
      <c r="F39" s="9">
        <f t="shared" si="8"/>
        <v>15.374367502677089</v>
      </c>
      <c r="G39" s="9">
        <f t="shared" si="9"/>
        <v>0</v>
      </c>
      <c r="H39" s="10">
        <f t="shared" si="10"/>
        <v>16.01098727504467</v>
      </c>
      <c r="K39" s="11">
        <f>_xlfn.XLOOKUP(F39,Ref!$B$3:$B$12,Ref!$C$3:$C$12,"",1)</f>
        <v>1</v>
      </c>
      <c r="L39" s="11" t="str">
        <f>_xlfn.XLOOKUP(G39,Ref!$B$3:$B$12,Ref!$C$3:$C$12,"",1)</f>
        <v>Morta</v>
      </c>
      <c r="M39" s="11">
        <f>_xlfn.XLOOKUP(H39,Ref!$B$3:$B$12,Ref!$C$3:$C$12,"",1)</f>
        <v>1</v>
      </c>
    </row>
    <row r="40" spans="2:50" x14ac:dyDescent="0.25">
      <c r="B40" s="15" t="s">
        <v>3</v>
      </c>
      <c r="C40" s="9">
        <v>45.8</v>
      </c>
      <c r="D40" s="9">
        <v>49</v>
      </c>
      <c r="E40" s="10">
        <v>52.1</v>
      </c>
      <c r="F40" s="9">
        <f t="shared" si="8"/>
        <v>14.578592787217612</v>
      </c>
      <c r="G40" s="9">
        <f t="shared" si="9"/>
        <v>15.597184423005743</v>
      </c>
      <c r="H40" s="10">
        <f t="shared" si="10"/>
        <v>16.583945070175496</v>
      </c>
      <c r="K40" s="11">
        <f>_xlfn.XLOOKUP(F40,Ref!$B$3:$B$12,Ref!$C$3:$C$12,"",1)</f>
        <v>1</v>
      </c>
      <c r="L40" s="11">
        <f>_xlfn.XLOOKUP(G40,Ref!$B$3:$B$12,Ref!$C$3:$C$12,"",1)</f>
        <v>1</v>
      </c>
      <c r="M40" s="11">
        <f>_xlfn.XLOOKUP(H40,Ref!$B$3:$B$12,Ref!$C$3:$C$12,"",1)</f>
        <v>1</v>
      </c>
    </row>
    <row r="41" spans="2:50" x14ac:dyDescent="0.25">
      <c r="B41" s="15" t="s">
        <v>3</v>
      </c>
      <c r="C41" s="9">
        <v>49.4</v>
      </c>
      <c r="D41" s="9">
        <v>55.5</v>
      </c>
      <c r="E41" s="10">
        <v>60.7</v>
      </c>
      <c r="F41" s="9">
        <f t="shared" si="8"/>
        <v>15.724508377479259</v>
      </c>
      <c r="G41" s="9">
        <f t="shared" si="9"/>
        <v>17.666198683200381</v>
      </c>
      <c r="H41" s="10">
        <f t="shared" si="10"/>
        <v>19.321410091356096</v>
      </c>
      <c r="K41" s="11">
        <f>_xlfn.XLOOKUP(F41,Ref!$B$3:$B$12,Ref!$C$3:$C$12,"",1)</f>
        <v>1</v>
      </c>
      <c r="L41" s="11">
        <f>_xlfn.XLOOKUP(G41,Ref!$B$3:$B$12,Ref!$C$3:$C$12,"",1)</f>
        <v>1</v>
      </c>
      <c r="M41" s="11">
        <f>_xlfn.XLOOKUP(H41,Ref!$B$3:$B$12,Ref!$C$3:$C$12,"",1)</f>
        <v>1</v>
      </c>
    </row>
    <row r="42" spans="2:50" x14ac:dyDescent="0.25">
      <c r="B42" s="15" t="s">
        <v>3</v>
      </c>
      <c r="C42" s="9">
        <v>45.6</v>
      </c>
      <c r="D42" s="9">
        <v>49.9</v>
      </c>
      <c r="E42" s="10">
        <v>54</v>
      </c>
      <c r="F42" s="9">
        <f t="shared" si="8"/>
        <v>14.514930809980855</v>
      </c>
      <c r="G42" s="9">
        <f t="shared" si="9"/>
        <v>15.883663320571154</v>
      </c>
      <c r="H42" s="10">
        <f t="shared" si="10"/>
        <v>17.188733853924695</v>
      </c>
      <c r="K42" s="11">
        <f>_xlfn.XLOOKUP(F42,Ref!$B$3:$B$12,Ref!$C$3:$C$12,"",1)</f>
        <v>1</v>
      </c>
      <c r="L42" s="11">
        <f>_xlfn.XLOOKUP(G42,Ref!$B$3:$B$12,Ref!$C$3:$C$12,"",1)</f>
        <v>1</v>
      </c>
      <c r="M42" s="11">
        <f>_xlfn.XLOOKUP(H42,Ref!$B$3:$B$12,Ref!$C$3:$C$12,"",1)</f>
        <v>1</v>
      </c>
      <c r="AP42" t="s">
        <v>111</v>
      </c>
      <c r="AQ42" cm="1">
        <f t="array" ref="AQ42:AQ50">MMULT(_xlfn.ANCHORARRAY(AP30),AB14:AB22)</f>
        <v>1369.545454545454</v>
      </c>
    </row>
    <row r="43" spans="2:50" x14ac:dyDescent="0.25">
      <c r="B43" s="15" t="s">
        <v>3</v>
      </c>
      <c r="C43" s="9">
        <v>36.4</v>
      </c>
      <c r="D43" s="9">
        <v>37.5</v>
      </c>
      <c r="E43" s="10">
        <v>37.5</v>
      </c>
      <c r="F43" s="9">
        <f t="shared" si="8"/>
        <v>11.58647985708998</v>
      </c>
      <c r="G43" s="9">
        <f t="shared" si="9"/>
        <v>11.93662073189215</v>
      </c>
      <c r="H43" s="10">
        <f t="shared" si="10"/>
        <v>11.93662073189215</v>
      </c>
      <c r="K43" s="11">
        <f>_xlfn.XLOOKUP(F43,Ref!$B$3:$B$12,Ref!$C$3:$C$12,"",1)</f>
        <v>1</v>
      </c>
      <c r="L43" s="11">
        <f>_xlfn.XLOOKUP(G43,Ref!$B$3:$B$12,Ref!$C$3:$C$12,"",1)</f>
        <v>1</v>
      </c>
      <c r="M43" s="11">
        <f>_xlfn.XLOOKUP(H43,Ref!$B$3:$B$12,Ref!$C$3:$C$12,"",1)</f>
        <v>1</v>
      </c>
      <c r="AQ43">
        <v>1079.1942148760322</v>
      </c>
    </row>
    <row r="44" spans="2:50" x14ac:dyDescent="0.25">
      <c r="B44" s="15" t="s">
        <v>3</v>
      </c>
      <c r="C44" s="9">
        <v>71.5</v>
      </c>
      <c r="D44" s="9">
        <v>77.400000000000006</v>
      </c>
      <c r="E44" s="10">
        <v>79.7</v>
      </c>
      <c r="F44" s="9">
        <f t="shared" si="8"/>
        <v>22.759156862141033</v>
      </c>
      <c r="G44" s="9">
        <f t="shared" si="9"/>
        <v>24.637185190625402</v>
      </c>
      <c r="H44" s="10">
        <f t="shared" si="10"/>
        <v>25.36929792884812</v>
      </c>
      <c r="K44" s="11">
        <f>_xlfn.XLOOKUP(F44,Ref!$B$3:$B$12,Ref!$C$3:$C$12,"",1)</f>
        <v>2</v>
      </c>
      <c r="L44" s="11">
        <f>_xlfn.XLOOKUP(G44,Ref!$B$3:$B$12,Ref!$C$3:$C$12,"",1)</f>
        <v>2</v>
      </c>
      <c r="M44" s="11">
        <f>_xlfn.XLOOKUP(H44,Ref!$B$3:$B$12,Ref!$C$3:$C$12,"",1)</f>
        <v>2</v>
      </c>
      <c r="AQ44">
        <v>1551.5371900826447</v>
      </c>
    </row>
    <row r="45" spans="2:50" x14ac:dyDescent="0.25">
      <c r="B45" s="15" t="s">
        <v>13</v>
      </c>
      <c r="C45" s="9">
        <v>65</v>
      </c>
      <c r="D45" s="9">
        <v>68</v>
      </c>
      <c r="E45" s="10">
        <v>70.8</v>
      </c>
      <c r="F45" s="9">
        <f t="shared" si="8"/>
        <v>20.690142601946395</v>
      </c>
      <c r="G45" s="9">
        <f t="shared" si="9"/>
        <v>21.645072260497766</v>
      </c>
      <c r="H45" s="10">
        <f t="shared" si="10"/>
        <v>22.536339941812379</v>
      </c>
      <c r="K45" s="11">
        <f>_xlfn.XLOOKUP(F45,Ref!$B$3:$B$12,Ref!$C$3:$C$12,"",1)</f>
        <v>2</v>
      </c>
      <c r="L45" s="11">
        <f>_xlfn.XLOOKUP(G45,Ref!$B$3:$B$12,Ref!$C$3:$C$12,"",1)</f>
        <v>2</v>
      </c>
      <c r="M45" s="11">
        <f>_xlfn.XLOOKUP(H45,Ref!$B$3:$B$12,Ref!$C$3:$C$12,"",1)</f>
        <v>2</v>
      </c>
      <c r="AQ45">
        <v>150.14876033057854</v>
      </c>
    </row>
    <row r="46" spans="2:50" x14ac:dyDescent="0.25">
      <c r="B46" s="15" t="s">
        <v>13</v>
      </c>
      <c r="C46" s="9">
        <v>50.2</v>
      </c>
      <c r="D46" s="9">
        <v>55.9</v>
      </c>
      <c r="E46" s="10">
        <v>60</v>
      </c>
      <c r="F46" s="9">
        <f t="shared" si="8"/>
        <v>15.979156286426294</v>
      </c>
      <c r="G46" s="9">
        <f t="shared" si="9"/>
        <v>17.793522637673899</v>
      </c>
      <c r="H46" s="10">
        <f t="shared" si="10"/>
        <v>19.098593171027442</v>
      </c>
      <c r="K46" s="11">
        <f>_xlfn.XLOOKUP(F46,Ref!$B$3:$B$12,Ref!$C$3:$C$12,"",1)</f>
        <v>1</v>
      </c>
      <c r="L46" s="11">
        <f>_xlfn.XLOOKUP(G46,Ref!$B$3:$B$12,Ref!$C$3:$C$12,"",1)</f>
        <v>1</v>
      </c>
      <c r="M46" s="11">
        <f>_xlfn.XLOOKUP(H46,Ref!$B$3:$B$12,Ref!$C$3:$C$12,"",1)</f>
        <v>1</v>
      </c>
      <c r="AQ46">
        <v>141.80716253443526</v>
      </c>
    </row>
    <row r="47" spans="2:50" x14ac:dyDescent="0.25">
      <c r="B47" s="15" t="s">
        <v>5</v>
      </c>
      <c r="C47" s="9">
        <v>39.5</v>
      </c>
      <c r="D47" s="9">
        <v>40.200000000000003</v>
      </c>
      <c r="E47" s="10">
        <v>39.9</v>
      </c>
      <c r="F47" s="9">
        <f t="shared" si="8"/>
        <v>12.573240504259733</v>
      </c>
      <c r="G47" s="9">
        <f t="shared" si="9"/>
        <v>12.796057424588387</v>
      </c>
      <c r="H47" s="10">
        <f t="shared" si="10"/>
        <v>12.700564458733249</v>
      </c>
      <c r="K47" s="11">
        <f>_xlfn.XLOOKUP(F47,Ref!$B$3:$B$12,Ref!$C$3:$C$12,"",1)</f>
        <v>1</v>
      </c>
      <c r="L47" s="11">
        <f>_xlfn.XLOOKUP(G47,Ref!$B$3:$B$12,Ref!$C$3:$C$12,"",1)</f>
        <v>1</v>
      </c>
      <c r="M47" s="11">
        <f>_xlfn.XLOOKUP(H47,Ref!$B$3:$B$12,Ref!$C$3:$C$12,"",1)</f>
        <v>1</v>
      </c>
      <c r="AQ47">
        <v>475.47107438016485</v>
      </c>
    </row>
    <row r="48" spans="2:50" x14ac:dyDescent="0.25">
      <c r="B48" s="15" t="s">
        <v>3</v>
      </c>
      <c r="C48" s="9">
        <v>52.9</v>
      </c>
      <c r="D48" s="9">
        <v>56.8</v>
      </c>
      <c r="E48" s="10">
        <v>60.2</v>
      </c>
      <c r="F48" s="9">
        <f t="shared" si="8"/>
        <v>16.838592979122527</v>
      </c>
      <c r="G48" s="9">
        <f t="shared" si="9"/>
        <v>18.080001535239308</v>
      </c>
      <c r="H48" s="10">
        <f t="shared" si="10"/>
        <v>19.162255148264201</v>
      </c>
      <c r="K48" s="11">
        <f>_xlfn.XLOOKUP(F48,Ref!$B$3:$B$12,Ref!$C$3:$C$12,"",1)</f>
        <v>1</v>
      </c>
      <c r="L48" s="11">
        <f>_xlfn.XLOOKUP(G48,Ref!$B$3:$B$12,Ref!$C$3:$C$12,"",1)</f>
        <v>1</v>
      </c>
      <c r="M48" s="11">
        <f>_xlfn.XLOOKUP(H48,Ref!$B$3:$B$12,Ref!$C$3:$C$12,"",1)</f>
        <v>1</v>
      </c>
      <c r="AQ48">
        <v>75.07438016528917</v>
      </c>
    </row>
    <row r="49" spans="2:43" x14ac:dyDescent="0.25">
      <c r="B49" s="15" t="s">
        <v>3</v>
      </c>
      <c r="C49" s="9">
        <v>37.200000000000003</v>
      </c>
      <c r="D49" s="9">
        <v>38.200000000000003</v>
      </c>
      <c r="E49" s="10">
        <v>37.700000000000003</v>
      </c>
      <c r="F49" s="9">
        <f t="shared" si="8"/>
        <v>11.841127766037014</v>
      </c>
      <c r="G49" s="9">
        <f t="shared" si="9"/>
        <v>12.159437652220806</v>
      </c>
      <c r="H49" s="10">
        <f t="shared" si="10"/>
        <v>12.000282709128909</v>
      </c>
      <c r="K49" s="11">
        <f>_xlfn.XLOOKUP(F49,Ref!$B$3:$B$12,Ref!$C$3:$C$12,"",1)</f>
        <v>1</v>
      </c>
      <c r="L49" s="11">
        <f>_xlfn.XLOOKUP(G49,Ref!$B$3:$B$12,Ref!$C$3:$C$12,"",1)</f>
        <v>1</v>
      </c>
      <c r="M49" s="11">
        <f>_xlfn.XLOOKUP(H49,Ref!$B$3:$B$12,Ref!$C$3:$C$12,"",1)</f>
        <v>1</v>
      </c>
      <c r="AQ49">
        <v>50.049586776859435</v>
      </c>
    </row>
    <row r="50" spans="2:43" x14ac:dyDescent="0.25">
      <c r="B50" s="15" t="s">
        <v>14</v>
      </c>
      <c r="C50" s="9"/>
      <c r="D50" s="9">
        <v>35.5</v>
      </c>
      <c r="E50" s="10">
        <v>40.5</v>
      </c>
      <c r="F50" s="9" t="str">
        <f t="shared" si="8"/>
        <v/>
      </c>
      <c r="G50" s="9">
        <f t="shared" si="9"/>
        <v>11.300000959524569</v>
      </c>
      <c r="H50" s="10">
        <f t="shared" si="10"/>
        <v>12.891550390443523</v>
      </c>
      <c r="K50" s="11" t="str">
        <f>_xlfn.XLOOKUP(F50,Ref!$B$3:$B$12,Ref!$C$3:$C$12,"",1)</f>
        <v/>
      </c>
      <c r="L50" s="11">
        <f>_xlfn.XLOOKUP(G50,Ref!$B$3:$B$12,Ref!$C$3:$C$12,"",1)</f>
        <v>1</v>
      </c>
      <c r="M50" s="11">
        <f>_xlfn.XLOOKUP(H50,Ref!$B$3:$B$12,Ref!$C$3:$C$12,"",1)</f>
        <v>1</v>
      </c>
      <c r="AQ50">
        <v>0</v>
      </c>
    </row>
    <row r="51" spans="2:43" x14ac:dyDescent="0.25">
      <c r="B51" s="15" t="s">
        <v>5</v>
      </c>
      <c r="C51" s="9"/>
      <c r="D51" s="9">
        <v>32.200000000000003</v>
      </c>
      <c r="E51" s="10">
        <v>32.200000000000003</v>
      </c>
      <c r="F51" s="9" t="str">
        <f t="shared" si="8"/>
        <v/>
      </c>
      <c r="G51" s="9">
        <f t="shared" si="9"/>
        <v>10.249578335118061</v>
      </c>
      <c r="H51" s="10">
        <f t="shared" si="10"/>
        <v>10.249578335118061</v>
      </c>
      <c r="K51" s="11" t="str">
        <f>_xlfn.XLOOKUP(F51,Ref!$B$3:$B$12,Ref!$C$3:$C$12,"",1)</f>
        <v/>
      </c>
      <c r="L51" s="11">
        <f>_xlfn.XLOOKUP(G51,Ref!$B$3:$B$12,Ref!$C$3:$C$12,"",1)</f>
        <v>1</v>
      </c>
      <c r="M51" s="11">
        <f>_xlfn.XLOOKUP(H51,Ref!$B$3:$B$12,Ref!$C$3:$C$12,"",1)</f>
        <v>1</v>
      </c>
    </row>
    <row r="52" spans="2:43" x14ac:dyDescent="0.25">
      <c r="B52" s="15" t="s">
        <v>7</v>
      </c>
      <c r="C52" s="9"/>
      <c r="D52" s="9">
        <v>41.6</v>
      </c>
      <c r="E52" s="10">
        <v>51.3</v>
      </c>
      <c r="F52" s="9" t="str">
        <f t="shared" si="8"/>
        <v/>
      </c>
      <c r="G52" s="9">
        <f t="shared" si="9"/>
        <v>13.241691265245693</v>
      </c>
      <c r="H52" s="10">
        <f t="shared" si="10"/>
        <v>16.32929716122846</v>
      </c>
      <c r="K52" s="11" t="str">
        <f>_xlfn.XLOOKUP(F52,Ref!$B$3:$B$12,Ref!$C$3:$C$12,"",1)</f>
        <v/>
      </c>
      <c r="L52" s="11">
        <f>_xlfn.XLOOKUP(G52,Ref!$B$3:$B$12,Ref!$C$3:$C$12,"",1)</f>
        <v>1</v>
      </c>
      <c r="M52" s="11">
        <f>_xlfn.XLOOKUP(H52,Ref!$B$3:$B$12,Ref!$C$3:$C$12,"",1)</f>
        <v>1</v>
      </c>
    </row>
    <row r="53" spans="2:43" x14ac:dyDescent="0.25">
      <c r="B53" s="15" t="s">
        <v>15</v>
      </c>
      <c r="C53" s="9"/>
      <c r="D53" s="9">
        <v>34.700000000000003</v>
      </c>
      <c r="E53" s="10">
        <v>43.8</v>
      </c>
      <c r="F53" s="9" t="str">
        <f t="shared" si="8"/>
        <v/>
      </c>
      <c r="G53" s="9">
        <f t="shared" si="9"/>
        <v>11.045353050577537</v>
      </c>
      <c r="H53" s="10">
        <f t="shared" si="10"/>
        <v>13.941973014850031</v>
      </c>
      <c r="K53" s="11" t="str">
        <f>_xlfn.XLOOKUP(F53,Ref!$B$3:$B$12,Ref!$C$3:$C$12,"",1)</f>
        <v/>
      </c>
      <c r="L53" s="11">
        <f>_xlfn.XLOOKUP(G53,Ref!$B$3:$B$12,Ref!$C$3:$C$12,"",1)</f>
        <v>1</v>
      </c>
      <c r="M53" s="11">
        <f>_xlfn.XLOOKUP(H53,Ref!$B$3:$B$12,Ref!$C$3:$C$12,"",1)</f>
        <v>1</v>
      </c>
    </row>
    <row r="54" spans="2:43" x14ac:dyDescent="0.25">
      <c r="B54" s="15" t="s">
        <v>16</v>
      </c>
      <c r="C54" s="9"/>
      <c r="D54" s="9"/>
      <c r="E54" s="10">
        <v>33.5</v>
      </c>
      <c r="F54" s="9" t="str">
        <f t="shared" si="8"/>
        <v/>
      </c>
      <c r="G54" s="9" t="str">
        <f t="shared" si="9"/>
        <v/>
      </c>
      <c r="H54" s="10">
        <f t="shared" si="10"/>
        <v>10.663381187156988</v>
      </c>
      <c r="K54" s="11" t="str">
        <f>_xlfn.XLOOKUP(F54,Ref!$B$3:$B$12,Ref!$C$3:$C$12,"",1)</f>
        <v/>
      </c>
      <c r="L54" s="11" t="str">
        <f>_xlfn.XLOOKUP(G54,Ref!$B$3:$B$12,Ref!$C$3:$C$12,"",1)</f>
        <v/>
      </c>
      <c r="M54" s="11">
        <f>_xlfn.XLOOKUP(H54,Ref!$B$3:$B$12,Ref!$C$3:$C$12,"",1)</f>
        <v>1</v>
      </c>
    </row>
    <row r="55" spans="2:43" x14ac:dyDescent="0.25">
      <c r="B55" s="15" t="s">
        <v>16</v>
      </c>
      <c r="C55" s="9"/>
      <c r="D55" s="9"/>
      <c r="E55" s="10">
        <v>35.200000000000003</v>
      </c>
      <c r="F55" s="9" t="str">
        <f t="shared" si="8"/>
        <v/>
      </c>
      <c r="G55" s="9" t="str">
        <f t="shared" si="9"/>
        <v/>
      </c>
      <c r="H55" s="10">
        <f t="shared" si="10"/>
        <v>11.204507993669433</v>
      </c>
      <c r="K55" s="11" t="str">
        <f>_xlfn.XLOOKUP(F55,Ref!$B$3:$B$12,Ref!$C$3:$C$12,"",1)</f>
        <v/>
      </c>
      <c r="L55" s="11" t="str">
        <f>_xlfn.XLOOKUP(G55,Ref!$B$3:$B$12,Ref!$C$3:$C$12,"",1)</f>
        <v/>
      </c>
      <c r="M55" s="11">
        <f>_xlfn.XLOOKUP(H55,Ref!$B$3:$B$12,Ref!$C$3:$C$12,"",1)</f>
        <v>1</v>
      </c>
    </row>
    <row r="56" spans="2:43" x14ac:dyDescent="0.25">
      <c r="B56" s="15" t="s">
        <v>3</v>
      </c>
      <c r="C56" s="9">
        <v>67.5</v>
      </c>
      <c r="D56" s="9">
        <v>74.2</v>
      </c>
      <c r="E56" s="10">
        <v>80.2</v>
      </c>
      <c r="F56" s="9">
        <f t="shared" si="8"/>
        <v>21.485917317405871</v>
      </c>
      <c r="G56" s="9">
        <f t="shared" si="9"/>
        <v>23.618593554837268</v>
      </c>
      <c r="H56" s="10">
        <f t="shared" si="10"/>
        <v>25.528452871940015</v>
      </c>
      <c r="K56" s="11">
        <f>_xlfn.XLOOKUP(F56,Ref!$B$3:$B$12,Ref!$C$3:$C$12,"",1)</f>
        <v>2</v>
      </c>
      <c r="L56" s="11">
        <f>_xlfn.XLOOKUP(G56,Ref!$B$3:$B$12,Ref!$C$3:$C$12,"",1)</f>
        <v>2</v>
      </c>
      <c r="M56" s="11">
        <f>_xlfn.XLOOKUP(H56,Ref!$B$3:$B$12,Ref!$C$3:$C$12,"",1)</f>
        <v>2</v>
      </c>
    </row>
    <row r="57" spans="2:43" x14ac:dyDescent="0.25">
      <c r="B57" s="15" t="s">
        <v>3</v>
      </c>
      <c r="C57" s="9">
        <v>64.900000000000006</v>
      </c>
      <c r="D57" s="9">
        <v>69.5</v>
      </c>
      <c r="E57" s="10">
        <v>74.5</v>
      </c>
      <c r="F57" s="9">
        <f t="shared" si="8"/>
        <v>20.658311613328017</v>
      </c>
      <c r="G57" s="9">
        <f t="shared" si="9"/>
        <v>22.122537089773452</v>
      </c>
      <c r="H57" s="10">
        <f t="shared" si="10"/>
        <v>23.714086520692405</v>
      </c>
      <c r="K57" s="11">
        <f>_xlfn.XLOOKUP(F57,Ref!$B$3:$B$12,Ref!$C$3:$C$12,"",1)</f>
        <v>2</v>
      </c>
      <c r="L57" s="11">
        <f>_xlfn.XLOOKUP(G57,Ref!$B$3:$B$12,Ref!$C$3:$C$12,"",1)</f>
        <v>2</v>
      </c>
      <c r="M57" s="11">
        <f>_xlfn.XLOOKUP(H57,Ref!$B$3:$B$12,Ref!$C$3:$C$12,"",1)</f>
        <v>2</v>
      </c>
    </row>
    <row r="58" spans="2:43" x14ac:dyDescent="0.25">
      <c r="B58" s="15" t="s">
        <v>3</v>
      </c>
      <c r="C58" s="9">
        <v>43.2</v>
      </c>
      <c r="D58" s="9">
        <v>45.2</v>
      </c>
      <c r="E58" s="10">
        <v>45.5</v>
      </c>
      <c r="F58" s="9">
        <f t="shared" si="8"/>
        <v>13.750987083139758</v>
      </c>
      <c r="G58" s="9">
        <f t="shared" si="9"/>
        <v>14.38760685550734</v>
      </c>
      <c r="H58" s="10">
        <f t="shared" si="10"/>
        <v>14.483099821362476</v>
      </c>
      <c r="K58" s="11">
        <f>_xlfn.XLOOKUP(F58,Ref!$B$3:$B$12,Ref!$C$3:$C$12,"",1)</f>
        <v>1</v>
      </c>
      <c r="L58" s="11">
        <f>_xlfn.XLOOKUP(G58,Ref!$B$3:$B$12,Ref!$C$3:$C$12,"",1)</f>
        <v>1</v>
      </c>
      <c r="M58" s="11">
        <f>_xlfn.XLOOKUP(H58,Ref!$B$3:$B$12,Ref!$C$3:$C$12,"",1)</f>
        <v>1</v>
      </c>
    </row>
    <row r="59" spans="2:43" x14ac:dyDescent="0.25">
      <c r="B59" s="15" t="s">
        <v>3</v>
      </c>
      <c r="C59" s="9">
        <v>71</v>
      </c>
      <c r="D59" s="9">
        <v>77.400000000000006</v>
      </c>
      <c r="E59" s="10">
        <v>81</v>
      </c>
      <c r="F59" s="9">
        <f t="shared" si="8"/>
        <v>22.600001919049138</v>
      </c>
      <c r="G59" s="9">
        <f t="shared" si="9"/>
        <v>24.637185190625402</v>
      </c>
      <c r="H59" s="10">
        <f t="shared" si="10"/>
        <v>25.783100780887047</v>
      </c>
      <c r="K59" s="11">
        <f>_xlfn.XLOOKUP(F59,Ref!$B$3:$B$12,Ref!$C$3:$C$12,"",1)</f>
        <v>2</v>
      </c>
      <c r="L59" s="11">
        <f>_xlfn.XLOOKUP(G59,Ref!$B$3:$B$12,Ref!$C$3:$C$12,"",1)</f>
        <v>2</v>
      </c>
      <c r="M59" s="11">
        <f>_xlfn.XLOOKUP(H59,Ref!$B$3:$B$12,Ref!$C$3:$C$12,"",1)</f>
        <v>2</v>
      </c>
    </row>
    <row r="60" spans="2:43" x14ac:dyDescent="0.25">
      <c r="B60" s="15" t="s">
        <v>3</v>
      </c>
      <c r="C60" s="9">
        <v>65.099999999999994</v>
      </c>
      <c r="D60" s="9">
        <v>71</v>
      </c>
      <c r="E60" s="10">
        <v>77.3</v>
      </c>
      <c r="F60" s="9">
        <f t="shared" si="8"/>
        <v>20.721973590564772</v>
      </c>
      <c r="G60" s="9">
        <f t="shared" si="9"/>
        <v>22.600001919049138</v>
      </c>
      <c r="H60" s="10">
        <f t="shared" si="10"/>
        <v>24.605354202007018</v>
      </c>
      <c r="K60" s="11">
        <f>_xlfn.XLOOKUP(F60,Ref!$B$3:$B$12,Ref!$C$3:$C$12,"",1)</f>
        <v>2</v>
      </c>
      <c r="L60" s="11">
        <f>_xlfn.XLOOKUP(G60,Ref!$B$3:$B$12,Ref!$C$3:$C$12,"",1)</f>
        <v>2</v>
      </c>
      <c r="M60" s="11">
        <f>_xlfn.XLOOKUP(H60,Ref!$B$3:$B$12,Ref!$C$3:$C$12,"",1)</f>
        <v>2</v>
      </c>
    </row>
    <row r="61" spans="2:43" x14ac:dyDescent="0.25">
      <c r="B61" s="15" t="s">
        <v>3</v>
      </c>
      <c r="C61" s="9">
        <v>37.9</v>
      </c>
      <c r="D61" s="9">
        <v>41.6</v>
      </c>
      <c r="E61" s="10">
        <v>45.2</v>
      </c>
      <c r="F61" s="9">
        <f t="shared" si="8"/>
        <v>12.063944686365666</v>
      </c>
      <c r="G61" s="9">
        <f t="shared" si="9"/>
        <v>13.241691265245693</v>
      </c>
      <c r="H61" s="10">
        <f t="shared" si="10"/>
        <v>14.38760685550734</v>
      </c>
      <c r="K61" s="11">
        <f>_xlfn.XLOOKUP(F61,Ref!$B$3:$B$12,Ref!$C$3:$C$12,"",1)</f>
        <v>1</v>
      </c>
      <c r="L61" s="11">
        <f>_xlfn.XLOOKUP(G61,Ref!$B$3:$B$12,Ref!$C$3:$C$12,"",1)</f>
        <v>1</v>
      </c>
      <c r="M61" s="11">
        <f>_xlfn.XLOOKUP(H61,Ref!$B$3:$B$12,Ref!$C$3:$C$12,"",1)</f>
        <v>1</v>
      </c>
    </row>
    <row r="62" spans="2:43" x14ac:dyDescent="0.25">
      <c r="B62" s="15" t="s">
        <v>3</v>
      </c>
      <c r="C62" s="9">
        <v>55.5</v>
      </c>
      <c r="D62" s="9">
        <v>57.3</v>
      </c>
      <c r="E62" s="10">
        <v>59.2</v>
      </c>
      <c r="F62" s="9">
        <f t="shared" si="8"/>
        <v>17.666198683200381</v>
      </c>
      <c r="G62" s="9">
        <f t="shared" si="9"/>
        <v>18.239156478331207</v>
      </c>
      <c r="H62" s="10">
        <f t="shared" si="10"/>
        <v>18.84394526208041</v>
      </c>
      <c r="K62" s="11">
        <f>_xlfn.XLOOKUP(F62,Ref!$B$3:$B$12,Ref!$C$3:$C$12,"",1)</f>
        <v>1</v>
      </c>
      <c r="L62" s="11">
        <f>_xlfn.XLOOKUP(G62,Ref!$B$3:$B$12,Ref!$C$3:$C$12,"",1)</f>
        <v>1</v>
      </c>
      <c r="M62" s="11">
        <f>_xlfn.XLOOKUP(H62,Ref!$B$3:$B$12,Ref!$C$3:$C$12,"",1)</f>
        <v>1</v>
      </c>
    </row>
    <row r="63" spans="2:43" x14ac:dyDescent="0.25">
      <c r="B63" s="15" t="s">
        <v>3</v>
      </c>
      <c r="C63" s="9">
        <v>47.6</v>
      </c>
      <c r="D63" s="9">
        <v>50.8</v>
      </c>
      <c r="E63" s="10">
        <v>53.5</v>
      </c>
      <c r="F63" s="9">
        <f t="shared" si="8"/>
        <v>15.151550582348436</v>
      </c>
      <c r="G63" s="9">
        <f t="shared" si="9"/>
        <v>16.170142218136565</v>
      </c>
      <c r="H63" s="10">
        <f t="shared" si="10"/>
        <v>17.0295789108328</v>
      </c>
      <c r="K63" s="11">
        <f>_xlfn.XLOOKUP(F63,Ref!$B$3:$B$12,Ref!$C$3:$C$12,"",1)</f>
        <v>1</v>
      </c>
      <c r="L63" s="11">
        <f>_xlfn.XLOOKUP(G63,Ref!$B$3:$B$12,Ref!$C$3:$C$12,"",1)</f>
        <v>1</v>
      </c>
      <c r="M63" s="11">
        <f>_xlfn.XLOOKUP(H63,Ref!$B$3:$B$12,Ref!$C$3:$C$12,"",1)</f>
        <v>1</v>
      </c>
    </row>
    <row r="64" spans="2:43" x14ac:dyDescent="0.25">
      <c r="B64" s="15" t="s">
        <v>3</v>
      </c>
      <c r="C64" s="9">
        <v>49.4</v>
      </c>
      <c r="D64" s="9">
        <v>51.8</v>
      </c>
      <c r="E64" s="10">
        <v>54.6</v>
      </c>
      <c r="F64" s="9">
        <f t="shared" si="8"/>
        <v>15.724508377479259</v>
      </c>
      <c r="G64" s="9">
        <f t="shared" si="9"/>
        <v>16.488452104320356</v>
      </c>
      <c r="H64" s="10">
        <f t="shared" si="10"/>
        <v>17.379719785634972</v>
      </c>
      <c r="K64" s="11">
        <f>_xlfn.XLOOKUP(F64,Ref!$B$3:$B$12,Ref!$C$3:$C$12,"",1)</f>
        <v>1</v>
      </c>
      <c r="L64" s="11">
        <f>_xlfn.XLOOKUP(G64,Ref!$B$3:$B$12,Ref!$C$3:$C$12,"",1)</f>
        <v>1</v>
      </c>
      <c r="M64" s="11">
        <f>_xlfn.XLOOKUP(H64,Ref!$B$3:$B$12,Ref!$C$3:$C$12,"",1)</f>
        <v>1</v>
      </c>
    </row>
    <row r="65" spans="2:13" x14ac:dyDescent="0.25">
      <c r="B65" s="15" t="s">
        <v>19</v>
      </c>
      <c r="C65" s="9">
        <v>39.200000000000003</v>
      </c>
      <c r="D65" s="9">
        <v>39.9</v>
      </c>
      <c r="E65" s="10">
        <v>0</v>
      </c>
      <c r="F65" s="9">
        <f t="shared" si="8"/>
        <v>12.477747538404596</v>
      </c>
      <c r="G65" s="9">
        <f t="shared" si="9"/>
        <v>12.700564458733249</v>
      </c>
      <c r="H65" s="10">
        <f t="shared" si="10"/>
        <v>0</v>
      </c>
      <c r="K65" s="11">
        <f>_xlfn.XLOOKUP(F65,Ref!$B$3:$B$12,Ref!$C$3:$C$12,"",1)</f>
        <v>1</v>
      </c>
      <c r="L65" s="11">
        <f>_xlfn.XLOOKUP(G65,Ref!$B$3:$B$12,Ref!$C$3:$C$12,"",1)</f>
        <v>1</v>
      </c>
      <c r="M65" s="11" t="str">
        <f>_xlfn.XLOOKUP(H65,Ref!$B$3:$B$12,Ref!$C$3:$C$12,"",1)</f>
        <v>Morta</v>
      </c>
    </row>
    <row r="66" spans="2:13" x14ac:dyDescent="0.25">
      <c r="B66" s="15" t="s">
        <v>3</v>
      </c>
      <c r="C66" s="9">
        <v>34.700000000000003</v>
      </c>
      <c r="D66" s="9">
        <v>35.299999999999997</v>
      </c>
      <c r="E66" s="10">
        <v>35.799999999999997</v>
      </c>
      <c r="F66" s="9">
        <f t="shared" si="8"/>
        <v>11.045353050577537</v>
      </c>
      <c r="G66" s="9">
        <f t="shared" si="9"/>
        <v>11.23633898228781</v>
      </c>
      <c r="H66" s="10">
        <f t="shared" si="10"/>
        <v>11.395493925379705</v>
      </c>
      <c r="K66" s="11">
        <f>_xlfn.XLOOKUP(F66,Ref!$B$3:$B$12,Ref!$C$3:$C$12,"",1)</f>
        <v>1</v>
      </c>
      <c r="L66" s="11">
        <f>_xlfn.XLOOKUP(G66,Ref!$B$3:$B$12,Ref!$C$3:$C$12,"",1)</f>
        <v>1</v>
      </c>
      <c r="M66" s="11">
        <f>_xlfn.XLOOKUP(H66,Ref!$B$3:$B$12,Ref!$C$3:$C$12,"",1)</f>
        <v>1</v>
      </c>
    </row>
    <row r="67" spans="2:13" x14ac:dyDescent="0.25">
      <c r="B67" s="15" t="s">
        <v>5</v>
      </c>
      <c r="C67" s="9">
        <v>34.299999999999997</v>
      </c>
      <c r="D67" s="9">
        <v>35.1</v>
      </c>
      <c r="E67" s="10">
        <v>0</v>
      </c>
      <c r="F67" s="9">
        <f t="shared" si="8"/>
        <v>10.91802909610402</v>
      </c>
      <c r="G67" s="9">
        <f t="shared" si="9"/>
        <v>11.172677005051053</v>
      </c>
      <c r="H67" s="10">
        <f t="shared" si="10"/>
        <v>0</v>
      </c>
      <c r="K67" s="11">
        <f>_xlfn.XLOOKUP(F67,Ref!$B$3:$B$12,Ref!$C$3:$C$12,"",1)</f>
        <v>1</v>
      </c>
      <c r="L67" s="11">
        <f>_xlfn.XLOOKUP(G67,Ref!$B$3:$B$12,Ref!$C$3:$C$12,"",1)</f>
        <v>1</v>
      </c>
      <c r="M67" s="11" t="str">
        <f>_xlfn.XLOOKUP(H67,Ref!$B$3:$B$12,Ref!$C$3:$C$12,"",1)</f>
        <v>Morta</v>
      </c>
    </row>
    <row r="68" spans="2:13" x14ac:dyDescent="0.25">
      <c r="B68" s="15" t="s">
        <v>5</v>
      </c>
      <c r="C68" s="9">
        <v>39.1</v>
      </c>
      <c r="D68" s="9">
        <v>42.4</v>
      </c>
      <c r="E68" s="10">
        <v>43.7</v>
      </c>
      <c r="F68" s="9">
        <f t="shared" si="8"/>
        <v>12.445916549786217</v>
      </c>
      <c r="G68" s="9">
        <f t="shared" si="9"/>
        <v>13.496339174192725</v>
      </c>
      <c r="H68" s="10">
        <f t="shared" si="10"/>
        <v>13.910142026231654</v>
      </c>
      <c r="K68" s="11">
        <f>_xlfn.XLOOKUP(F68,Ref!$B$3:$B$12,Ref!$C$3:$C$12,"",1)</f>
        <v>1</v>
      </c>
      <c r="L68" s="11">
        <f>_xlfn.XLOOKUP(G68,Ref!$B$3:$B$12,Ref!$C$3:$C$12,"",1)</f>
        <v>1</v>
      </c>
      <c r="M68" s="11">
        <f>_xlfn.XLOOKUP(H68,Ref!$B$3:$B$12,Ref!$C$3:$C$12,"",1)</f>
        <v>1</v>
      </c>
    </row>
    <row r="69" spans="2:13" x14ac:dyDescent="0.25">
      <c r="B69" s="15" t="s">
        <v>5</v>
      </c>
      <c r="C69" s="9">
        <v>31.6</v>
      </c>
      <c r="D69" s="9">
        <v>32.5</v>
      </c>
      <c r="E69" s="10">
        <v>33.1</v>
      </c>
      <c r="F69" s="9">
        <f t="shared" si="8"/>
        <v>10.058592403407786</v>
      </c>
      <c r="G69" s="9">
        <f t="shared" si="9"/>
        <v>10.345071300973197</v>
      </c>
      <c r="H69" s="10">
        <f t="shared" si="10"/>
        <v>10.536057232683472</v>
      </c>
      <c r="K69" s="11">
        <f>_xlfn.XLOOKUP(F69,Ref!$B$3:$B$12,Ref!$C$3:$C$12,"",1)</f>
        <v>1</v>
      </c>
      <c r="L69" s="11">
        <f>_xlfn.XLOOKUP(G69,Ref!$B$3:$B$12,Ref!$C$3:$C$12,"",1)</f>
        <v>1</v>
      </c>
      <c r="M69" s="11">
        <f>_xlfn.XLOOKUP(H69,Ref!$B$3:$B$12,Ref!$C$3:$C$12,"",1)</f>
        <v>1</v>
      </c>
    </row>
    <row r="70" spans="2:13" x14ac:dyDescent="0.25">
      <c r="B70" s="15" t="s">
        <v>5</v>
      </c>
      <c r="C70" s="9">
        <v>35.799999999999997</v>
      </c>
      <c r="D70" s="9">
        <v>36.6</v>
      </c>
      <c r="E70" s="10">
        <v>37</v>
      </c>
      <c r="F70" s="9">
        <f t="shared" si="8"/>
        <v>11.395493925379705</v>
      </c>
      <c r="G70" s="9">
        <f t="shared" si="9"/>
        <v>11.650141834326739</v>
      </c>
      <c r="H70" s="10">
        <f t="shared" si="10"/>
        <v>11.777465788800255</v>
      </c>
      <c r="K70" s="11">
        <f>_xlfn.XLOOKUP(F70,Ref!$B$3:$B$12,Ref!$C$3:$C$12,"",1)</f>
        <v>1</v>
      </c>
      <c r="L70" s="11">
        <f>_xlfn.XLOOKUP(G70,Ref!$B$3:$B$12,Ref!$C$3:$C$12,"",1)</f>
        <v>1</v>
      </c>
      <c r="M70" s="11">
        <f>_xlfn.XLOOKUP(H70,Ref!$B$3:$B$12,Ref!$C$3:$C$12,"",1)</f>
        <v>1</v>
      </c>
    </row>
    <row r="71" spans="2:13" x14ac:dyDescent="0.25">
      <c r="B71" s="15" t="s">
        <v>5</v>
      </c>
      <c r="C71" s="9">
        <v>31.5</v>
      </c>
      <c r="D71" s="9">
        <v>32.5</v>
      </c>
      <c r="E71" s="10">
        <v>32.5</v>
      </c>
      <c r="F71" s="9">
        <f t="shared" si="8"/>
        <v>10.026761414789407</v>
      </c>
      <c r="G71" s="9">
        <f t="shared" si="9"/>
        <v>10.345071300973197</v>
      </c>
      <c r="H71" s="10">
        <f t="shared" si="10"/>
        <v>10.345071300973197</v>
      </c>
      <c r="K71" s="11">
        <f>_xlfn.XLOOKUP(F71,Ref!$B$3:$B$12,Ref!$C$3:$C$12,"",1)</f>
        <v>1</v>
      </c>
      <c r="L71" s="11">
        <f>_xlfn.XLOOKUP(G71,Ref!$B$3:$B$12,Ref!$C$3:$C$12,"",1)</f>
        <v>1</v>
      </c>
      <c r="M71" s="11">
        <f>_xlfn.XLOOKUP(H71,Ref!$B$3:$B$12,Ref!$C$3:$C$12,"",1)</f>
        <v>1</v>
      </c>
    </row>
    <row r="72" spans="2:13" x14ac:dyDescent="0.25">
      <c r="B72" s="15" t="s">
        <v>5</v>
      </c>
      <c r="C72" s="9">
        <v>32.200000000000003</v>
      </c>
      <c r="D72" s="9">
        <v>32.700000000000003</v>
      </c>
      <c r="E72" s="10">
        <v>33</v>
      </c>
      <c r="F72" s="9">
        <f t="shared" ref="F72:F131" si="16">IF(C72="", "", C72/PI())</f>
        <v>10.249578335118061</v>
      </c>
      <c r="G72" s="9">
        <f t="shared" ref="G72:G131" si="17">IF(D72="", "", D72/PI())</f>
        <v>10.408733278209956</v>
      </c>
      <c r="H72" s="10">
        <f t="shared" ref="H72:H131" si="18">IF(E72="", "", E72/PI())</f>
        <v>10.504226244065093</v>
      </c>
      <c r="K72" s="11">
        <f>_xlfn.XLOOKUP(F72,Ref!$B$3:$B$12,Ref!$C$3:$C$12,"",1)</f>
        <v>1</v>
      </c>
      <c r="L72" s="11">
        <f>_xlfn.XLOOKUP(G72,Ref!$B$3:$B$12,Ref!$C$3:$C$12,"",1)</f>
        <v>1</v>
      </c>
      <c r="M72" s="11">
        <f>_xlfn.XLOOKUP(H72,Ref!$B$3:$B$12,Ref!$C$3:$C$12,"",1)</f>
        <v>1</v>
      </c>
    </row>
    <row r="73" spans="2:13" x14ac:dyDescent="0.25">
      <c r="B73" s="15" t="s">
        <v>5</v>
      </c>
      <c r="C73" s="9">
        <v>37.5</v>
      </c>
      <c r="D73" s="9">
        <v>38.6</v>
      </c>
      <c r="E73" s="10">
        <v>38.799999999999997</v>
      </c>
      <c r="F73" s="9">
        <f t="shared" si="16"/>
        <v>11.93662073189215</v>
      </c>
      <c r="G73" s="9">
        <f t="shared" si="17"/>
        <v>12.286761606694322</v>
      </c>
      <c r="H73" s="10">
        <f t="shared" si="18"/>
        <v>12.350423583931077</v>
      </c>
      <c r="K73" s="11">
        <f>_xlfn.XLOOKUP(F73,Ref!$B$3:$B$12,Ref!$C$3:$C$12,"",1)</f>
        <v>1</v>
      </c>
      <c r="L73" s="11">
        <f>_xlfn.XLOOKUP(G73,Ref!$B$3:$B$12,Ref!$C$3:$C$12,"",1)</f>
        <v>1</v>
      </c>
      <c r="M73" s="11">
        <f>_xlfn.XLOOKUP(H73,Ref!$B$3:$B$12,Ref!$C$3:$C$12,"",1)</f>
        <v>1</v>
      </c>
    </row>
    <row r="74" spans="2:13" x14ac:dyDescent="0.25">
      <c r="B74" s="15" t="s">
        <v>5</v>
      </c>
      <c r="C74" s="9">
        <v>34</v>
      </c>
      <c r="D74" s="9">
        <v>34.700000000000003</v>
      </c>
      <c r="E74" s="10">
        <v>34</v>
      </c>
      <c r="F74" s="9">
        <f t="shared" si="16"/>
        <v>10.822536130248883</v>
      </c>
      <c r="G74" s="9">
        <f t="shared" si="17"/>
        <v>11.045353050577537</v>
      </c>
      <c r="H74" s="10">
        <f t="shared" si="18"/>
        <v>10.822536130248883</v>
      </c>
      <c r="K74" s="11">
        <f>_xlfn.XLOOKUP(F74,Ref!$B$3:$B$12,Ref!$C$3:$C$12,"",1)</f>
        <v>1</v>
      </c>
      <c r="L74" s="11">
        <f>_xlfn.XLOOKUP(G74,Ref!$B$3:$B$12,Ref!$C$3:$C$12,"",1)</f>
        <v>1</v>
      </c>
      <c r="M74" s="11">
        <f>_xlfn.XLOOKUP(H74,Ref!$B$3:$B$12,Ref!$C$3:$C$12,"",1)</f>
        <v>1</v>
      </c>
    </row>
    <row r="75" spans="2:13" x14ac:dyDescent="0.25">
      <c r="B75" s="15" t="s">
        <v>5</v>
      </c>
      <c r="C75" s="9">
        <v>33.799999999999997</v>
      </c>
      <c r="D75" s="9">
        <v>34.1</v>
      </c>
      <c r="E75" s="10">
        <v>34.4</v>
      </c>
      <c r="F75" s="9">
        <f t="shared" si="16"/>
        <v>10.758874153012124</v>
      </c>
      <c r="G75" s="9">
        <f t="shared" si="17"/>
        <v>10.854367118867263</v>
      </c>
      <c r="H75" s="10">
        <f t="shared" si="18"/>
        <v>10.949860084722399</v>
      </c>
      <c r="K75" s="11">
        <f>_xlfn.XLOOKUP(F75,Ref!$B$3:$B$12,Ref!$C$3:$C$12,"",1)</f>
        <v>1</v>
      </c>
      <c r="L75" s="11">
        <f>_xlfn.XLOOKUP(G75,Ref!$B$3:$B$12,Ref!$C$3:$C$12,"",1)</f>
        <v>1</v>
      </c>
      <c r="M75" s="11">
        <f>_xlfn.XLOOKUP(H75,Ref!$B$3:$B$12,Ref!$C$3:$C$12,"",1)</f>
        <v>1</v>
      </c>
    </row>
    <row r="76" spans="2:13" x14ac:dyDescent="0.25">
      <c r="B76" s="15" t="s">
        <v>7</v>
      </c>
      <c r="C76" s="9">
        <v>59.5</v>
      </c>
      <c r="D76" s="9">
        <v>71.599999999999994</v>
      </c>
      <c r="E76" s="10">
        <v>77</v>
      </c>
      <c r="F76" s="9">
        <f t="shared" si="16"/>
        <v>18.939438227935547</v>
      </c>
      <c r="G76" s="9">
        <f t="shared" si="17"/>
        <v>22.790987850759411</v>
      </c>
      <c r="H76" s="10">
        <f t="shared" si="18"/>
        <v>24.509861236151881</v>
      </c>
      <c r="K76" s="11">
        <f>_xlfn.XLOOKUP(F76,Ref!$B$3:$B$12,Ref!$C$3:$C$12,"",1)</f>
        <v>1</v>
      </c>
      <c r="L76" s="11">
        <f>_xlfn.XLOOKUP(G76,Ref!$B$3:$B$12,Ref!$C$3:$C$12,"",1)</f>
        <v>2</v>
      </c>
      <c r="M76" s="11">
        <f>_xlfn.XLOOKUP(H76,Ref!$B$3:$B$12,Ref!$C$3:$C$12,"",1)</f>
        <v>2</v>
      </c>
    </row>
    <row r="77" spans="2:13" x14ac:dyDescent="0.25">
      <c r="B77" s="15" t="s">
        <v>5</v>
      </c>
      <c r="C77" s="9">
        <v>32.5</v>
      </c>
      <c r="D77" s="9">
        <v>34.200000000000003</v>
      </c>
      <c r="E77" s="10">
        <v>34.5</v>
      </c>
      <c r="F77" s="9">
        <f t="shared" si="16"/>
        <v>10.345071300973197</v>
      </c>
      <c r="G77" s="9">
        <f t="shared" si="17"/>
        <v>10.886198107485642</v>
      </c>
      <c r="H77" s="10">
        <f t="shared" si="18"/>
        <v>10.981691073340778</v>
      </c>
      <c r="K77" s="11">
        <f>_xlfn.XLOOKUP(F77,Ref!$B$3:$B$12,Ref!$C$3:$C$12,"",1)</f>
        <v>1</v>
      </c>
      <c r="L77" s="11">
        <f>_xlfn.XLOOKUP(G77,Ref!$B$3:$B$12,Ref!$C$3:$C$12,"",1)</f>
        <v>1</v>
      </c>
      <c r="M77" s="11">
        <f>_xlfn.XLOOKUP(H77,Ref!$B$3:$B$12,Ref!$C$3:$C$12,"",1)</f>
        <v>1</v>
      </c>
    </row>
    <row r="78" spans="2:13" x14ac:dyDescent="0.25">
      <c r="B78" s="15" t="s">
        <v>5</v>
      </c>
      <c r="C78" s="9">
        <v>51.5</v>
      </c>
      <c r="D78" s="9">
        <v>0</v>
      </c>
      <c r="E78" s="10">
        <v>0</v>
      </c>
      <c r="F78" s="9">
        <f t="shared" si="16"/>
        <v>16.392959138465219</v>
      </c>
      <c r="G78" s="9">
        <f t="shared" si="17"/>
        <v>0</v>
      </c>
      <c r="H78" s="10">
        <f t="shared" si="18"/>
        <v>0</v>
      </c>
      <c r="K78" s="11">
        <f>_xlfn.XLOOKUP(F78,Ref!$B$3:$B$12,Ref!$C$3:$C$12,"",1)</f>
        <v>1</v>
      </c>
      <c r="L78" s="11" t="str">
        <f>_xlfn.XLOOKUP(G78,Ref!$B$3:$B$12,Ref!$C$3:$C$12,"",1)</f>
        <v>Morta</v>
      </c>
      <c r="M78" s="11" t="str">
        <f>_xlfn.XLOOKUP(H78,Ref!$B$3:$B$12,Ref!$C$3:$C$12,"",1)</f>
        <v>Morta</v>
      </c>
    </row>
    <row r="79" spans="2:13" x14ac:dyDescent="0.25">
      <c r="B79" s="15" t="s">
        <v>11</v>
      </c>
      <c r="C79" s="9">
        <v>52.9</v>
      </c>
      <c r="D79" s="9">
        <v>61</v>
      </c>
      <c r="E79" s="10">
        <v>63</v>
      </c>
      <c r="F79" s="9">
        <f t="shared" si="16"/>
        <v>16.838592979122527</v>
      </c>
      <c r="G79" s="9">
        <f t="shared" si="17"/>
        <v>19.416903057211233</v>
      </c>
      <c r="H79" s="10">
        <f t="shared" si="18"/>
        <v>20.053522829578814</v>
      </c>
      <c r="K79" s="11">
        <f>_xlfn.XLOOKUP(F79,Ref!$B$3:$B$12,Ref!$C$3:$C$12,"",1)</f>
        <v>1</v>
      </c>
      <c r="L79" s="11">
        <f>_xlfn.XLOOKUP(G79,Ref!$B$3:$B$12,Ref!$C$3:$C$12,"",1)</f>
        <v>1</v>
      </c>
      <c r="M79" s="11">
        <f>_xlfn.XLOOKUP(H79,Ref!$B$3:$B$12,Ref!$C$3:$C$12,"",1)</f>
        <v>2</v>
      </c>
    </row>
    <row r="80" spans="2:13" x14ac:dyDescent="0.25">
      <c r="B80" s="15" t="s">
        <v>7</v>
      </c>
      <c r="C80" s="9">
        <v>60.1</v>
      </c>
      <c r="D80" s="9">
        <v>0</v>
      </c>
      <c r="E80" s="10">
        <v>0</v>
      </c>
      <c r="F80" s="9">
        <f t="shared" si="16"/>
        <v>19.13042415964582</v>
      </c>
      <c r="G80" s="9">
        <f t="shared" si="17"/>
        <v>0</v>
      </c>
      <c r="H80" s="10">
        <f t="shared" si="18"/>
        <v>0</v>
      </c>
      <c r="K80" s="11">
        <f>_xlfn.XLOOKUP(F80,Ref!$B$3:$B$12,Ref!$C$3:$C$12,"",1)</f>
        <v>1</v>
      </c>
      <c r="L80" s="11" t="str">
        <f>_xlfn.XLOOKUP(G80,Ref!$B$3:$B$12,Ref!$C$3:$C$12,"",1)</f>
        <v>Morta</v>
      </c>
      <c r="M80" s="11" t="str">
        <f>_xlfn.XLOOKUP(H80,Ref!$B$3:$B$12,Ref!$C$3:$C$12,"",1)</f>
        <v>Morta</v>
      </c>
    </row>
    <row r="81" spans="2:13" x14ac:dyDescent="0.25">
      <c r="B81" s="15" t="s">
        <v>5</v>
      </c>
      <c r="C81" s="9">
        <v>42.7</v>
      </c>
      <c r="D81" s="9">
        <v>45.5</v>
      </c>
      <c r="E81" s="10">
        <v>48.4</v>
      </c>
      <c r="F81" s="9">
        <f t="shared" si="16"/>
        <v>13.591832140047863</v>
      </c>
      <c r="G81" s="9">
        <f t="shared" si="17"/>
        <v>14.483099821362476</v>
      </c>
      <c r="H81" s="10">
        <f t="shared" si="18"/>
        <v>15.406198491295468</v>
      </c>
      <c r="K81" s="11">
        <f>_xlfn.XLOOKUP(F81,Ref!$B$3:$B$12,Ref!$C$3:$C$12,"",1)</f>
        <v>1</v>
      </c>
      <c r="L81" s="11">
        <f>_xlfn.XLOOKUP(G81,Ref!$B$3:$B$12,Ref!$C$3:$C$12,"",1)</f>
        <v>1</v>
      </c>
      <c r="M81" s="11">
        <f>_xlfn.XLOOKUP(H81,Ref!$B$3:$B$12,Ref!$C$3:$C$12,"",1)</f>
        <v>1</v>
      </c>
    </row>
    <row r="82" spans="2:13" x14ac:dyDescent="0.25">
      <c r="B82" s="15" t="s">
        <v>5</v>
      </c>
      <c r="C82" s="9">
        <v>48.3</v>
      </c>
      <c r="D82" s="9">
        <v>51.4</v>
      </c>
      <c r="E82" s="10">
        <v>51.7</v>
      </c>
      <c r="F82" s="9">
        <f t="shared" si="16"/>
        <v>15.374367502677089</v>
      </c>
      <c r="G82" s="9">
        <f t="shared" si="17"/>
        <v>16.361128149846841</v>
      </c>
      <c r="H82" s="10">
        <f t="shared" si="18"/>
        <v>16.456621115701978</v>
      </c>
      <c r="K82" s="11">
        <f>_xlfn.XLOOKUP(F82,Ref!$B$3:$B$12,Ref!$C$3:$C$12,"",1)</f>
        <v>1</v>
      </c>
      <c r="L82" s="11">
        <f>_xlfn.XLOOKUP(G82,Ref!$B$3:$B$12,Ref!$C$3:$C$12,"",1)</f>
        <v>1</v>
      </c>
      <c r="M82" s="11">
        <f>_xlfn.XLOOKUP(H82,Ref!$B$3:$B$12,Ref!$C$3:$C$12,"",1)</f>
        <v>1</v>
      </c>
    </row>
    <row r="83" spans="2:13" x14ac:dyDescent="0.25">
      <c r="B83" s="15" t="s">
        <v>5</v>
      </c>
      <c r="C83" s="9">
        <v>36</v>
      </c>
      <c r="D83" s="9">
        <v>36.4</v>
      </c>
      <c r="E83" s="10">
        <v>37</v>
      </c>
      <c r="F83" s="9">
        <f t="shared" si="16"/>
        <v>11.459155902616464</v>
      </c>
      <c r="G83" s="9">
        <f t="shared" si="17"/>
        <v>11.58647985708998</v>
      </c>
      <c r="H83" s="10">
        <f t="shared" si="18"/>
        <v>11.777465788800255</v>
      </c>
      <c r="K83" s="11">
        <f>_xlfn.XLOOKUP(F83,Ref!$B$3:$B$12,Ref!$C$3:$C$12,"",1)</f>
        <v>1</v>
      </c>
      <c r="L83" s="11">
        <f>_xlfn.XLOOKUP(G83,Ref!$B$3:$B$12,Ref!$C$3:$C$12,"",1)</f>
        <v>1</v>
      </c>
      <c r="M83" s="11">
        <f>_xlfn.XLOOKUP(H83,Ref!$B$3:$B$12,Ref!$C$3:$C$12,"",1)</f>
        <v>1</v>
      </c>
    </row>
    <row r="84" spans="2:13" x14ac:dyDescent="0.25">
      <c r="B84" s="15" t="s">
        <v>5</v>
      </c>
      <c r="C84" s="9">
        <v>36.200000000000003</v>
      </c>
      <c r="D84" s="9">
        <v>40</v>
      </c>
      <c r="E84" s="10">
        <v>43</v>
      </c>
      <c r="F84" s="9">
        <f t="shared" si="16"/>
        <v>11.522817879853223</v>
      </c>
      <c r="G84" s="9">
        <f t="shared" si="17"/>
        <v>12.732395447351628</v>
      </c>
      <c r="H84" s="10">
        <f t="shared" si="18"/>
        <v>13.687325105903</v>
      </c>
      <c r="K84" s="11">
        <f>_xlfn.XLOOKUP(F84,Ref!$B$3:$B$12,Ref!$C$3:$C$12,"",1)</f>
        <v>1</v>
      </c>
      <c r="L84" s="11">
        <f>_xlfn.XLOOKUP(G84,Ref!$B$3:$B$12,Ref!$C$3:$C$12,"",1)</f>
        <v>1</v>
      </c>
      <c r="M84" s="11">
        <f>_xlfn.XLOOKUP(H84,Ref!$B$3:$B$12,Ref!$C$3:$C$12,"",1)</f>
        <v>1</v>
      </c>
    </row>
    <row r="85" spans="2:13" x14ac:dyDescent="0.25">
      <c r="B85" s="15" t="s">
        <v>5</v>
      </c>
      <c r="C85" s="9">
        <v>57.2</v>
      </c>
      <c r="D85" s="9">
        <v>56.5</v>
      </c>
      <c r="E85" s="10">
        <v>56.5</v>
      </c>
      <c r="F85" s="9">
        <f t="shared" si="16"/>
        <v>18.207325489712829</v>
      </c>
      <c r="G85" s="9">
        <f t="shared" si="17"/>
        <v>17.984508569384175</v>
      </c>
      <c r="H85" s="10">
        <f t="shared" si="18"/>
        <v>17.984508569384175</v>
      </c>
      <c r="K85" s="11">
        <f>_xlfn.XLOOKUP(F85,Ref!$B$3:$B$12,Ref!$C$3:$C$12,"",1)</f>
        <v>1</v>
      </c>
      <c r="L85" s="11">
        <f>_xlfn.XLOOKUP(G85,Ref!$B$3:$B$12,Ref!$C$3:$C$12,"",1)</f>
        <v>1</v>
      </c>
      <c r="M85" s="11">
        <f>_xlfn.XLOOKUP(H85,Ref!$B$3:$B$12,Ref!$C$3:$C$12,"",1)</f>
        <v>1</v>
      </c>
    </row>
    <row r="86" spans="2:13" x14ac:dyDescent="0.25">
      <c r="B86" s="15" t="s">
        <v>5</v>
      </c>
      <c r="C86" s="9">
        <v>42.5</v>
      </c>
      <c r="D86" s="9">
        <v>47.5</v>
      </c>
      <c r="E86" s="10">
        <v>48</v>
      </c>
      <c r="F86" s="9">
        <f t="shared" si="16"/>
        <v>13.528170162811104</v>
      </c>
      <c r="G86" s="9">
        <f t="shared" si="17"/>
        <v>15.119719593730057</v>
      </c>
      <c r="H86" s="10">
        <f t="shared" si="18"/>
        <v>15.278874536821952</v>
      </c>
      <c r="K86" s="11">
        <f>_xlfn.XLOOKUP(F86,Ref!$B$3:$B$12,Ref!$C$3:$C$12,"",1)</f>
        <v>1</v>
      </c>
      <c r="L86" s="11">
        <f>_xlfn.XLOOKUP(G86,Ref!$B$3:$B$12,Ref!$C$3:$C$12,"",1)</f>
        <v>1</v>
      </c>
      <c r="M86" s="11">
        <f>_xlfn.XLOOKUP(H86,Ref!$B$3:$B$12,Ref!$C$3:$C$12,"",1)</f>
        <v>1</v>
      </c>
    </row>
    <row r="87" spans="2:13" x14ac:dyDescent="0.25">
      <c r="B87" s="15" t="s">
        <v>5</v>
      </c>
      <c r="C87" s="9">
        <v>49.8</v>
      </c>
      <c r="D87" s="9">
        <v>52.2</v>
      </c>
      <c r="E87" s="10">
        <v>53</v>
      </c>
      <c r="F87" s="9">
        <f t="shared" si="16"/>
        <v>15.851832331952775</v>
      </c>
      <c r="G87" s="9">
        <f t="shared" si="17"/>
        <v>16.615776058793873</v>
      </c>
      <c r="H87" s="10">
        <f t="shared" si="18"/>
        <v>16.870423967740905</v>
      </c>
      <c r="K87" s="11">
        <f>_xlfn.XLOOKUP(F87,Ref!$B$3:$B$12,Ref!$C$3:$C$12,"",1)</f>
        <v>1</v>
      </c>
      <c r="L87" s="11">
        <f>_xlfn.XLOOKUP(G87,Ref!$B$3:$B$12,Ref!$C$3:$C$12,"",1)</f>
        <v>1</v>
      </c>
      <c r="M87" s="11">
        <f>_xlfn.XLOOKUP(H87,Ref!$B$3:$B$12,Ref!$C$3:$C$12,"",1)</f>
        <v>1</v>
      </c>
    </row>
    <row r="88" spans="2:13" x14ac:dyDescent="0.25">
      <c r="B88" s="15" t="s">
        <v>5</v>
      </c>
      <c r="C88" s="9">
        <v>44.1</v>
      </c>
      <c r="D88" s="9">
        <v>49.4</v>
      </c>
      <c r="E88" s="10">
        <v>52.9</v>
      </c>
      <c r="F88" s="9">
        <f t="shared" si="16"/>
        <v>14.03746598070517</v>
      </c>
      <c r="G88" s="9">
        <f t="shared" si="17"/>
        <v>15.724508377479259</v>
      </c>
      <c r="H88" s="10">
        <f t="shared" si="18"/>
        <v>16.838592979122527</v>
      </c>
      <c r="K88" s="11">
        <f>_xlfn.XLOOKUP(F88,Ref!$B$3:$B$12,Ref!$C$3:$C$12,"",1)</f>
        <v>1</v>
      </c>
      <c r="L88" s="11">
        <f>_xlfn.XLOOKUP(G88,Ref!$B$3:$B$12,Ref!$C$3:$C$12,"",1)</f>
        <v>1</v>
      </c>
      <c r="M88" s="11">
        <f>_xlfn.XLOOKUP(H88,Ref!$B$3:$B$12,Ref!$C$3:$C$12,"",1)</f>
        <v>1</v>
      </c>
    </row>
    <row r="89" spans="2:13" x14ac:dyDescent="0.25">
      <c r="B89" s="15" t="s">
        <v>5</v>
      </c>
      <c r="C89" s="9">
        <v>51.5</v>
      </c>
      <c r="D89" s="9">
        <v>60.2</v>
      </c>
      <c r="E89" s="10">
        <v>66.3</v>
      </c>
      <c r="F89" s="9">
        <f t="shared" si="16"/>
        <v>16.392959138465219</v>
      </c>
      <c r="G89" s="9">
        <f t="shared" si="17"/>
        <v>19.162255148264201</v>
      </c>
      <c r="H89" s="10">
        <f t="shared" si="18"/>
        <v>21.103945453985322</v>
      </c>
      <c r="K89" s="11">
        <f>_xlfn.XLOOKUP(F89,Ref!$B$3:$B$12,Ref!$C$3:$C$12,"",1)</f>
        <v>1</v>
      </c>
      <c r="L89" s="11">
        <f>_xlfn.XLOOKUP(G89,Ref!$B$3:$B$12,Ref!$C$3:$C$12,"",1)</f>
        <v>1</v>
      </c>
      <c r="M89" s="11">
        <f>_xlfn.XLOOKUP(H89,Ref!$B$3:$B$12,Ref!$C$3:$C$12,"",1)</f>
        <v>2</v>
      </c>
    </row>
    <row r="90" spans="2:13" x14ac:dyDescent="0.25">
      <c r="B90" s="15" t="s">
        <v>5</v>
      </c>
      <c r="C90" s="9">
        <v>53.7</v>
      </c>
      <c r="D90" s="9">
        <v>60.5</v>
      </c>
      <c r="E90" s="10">
        <v>62.5</v>
      </c>
      <c r="F90" s="9">
        <f t="shared" si="16"/>
        <v>17.093240888069559</v>
      </c>
      <c r="G90" s="9">
        <f t="shared" si="17"/>
        <v>19.257748114119337</v>
      </c>
      <c r="H90" s="10">
        <f t="shared" si="18"/>
        <v>19.894367886486918</v>
      </c>
      <c r="K90" s="11">
        <f>_xlfn.XLOOKUP(F90,Ref!$B$3:$B$12,Ref!$C$3:$C$12,"",1)</f>
        <v>1</v>
      </c>
      <c r="L90" s="11">
        <f>_xlfn.XLOOKUP(G90,Ref!$B$3:$B$12,Ref!$C$3:$C$12,"",1)</f>
        <v>1</v>
      </c>
      <c r="M90" s="11">
        <f>_xlfn.XLOOKUP(H90,Ref!$B$3:$B$12,Ref!$C$3:$C$12,"",1)</f>
        <v>1</v>
      </c>
    </row>
    <row r="91" spans="2:13" x14ac:dyDescent="0.25">
      <c r="B91" s="15" t="s">
        <v>5</v>
      </c>
      <c r="C91" s="9">
        <v>38.5</v>
      </c>
      <c r="D91" s="9">
        <v>40.6</v>
      </c>
      <c r="E91" s="10">
        <v>42.4</v>
      </c>
      <c r="F91" s="9">
        <f t="shared" si="16"/>
        <v>12.254930618075941</v>
      </c>
      <c r="G91" s="9">
        <f t="shared" si="17"/>
        <v>12.923381379061903</v>
      </c>
      <c r="H91" s="10">
        <f t="shared" si="18"/>
        <v>13.496339174192725</v>
      </c>
      <c r="K91" s="11">
        <f>_xlfn.XLOOKUP(F91,Ref!$B$3:$B$12,Ref!$C$3:$C$12,"",1)</f>
        <v>1</v>
      </c>
      <c r="L91" s="11">
        <f>_xlfn.XLOOKUP(G91,Ref!$B$3:$B$12,Ref!$C$3:$C$12,"",1)</f>
        <v>1</v>
      </c>
      <c r="M91" s="11">
        <f>_xlfn.XLOOKUP(H91,Ref!$B$3:$B$12,Ref!$C$3:$C$12,"",1)</f>
        <v>1</v>
      </c>
    </row>
    <row r="92" spans="2:13" x14ac:dyDescent="0.25">
      <c r="B92" s="15" t="s">
        <v>7</v>
      </c>
      <c r="C92" s="9">
        <v>54.3</v>
      </c>
      <c r="D92" s="9">
        <v>62.5</v>
      </c>
      <c r="E92" s="10">
        <v>69.5</v>
      </c>
      <c r="F92" s="9">
        <f t="shared" si="16"/>
        <v>17.284226819779832</v>
      </c>
      <c r="G92" s="9">
        <f t="shared" si="17"/>
        <v>19.894367886486918</v>
      </c>
      <c r="H92" s="10">
        <f t="shared" si="18"/>
        <v>22.122537089773452</v>
      </c>
      <c r="K92" s="11">
        <f>_xlfn.XLOOKUP(F92,Ref!$B$3:$B$12,Ref!$C$3:$C$12,"",1)</f>
        <v>1</v>
      </c>
      <c r="L92" s="11">
        <f>_xlfn.XLOOKUP(G92,Ref!$B$3:$B$12,Ref!$C$3:$C$12,"",1)</f>
        <v>1</v>
      </c>
      <c r="M92" s="11">
        <f>_xlfn.XLOOKUP(H92,Ref!$B$3:$B$12,Ref!$C$3:$C$12,"",1)</f>
        <v>2</v>
      </c>
    </row>
    <row r="93" spans="2:13" x14ac:dyDescent="0.25">
      <c r="B93" s="15" t="s">
        <v>5</v>
      </c>
      <c r="C93" s="9"/>
      <c r="D93" s="9">
        <v>31.5</v>
      </c>
      <c r="E93" s="10">
        <v>0</v>
      </c>
      <c r="F93" s="9" t="str">
        <f t="shared" si="16"/>
        <v/>
      </c>
      <c r="G93" s="9">
        <f t="shared" si="17"/>
        <v>10.026761414789407</v>
      </c>
      <c r="H93" s="10">
        <f t="shared" si="18"/>
        <v>0</v>
      </c>
      <c r="K93" s="11" t="str">
        <f>_xlfn.XLOOKUP(F93,Ref!$B$3:$B$12,Ref!$C$3:$C$12,"",1)</f>
        <v/>
      </c>
      <c r="L93" s="11">
        <f>_xlfn.XLOOKUP(G93,Ref!$B$3:$B$12,Ref!$C$3:$C$12,"",1)</f>
        <v>1</v>
      </c>
      <c r="M93" s="11" t="str">
        <f>_xlfn.XLOOKUP(H93,Ref!$B$3:$B$12,Ref!$C$3:$C$12,"",1)</f>
        <v>Morta</v>
      </c>
    </row>
    <row r="94" spans="2:13" x14ac:dyDescent="0.25">
      <c r="B94" s="15" t="s">
        <v>18</v>
      </c>
      <c r="C94" s="9"/>
      <c r="D94" s="9"/>
      <c r="E94" s="10">
        <v>31.9</v>
      </c>
      <c r="F94" s="9" t="str">
        <f t="shared" si="16"/>
        <v/>
      </c>
      <c r="G94" s="9" t="str">
        <f t="shared" si="17"/>
        <v/>
      </c>
      <c r="H94" s="10">
        <f t="shared" si="18"/>
        <v>10.154085369262923</v>
      </c>
      <c r="K94" s="11" t="str">
        <f>_xlfn.XLOOKUP(F94,Ref!$B$3:$B$12,Ref!$C$3:$C$12,"",1)</f>
        <v/>
      </c>
      <c r="L94" s="11" t="str">
        <f>_xlfn.XLOOKUP(G94,Ref!$B$3:$B$12,Ref!$C$3:$C$12,"",1)</f>
        <v/>
      </c>
      <c r="M94" s="11">
        <f>_xlfn.XLOOKUP(H94,Ref!$B$3:$B$12,Ref!$C$3:$C$12,"",1)</f>
        <v>1</v>
      </c>
    </row>
    <row r="95" spans="2:13" x14ac:dyDescent="0.25">
      <c r="B95" s="15" t="s">
        <v>7</v>
      </c>
      <c r="C95" s="9">
        <v>91.2</v>
      </c>
      <c r="D95" s="9">
        <v>97.2</v>
      </c>
      <c r="E95" s="10">
        <v>99.5</v>
      </c>
      <c r="F95" s="9">
        <f t="shared" si="16"/>
        <v>29.029861619961711</v>
      </c>
      <c r="G95" s="9">
        <f t="shared" si="17"/>
        <v>30.939720937064454</v>
      </c>
      <c r="H95" s="10">
        <f t="shared" si="18"/>
        <v>31.671833675287171</v>
      </c>
      <c r="K95" s="11">
        <f>_xlfn.XLOOKUP(F95,Ref!$B$3:$B$12,Ref!$C$3:$C$12,"",1)</f>
        <v>2</v>
      </c>
      <c r="L95" s="11">
        <f>_xlfn.XLOOKUP(G95,Ref!$B$3:$B$12,Ref!$C$3:$C$12,"",1)</f>
        <v>3</v>
      </c>
      <c r="M95" s="11">
        <f>_xlfn.XLOOKUP(H95,Ref!$B$3:$B$12,Ref!$C$3:$C$12,"",1)</f>
        <v>3</v>
      </c>
    </row>
    <row r="96" spans="2:13" x14ac:dyDescent="0.25">
      <c r="B96" s="15" t="s">
        <v>7</v>
      </c>
      <c r="C96" s="9">
        <v>62.1</v>
      </c>
      <c r="D96" s="9">
        <v>64.099999999999994</v>
      </c>
      <c r="E96" s="10">
        <v>65.2</v>
      </c>
      <c r="F96" s="9">
        <f t="shared" si="16"/>
        <v>19.767043932013401</v>
      </c>
      <c r="G96" s="9">
        <f t="shared" si="17"/>
        <v>20.403663704380982</v>
      </c>
      <c r="H96" s="10">
        <f t="shared" si="18"/>
        <v>20.753804579183154</v>
      </c>
      <c r="K96" s="11">
        <f>_xlfn.XLOOKUP(F96,Ref!$B$3:$B$12,Ref!$C$3:$C$12,"",1)</f>
        <v>1</v>
      </c>
      <c r="L96" s="11">
        <f>_xlfn.XLOOKUP(G96,Ref!$B$3:$B$12,Ref!$C$3:$C$12,"",1)</f>
        <v>2</v>
      </c>
      <c r="M96" s="11">
        <f>_xlfn.XLOOKUP(H96,Ref!$B$3:$B$12,Ref!$C$3:$C$12,"",1)</f>
        <v>2</v>
      </c>
    </row>
    <row r="97" spans="2:13" x14ac:dyDescent="0.25">
      <c r="B97" s="15" t="s">
        <v>4</v>
      </c>
      <c r="C97" s="9">
        <v>35</v>
      </c>
      <c r="D97" s="9">
        <v>38.200000000000003</v>
      </c>
      <c r="E97" s="10">
        <v>39.6</v>
      </c>
      <c r="F97" s="9">
        <f t="shared" si="16"/>
        <v>11.140846016432674</v>
      </c>
      <c r="G97" s="9">
        <f t="shared" si="17"/>
        <v>12.159437652220806</v>
      </c>
      <c r="H97" s="10">
        <f t="shared" si="18"/>
        <v>12.605071492878112</v>
      </c>
      <c r="K97" s="11">
        <f>_xlfn.XLOOKUP(F97,Ref!$B$3:$B$12,Ref!$C$3:$C$12,"",1)</f>
        <v>1</v>
      </c>
      <c r="L97" s="11">
        <f>_xlfn.XLOOKUP(G97,Ref!$B$3:$B$12,Ref!$C$3:$C$12,"",1)</f>
        <v>1</v>
      </c>
      <c r="M97" s="11">
        <f>_xlfn.XLOOKUP(H97,Ref!$B$3:$B$12,Ref!$C$3:$C$12,"",1)</f>
        <v>1</v>
      </c>
    </row>
    <row r="98" spans="2:13" x14ac:dyDescent="0.25">
      <c r="B98" s="15" t="s">
        <v>4</v>
      </c>
      <c r="C98" s="9"/>
      <c r="D98" s="9">
        <v>33.5</v>
      </c>
      <c r="E98" s="10">
        <v>33.700000000000003</v>
      </c>
      <c r="F98" s="9" t="str">
        <f t="shared" si="16"/>
        <v/>
      </c>
      <c r="G98" s="9">
        <f t="shared" si="17"/>
        <v>10.663381187156988</v>
      </c>
      <c r="H98" s="10">
        <f t="shared" si="18"/>
        <v>10.727043164393747</v>
      </c>
      <c r="K98" s="11" t="str">
        <f>_xlfn.XLOOKUP(F98,Ref!$B$3:$B$12,Ref!$C$3:$C$12,"",1)</f>
        <v/>
      </c>
      <c r="L98" s="11">
        <f>_xlfn.XLOOKUP(G98,Ref!$B$3:$B$12,Ref!$C$3:$C$12,"",1)</f>
        <v>1</v>
      </c>
      <c r="M98" s="11">
        <f>_xlfn.XLOOKUP(H98,Ref!$B$3:$B$12,Ref!$C$3:$C$12,"",1)</f>
        <v>1</v>
      </c>
    </row>
    <row r="99" spans="2:13" x14ac:dyDescent="0.25">
      <c r="B99" s="15" t="s">
        <v>5</v>
      </c>
      <c r="C99" s="9">
        <v>48.1</v>
      </c>
      <c r="D99" s="9">
        <v>48</v>
      </c>
      <c r="E99" s="10">
        <v>49.2</v>
      </c>
      <c r="F99" s="9">
        <f t="shared" si="16"/>
        <v>15.310705525440332</v>
      </c>
      <c r="G99" s="9">
        <f t="shared" si="17"/>
        <v>15.278874536821952</v>
      </c>
      <c r="H99" s="10">
        <f t="shared" si="18"/>
        <v>15.660846400242503</v>
      </c>
      <c r="K99" s="11">
        <f>_xlfn.XLOOKUP(F99,Ref!$B$3:$B$12,Ref!$C$3:$C$12,"",1)</f>
        <v>1</v>
      </c>
      <c r="L99" s="11">
        <f>_xlfn.XLOOKUP(G99,Ref!$B$3:$B$12,Ref!$C$3:$C$12,"",1)</f>
        <v>1</v>
      </c>
      <c r="M99" s="11">
        <f>_xlfn.XLOOKUP(H99,Ref!$B$3:$B$12,Ref!$C$3:$C$12,"",1)</f>
        <v>1</v>
      </c>
    </row>
    <row r="100" spans="2:13" x14ac:dyDescent="0.25">
      <c r="B100" s="15" t="s">
        <v>5</v>
      </c>
      <c r="C100" s="9">
        <v>49.3</v>
      </c>
      <c r="D100" s="9">
        <v>54.6</v>
      </c>
      <c r="E100" s="10">
        <v>56.1</v>
      </c>
      <c r="F100" s="9">
        <f t="shared" si="16"/>
        <v>15.692677388860879</v>
      </c>
      <c r="G100" s="9">
        <f t="shared" si="17"/>
        <v>17.379719785634972</v>
      </c>
      <c r="H100" s="10">
        <f t="shared" si="18"/>
        <v>17.857184614910658</v>
      </c>
      <c r="K100" s="11">
        <f>_xlfn.XLOOKUP(F100,Ref!$B$3:$B$12,Ref!$C$3:$C$12,"",1)</f>
        <v>1</v>
      </c>
      <c r="L100" s="11">
        <f>_xlfn.XLOOKUP(G100,Ref!$B$3:$B$12,Ref!$C$3:$C$12,"",1)</f>
        <v>1</v>
      </c>
      <c r="M100" s="11">
        <f>_xlfn.XLOOKUP(H100,Ref!$B$3:$B$12,Ref!$C$3:$C$12,"",1)</f>
        <v>1</v>
      </c>
    </row>
    <row r="101" spans="2:13" x14ac:dyDescent="0.25">
      <c r="B101" s="15" t="s">
        <v>1</v>
      </c>
      <c r="C101" s="9">
        <v>51.2</v>
      </c>
      <c r="D101" s="9">
        <v>51.5</v>
      </c>
      <c r="E101" s="10">
        <v>51.5</v>
      </c>
      <c r="F101" s="9">
        <f t="shared" si="16"/>
        <v>16.297466172610083</v>
      </c>
      <c r="G101" s="9">
        <f t="shared" si="17"/>
        <v>16.392959138465219</v>
      </c>
      <c r="H101" s="10">
        <f t="shared" si="18"/>
        <v>16.392959138465219</v>
      </c>
      <c r="K101" s="11">
        <f>_xlfn.XLOOKUP(F101,Ref!$B$3:$B$12,Ref!$C$3:$C$12,"",1)</f>
        <v>1</v>
      </c>
      <c r="L101" s="11">
        <f>_xlfn.XLOOKUP(G101,Ref!$B$3:$B$12,Ref!$C$3:$C$12,"",1)</f>
        <v>1</v>
      </c>
      <c r="M101" s="11">
        <f>_xlfn.XLOOKUP(H101,Ref!$B$3:$B$12,Ref!$C$3:$C$12,"",1)</f>
        <v>1</v>
      </c>
    </row>
    <row r="102" spans="2:13" x14ac:dyDescent="0.25">
      <c r="B102" s="15" t="s">
        <v>5</v>
      </c>
      <c r="C102" s="9">
        <v>39</v>
      </c>
      <c r="D102" s="9">
        <v>39</v>
      </c>
      <c r="E102" s="10">
        <v>39.5</v>
      </c>
      <c r="F102" s="9">
        <f t="shared" si="16"/>
        <v>12.414085561167836</v>
      </c>
      <c r="G102" s="9">
        <f t="shared" si="17"/>
        <v>12.414085561167836</v>
      </c>
      <c r="H102" s="10">
        <f t="shared" si="18"/>
        <v>12.573240504259733</v>
      </c>
      <c r="K102" s="11">
        <f>_xlfn.XLOOKUP(F102,Ref!$B$3:$B$12,Ref!$C$3:$C$12,"",1)</f>
        <v>1</v>
      </c>
      <c r="L102" s="11">
        <f>_xlfn.XLOOKUP(G102,Ref!$B$3:$B$12,Ref!$C$3:$C$12,"",1)</f>
        <v>1</v>
      </c>
      <c r="M102" s="11">
        <f>_xlfn.XLOOKUP(H102,Ref!$B$3:$B$12,Ref!$C$3:$C$12,"",1)</f>
        <v>1</v>
      </c>
    </row>
    <row r="103" spans="2:13" x14ac:dyDescent="0.25">
      <c r="B103" s="15" t="s">
        <v>5</v>
      </c>
      <c r="C103" s="9">
        <v>34.9</v>
      </c>
      <c r="D103" s="9">
        <v>0</v>
      </c>
      <c r="E103" s="10">
        <v>0</v>
      </c>
      <c r="F103" s="9">
        <f t="shared" si="16"/>
        <v>11.109015027814294</v>
      </c>
      <c r="G103" s="9">
        <f t="shared" si="17"/>
        <v>0</v>
      </c>
      <c r="H103" s="10">
        <f t="shared" si="18"/>
        <v>0</v>
      </c>
      <c r="K103" s="11">
        <f>_xlfn.XLOOKUP(F103,Ref!$B$3:$B$12,Ref!$C$3:$C$12,"",1)</f>
        <v>1</v>
      </c>
      <c r="L103" s="11" t="str">
        <f>_xlfn.XLOOKUP(G103,Ref!$B$3:$B$12,Ref!$C$3:$C$12,"",1)</f>
        <v>Morta</v>
      </c>
      <c r="M103" s="11" t="str">
        <f>_xlfn.XLOOKUP(H103,Ref!$B$3:$B$12,Ref!$C$3:$C$12,"",1)</f>
        <v>Morta</v>
      </c>
    </row>
    <row r="104" spans="2:13" x14ac:dyDescent="0.25">
      <c r="B104" s="15" t="s">
        <v>5</v>
      </c>
      <c r="C104" s="9">
        <v>53.4</v>
      </c>
      <c r="D104" s="9">
        <v>54.8</v>
      </c>
      <c r="E104" s="10">
        <v>54.5</v>
      </c>
      <c r="F104" s="9">
        <f t="shared" si="16"/>
        <v>16.997747922214423</v>
      </c>
      <c r="G104" s="9">
        <f t="shared" si="17"/>
        <v>17.443381762871727</v>
      </c>
      <c r="H104" s="10">
        <f t="shared" si="18"/>
        <v>17.347888797016591</v>
      </c>
      <c r="K104" s="11">
        <f>_xlfn.XLOOKUP(F104,Ref!$B$3:$B$12,Ref!$C$3:$C$12,"",1)</f>
        <v>1</v>
      </c>
      <c r="L104" s="11">
        <f>_xlfn.XLOOKUP(G104,Ref!$B$3:$B$12,Ref!$C$3:$C$12,"",1)</f>
        <v>1</v>
      </c>
      <c r="M104" s="11">
        <f>_xlfn.XLOOKUP(H104,Ref!$B$3:$B$12,Ref!$C$3:$C$12,"",1)</f>
        <v>1</v>
      </c>
    </row>
    <row r="105" spans="2:13" x14ac:dyDescent="0.25">
      <c r="B105" s="15" t="s">
        <v>5</v>
      </c>
      <c r="C105" s="9">
        <v>63.4</v>
      </c>
      <c r="D105" s="9">
        <v>69.7</v>
      </c>
      <c r="E105" s="10">
        <v>74.7</v>
      </c>
      <c r="F105" s="9">
        <f t="shared" si="16"/>
        <v>20.180846784052328</v>
      </c>
      <c r="G105" s="9">
        <f t="shared" si="17"/>
        <v>22.186199067010211</v>
      </c>
      <c r="H105" s="10">
        <f t="shared" si="18"/>
        <v>23.777748497929164</v>
      </c>
      <c r="K105" s="11">
        <f>_xlfn.XLOOKUP(F105,Ref!$B$3:$B$12,Ref!$C$3:$C$12,"",1)</f>
        <v>2</v>
      </c>
      <c r="L105" s="11">
        <f>_xlfn.XLOOKUP(G105,Ref!$B$3:$B$12,Ref!$C$3:$C$12,"",1)</f>
        <v>2</v>
      </c>
      <c r="M105" s="11">
        <f>_xlfn.XLOOKUP(H105,Ref!$B$3:$B$12,Ref!$C$3:$C$12,"",1)</f>
        <v>2</v>
      </c>
    </row>
    <row r="106" spans="2:13" x14ac:dyDescent="0.25">
      <c r="B106" s="15" t="s">
        <v>5</v>
      </c>
      <c r="C106" s="9">
        <v>34.6</v>
      </c>
      <c r="D106" s="9">
        <v>34.799999999999997</v>
      </c>
      <c r="E106" s="10">
        <v>35</v>
      </c>
      <c r="F106" s="9">
        <f t="shared" si="16"/>
        <v>11.013522061959158</v>
      </c>
      <c r="G106" s="9">
        <f t="shared" si="17"/>
        <v>11.077184039195915</v>
      </c>
      <c r="H106" s="10">
        <f t="shared" si="18"/>
        <v>11.140846016432674</v>
      </c>
      <c r="K106" s="11">
        <f>_xlfn.XLOOKUP(F106,Ref!$B$3:$B$12,Ref!$C$3:$C$12,"",1)</f>
        <v>1</v>
      </c>
      <c r="L106" s="11">
        <f>_xlfn.XLOOKUP(G106,Ref!$B$3:$B$12,Ref!$C$3:$C$12,"",1)</f>
        <v>1</v>
      </c>
      <c r="M106" s="11">
        <f>_xlfn.XLOOKUP(H106,Ref!$B$3:$B$12,Ref!$C$3:$C$12,"",1)</f>
        <v>1</v>
      </c>
    </row>
    <row r="107" spans="2:13" x14ac:dyDescent="0.25">
      <c r="B107" s="15" t="s">
        <v>5</v>
      </c>
      <c r="C107" s="9">
        <v>54.9</v>
      </c>
      <c r="D107" s="9">
        <v>60.5</v>
      </c>
      <c r="E107" s="10">
        <v>61.5</v>
      </c>
      <c r="F107" s="9">
        <f t="shared" si="16"/>
        <v>17.475212751490108</v>
      </c>
      <c r="G107" s="9">
        <f t="shared" si="17"/>
        <v>19.257748114119337</v>
      </c>
      <c r="H107" s="10">
        <f t="shared" si="18"/>
        <v>19.576058000303128</v>
      </c>
      <c r="K107" s="11">
        <f>_xlfn.XLOOKUP(F107,Ref!$B$3:$B$12,Ref!$C$3:$C$12,"",1)</f>
        <v>1</v>
      </c>
      <c r="L107" s="11">
        <f>_xlfn.XLOOKUP(G107,Ref!$B$3:$B$12,Ref!$C$3:$C$12,"",1)</f>
        <v>1</v>
      </c>
      <c r="M107" s="11">
        <f>_xlfn.XLOOKUP(H107,Ref!$B$3:$B$12,Ref!$C$3:$C$12,"",1)</f>
        <v>1</v>
      </c>
    </row>
    <row r="108" spans="2:13" x14ac:dyDescent="0.25">
      <c r="B108" s="15" t="s">
        <v>5</v>
      </c>
      <c r="C108" s="9">
        <v>40.4</v>
      </c>
      <c r="D108" s="9">
        <v>40.5</v>
      </c>
      <c r="E108" s="10">
        <v>40.6</v>
      </c>
      <c r="F108" s="9">
        <f t="shared" si="16"/>
        <v>12.859719401825144</v>
      </c>
      <c r="G108" s="9">
        <f t="shared" si="17"/>
        <v>12.891550390443523</v>
      </c>
      <c r="H108" s="10">
        <f t="shared" si="18"/>
        <v>12.923381379061903</v>
      </c>
      <c r="K108" s="11">
        <f>_xlfn.XLOOKUP(F108,Ref!$B$3:$B$12,Ref!$C$3:$C$12,"",1)</f>
        <v>1</v>
      </c>
      <c r="L108" s="11">
        <f>_xlfn.XLOOKUP(G108,Ref!$B$3:$B$12,Ref!$C$3:$C$12,"",1)</f>
        <v>1</v>
      </c>
      <c r="M108" s="11">
        <f>_xlfn.XLOOKUP(H108,Ref!$B$3:$B$12,Ref!$C$3:$C$12,"",1)</f>
        <v>1</v>
      </c>
    </row>
    <row r="109" spans="2:13" x14ac:dyDescent="0.25">
      <c r="B109" s="15" t="s">
        <v>5</v>
      </c>
      <c r="C109" s="9">
        <v>49.4</v>
      </c>
      <c r="D109" s="9">
        <v>49.4</v>
      </c>
      <c r="E109" s="10">
        <v>51.3</v>
      </c>
      <c r="F109" s="9">
        <f t="shared" si="16"/>
        <v>15.724508377479259</v>
      </c>
      <c r="G109" s="9">
        <f t="shared" si="17"/>
        <v>15.724508377479259</v>
      </c>
      <c r="H109" s="10">
        <f t="shared" si="18"/>
        <v>16.32929716122846</v>
      </c>
      <c r="K109" s="11">
        <f>_xlfn.XLOOKUP(F109,Ref!$B$3:$B$12,Ref!$C$3:$C$12,"",1)</f>
        <v>1</v>
      </c>
      <c r="L109" s="11">
        <f>_xlfn.XLOOKUP(G109,Ref!$B$3:$B$12,Ref!$C$3:$C$12,"",1)</f>
        <v>1</v>
      </c>
      <c r="M109" s="11">
        <f>_xlfn.XLOOKUP(H109,Ref!$B$3:$B$12,Ref!$C$3:$C$12,"",1)</f>
        <v>1</v>
      </c>
    </row>
    <row r="110" spans="2:13" x14ac:dyDescent="0.25">
      <c r="B110" s="15" t="s">
        <v>5</v>
      </c>
      <c r="C110" s="9">
        <v>33.6</v>
      </c>
      <c r="D110" s="9">
        <v>34.200000000000003</v>
      </c>
      <c r="E110" s="10">
        <v>34.9</v>
      </c>
      <c r="F110" s="9">
        <f t="shared" si="16"/>
        <v>10.695212175775367</v>
      </c>
      <c r="G110" s="9">
        <f t="shared" si="17"/>
        <v>10.886198107485642</v>
      </c>
      <c r="H110" s="10">
        <f t="shared" si="18"/>
        <v>11.109015027814294</v>
      </c>
      <c r="K110" s="11">
        <f>_xlfn.XLOOKUP(F110,Ref!$B$3:$B$12,Ref!$C$3:$C$12,"",1)</f>
        <v>1</v>
      </c>
      <c r="L110" s="11">
        <f>_xlfn.XLOOKUP(G110,Ref!$B$3:$B$12,Ref!$C$3:$C$12,"",1)</f>
        <v>1</v>
      </c>
      <c r="M110" s="11">
        <f>_xlfn.XLOOKUP(H110,Ref!$B$3:$B$12,Ref!$C$3:$C$12,"",1)</f>
        <v>1</v>
      </c>
    </row>
    <row r="111" spans="2:13" x14ac:dyDescent="0.25">
      <c r="B111" s="15" t="s">
        <v>7</v>
      </c>
      <c r="C111" s="9">
        <v>35.5</v>
      </c>
      <c r="D111" s="9">
        <v>38.799999999999997</v>
      </c>
      <c r="E111" s="10">
        <v>39.1</v>
      </c>
      <c r="F111" s="9">
        <f t="shared" si="16"/>
        <v>11.300000959524569</v>
      </c>
      <c r="G111" s="9">
        <f t="shared" si="17"/>
        <v>12.350423583931077</v>
      </c>
      <c r="H111" s="10">
        <f t="shared" si="18"/>
        <v>12.445916549786217</v>
      </c>
      <c r="K111" s="11">
        <f>_xlfn.XLOOKUP(F111,Ref!$B$3:$B$12,Ref!$C$3:$C$12,"",1)</f>
        <v>1</v>
      </c>
      <c r="L111" s="11">
        <f>_xlfn.XLOOKUP(G111,Ref!$B$3:$B$12,Ref!$C$3:$C$12,"",1)</f>
        <v>1</v>
      </c>
      <c r="M111" s="11">
        <f>_xlfn.XLOOKUP(H111,Ref!$B$3:$B$12,Ref!$C$3:$C$12,"",1)</f>
        <v>1</v>
      </c>
    </row>
    <row r="112" spans="2:13" x14ac:dyDescent="0.25">
      <c r="B112" s="15" t="s">
        <v>5</v>
      </c>
      <c r="C112" s="9">
        <v>40.799999999999997</v>
      </c>
      <c r="D112" s="9">
        <v>40.799999999999997</v>
      </c>
      <c r="E112" s="10">
        <v>40.4</v>
      </c>
      <c r="F112" s="9">
        <f t="shared" si="16"/>
        <v>12.98704335629866</v>
      </c>
      <c r="G112" s="9">
        <f t="shared" si="17"/>
        <v>12.98704335629866</v>
      </c>
      <c r="H112" s="10">
        <f t="shared" si="18"/>
        <v>12.859719401825144</v>
      </c>
      <c r="K112" s="11">
        <f>_xlfn.XLOOKUP(F112,Ref!$B$3:$B$12,Ref!$C$3:$C$12,"",1)</f>
        <v>1</v>
      </c>
      <c r="L112" s="11">
        <f>_xlfn.XLOOKUP(G112,Ref!$B$3:$B$12,Ref!$C$3:$C$12,"",1)</f>
        <v>1</v>
      </c>
      <c r="M112" s="11">
        <f>_xlfn.XLOOKUP(H112,Ref!$B$3:$B$12,Ref!$C$3:$C$12,"",1)</f>
        <v>1</v>
      </c>
    </row>
    <row r="113" spans="2:13" x14ac:dyDescent="0.25">
      <c r="B113" s="15" t="s">
        <v>5</v>
      </c>
      <c r="C113" s="9">
        <v>44.6</v>
      </c>
      <c r="D113" s="9">
        <v>44.7</v>
      </c>
      <c r="E113" s="10">
        <v>44.7</v>
      </c>
      <c r="F113" s="9">
        <f t="shared" si="16"/>
        <v>14.196620923797065</v>
      </c>
      <c r="G113" s="9">
        <f t="shared" si="17"/>
        <v>14.228451912415444</v>
      </c>
      <c r="H113" s="10">
        <f t="shared" si="18"/>
        <v>14.228451912415444</v>
      </c>
      <c r="K113" s="11">
        <f>_xlfn.XLOOKUP(F113,Ref!$B$3:$B$12,Ref!$C$3:$C$12,"",1)</f>
        <v>1</v>
      </c>
      <c r="L113" s="11">
        <f>_xlfn.XLOOKUP(G113,Ref!$B$3:$B$12,Ref!$C$3:$C$12,"",1)</f>
        <v>1</v>
      </c>
      <c r="M113" s="11">
        <f>_xlfn.XLOOKUP(H113,Ref!$B$3:$B$12,Ref!$C$3:$C$12,"",1)</f>
        <v>1</v>
      </c>
    </row>
    <row r="114" spans="2:13" x14ac:dyDescent="0.25">
      <c r="B114" s="15" t="s">
        <v>7</v>
      </c>
      <c r="C114" s="9">
        <v>39.1</v>
      </c>
      <c r="D114" s="9">
        <v>60.1</v>
      </c>
      <c r="E114" s="10">
        <v>68.099999999999994</v>
      </c>
      <c r="F114" s="9">
        <f t="shared" si="16"/>
        <v>12.445916549786217</v>
      </c>
      <c r="G114" s="9">
        <f t="shared" si="17"/>
        <v>19.13042415964582</v>
      </c>
      <c r="H114" s="10">
        <f t="shared" si="18"/>
        <v>21.676903249116144</v>
      </c>
      <c r="K114" s="11">
        <f>_xlfn.XLOOKUP(F114,Ref!$B$3:$B$12,Ref!$C$3:$C$12,"",1)</f>
        <v>1</v>
      </c>
      <c r="L114" s="11">
        <f>_xlfn.XLOOKUP(G114,Ref!$B$3:$B$12,Ref!$C$3:$C$12,"",1)</f>
        <v>1</v>
      </c>
      <c r="M114" s="11">
        <f>_xlfn.XLOOKUP(H114,Ref!$B$3:$B$12,Ref!$C$3:$C$12,"",1)</f>
        <v>2</v>
      </c>
    </row>
    <row r="115" spans="2:13" x14ac:dyDescent="0.25">
      <c r="B115" s="15" t="s">
        <v>5</v>
      </c>
      <c r="C115" s="9"/>
      <c r="D115" s="9"/>
      <c r="E115" s="10">
        <v>32.1</v>
      </c>
      <c r="F115" s="9" t="str">
        <f t="shared" si="16"/>
        <v/>
      </c>
      <c r="G115" s="9" t="str">
        <f t="shared" si="17"/>
        <v/>
      </c>
      <c r="H115" s="10">
        <f t="shared" si="18"/>
        <v>10.217747346499682</v>
      </c>
      <c r="K115" s="11" t="str">
        <f>_xlfn.XLOOKUP(F115,Ref!$B$3:$B$12,Ref!$C$3:$C$12,"",1)</f>
        <v/>
      </c>
      <c r="L115" s="11" t="str">
        <f>_xlfn.XLOOKUP(G115,Ref!$B$3:$B$12,Ref!$C$3:$C$12,"",1)</f>
        <v/>
      </c>
      <c r="M115" s="11">
        <f>_xlfn.XLOOKUP(H115,Ref!$B$3:$B$12,Ref!$C$3:$C$12,"",1)</f>
        <v>1</v>
      </c>
    </row>
    <row r="116" spans="2:13" x14ac:dyDescent="0.25">
      <c r="B116" s="15" t="s">
        <v>8</v>
      </c>
      <c r="C116" s="9">
        <v>57.6</v>
      </c>
      <c r="D116" s="9">
        <v>59.8</v>
      </c>
      <c r="E116" s="10">
        <v>65</v>
      </c>
      <c r="F116" s="9">
        <f t="shared" si="16"/>
        <v>18.334649444186343</v>
      </c>
      <c r="G116" s="9">
        <f t="shared" si="17"/>
        <v>19.034931193790683</v>
      </c>
      <c r="H116" s="10">
        <f t="shared" si="18"/>
        <v>20.690142601946395</v>
      </c>
      <c r="K116" s="11">
        <f>_xlfn.XLOOKUP(F116,Ref!$B$3:$B$12,Ref!$C$3:$C$12,"",1)</f>
        <v>1</v>
      </c>
      <c r="L116" s="11">
        <f>_xlfn.XLOOKUP(G116,Ref!$B$3:$B$12,Ref!$C$3:$C$12,"",1)</f>
        <v>1</v>
      </c>
      <c r="M116" s="11">
        <f>_xlfn.XLOOKUP(H116,Ref!$B$3:$B$12,Ref!$C$3:$C$12,"",1)</f>
        <v>2</v>
      </c>
    </row>
    <row r="117" spans="2:13" x14ac:dyDescent="0.25">
      <c r="B117" s="15" t="s">
        <v>5</v>
      </c>
      <c r="C117" s="9">
        <v>42.5</v>
      </c>
      <c r="D117" s="9">
        <v>43</v>
      </c>
      <c r="E117" s="10">
        <v>43.8</v>
      </c>
      <c r="F117" s="9">
        <f t="shared" si="16"/>
        <v>13.528170162811104</v>
      </c>
      <c r="G117" s="9">
        <f t="shared" si="17"/>
        <v>13.687325105903</v>
      </c>
      <c r="H117" s="10">
        <f t="shared" si="18"/>
        <v>13.941973014850031</v>
      </c>
      <c r="K117" s="11">
        <f>_xlfn.XLOOKUP(F117,Ref!$B$3:$B$12,Ref!$C$3:$C$12,"",1)</f>
        <v>1</v>
      </c>
      <c r="L117" s="11">
        <f>_xlfn.XLOOKUP(G117,Ref!$B$3:$B$12,Ref!$C$3:$C$12,"",1)</f>
        <v>1</v>
      </c>
      <c r="M117" s="11">
        <f>_xlfn.XLOOKUP(H117,Ref!$B$3:$B$12,Ref!$C$3:$C$12,"",1)</f>
        <v>1</v>
      </c>
    </row>
    <row r="118" spans="2:13" x14ac:dyDescent="0.25">
      <c r="B118" s="15" t="s">
        <v>5</v>
      </c>
      <c r="C118" s="9">
        <v>91.2</v>
      </c>
      <c r="D118" s="9">
        <v>96.8</v>
      </c>
      <c r="E118" s="10">
        <v>101.1</v>
      </c>
      <c r="F118" s="9">
        <f t="shared" si="16"/>
        <v>29.029861619961711</v>
      </c>
      <c r="G118" s="9">
        <f t="shared" si="17"/>
        <v>30.812396982590936</v>
      </c>
      <c r="H118" s="10">
        <f t="shared" si="18"/>
        <v>32.181129493181238</v>
      </c>
      <c r="K118" s="11">
        <f>_xlfn.XLOOKUP(F118,Ref!$B$3:$B$12,Ref!$C$3:$C$12,"",1)</f>
        <v>2</v>
      </c>
      <c r="L118" s="11">
        <f>_xlfn.XLOOKUP(G118,Ref!$B$3:$B$12,Ref!$C$3:$C$12,"",1)</f>
        <v>3</v>
      </c>
      <c r="M118" s="11">
        <f>_xlfn.XLOOKUP(H118,Ref!$B$3:$B$12,Ref!$C$3:$C$12,"",1)</f>
        <v>3</v>
      </c>
    </row>
    <row r="119" spans="2:13" x14ac:dyDescent="0.25">
      <c r="B119" s="15" t="s">
        <v>5</v>
      </c>
      <c r="C119" s="9">
        <v>63.9</v>
      </c>
      <c r="D119" s="9">
        <v>65.3</v>
      </c>
      <c r="E119" s="10">
        <v>65.599999999999994</v>
      </c>
      <c r="F119" s="9">
        <f t="shared" si="16"/>
        <v>20.340001727144223</v>
      </c>
      <c r="G119" s="9">
        <f t="shared" si="17"/>
        <v>20.785635567801531</v>
      </c>
      <c r="H119" s="10">
        <f t="shared" si="18"/>
        <v>20.881128533656668</v>
      </c>
      <c r="K119" s="11">
        <f>_xlfn.XLOOKUP(F119,Ref!$B$3:$B$12,Ref!$C$3:$C$12,"",1)</f>
        <v>2</v>
      </c>
      <c r="L119" s="11">
        <f>_xlfn.XLOOKUP(G119,Ref!$B$3:$B$12,Ref!$C$3:$C$12,"",1)</f>
        <v>2</v>
      </c>
      <c r="M119" s="11">
        <f>_xlfn.XLOOKUP(H119,Ref!$B$3:$B$12,Ref!$C$3:$C$12,"",1)</f>
        <v>2</v>
      </c>
    </row>
    <row r="120" spans="2:13" x14ac:dyDescent="0.25">
      <c r="B120" s="15" t="s">
        <v>1</v>
      </c>
      <c r="C120" s="9">
        <v>37</v>
      </c>
      <c r="D120" s="9">
        <v>37.9</v>
      </c>
      <c r="E120" s="10">
        <v>0</v>
      </c>
      <c r="F120" s="9">
        <f t="shared" si="16"/>
        <v>11.777465788800255</v>
      </c>
      <c r="G120" s="9">
        <f t="shared" si="17"/>
        <v>12.063944686365666</v>
      </c>
      <c r="H120" s="10">
        <f t="shared" si="18"/>
        <v>0</v>
      </c>
      <c r="K120" s="11">
        <f>_xlfn.XLOOKUP(F120,Ref!$B$3:$B$12,Ref!$C$3:$C$12,"",1)</f>
        <v>1</v>
      </c>
      <c r="L120" s="11">
        <f>_xlfn.XLOOKUP(G120,Ref!$B$3:$B$12,Ref!$C$3:$C$12,"",1)</f>
        <v>1</v>
      </c>
      <c r="M120" s="11" t="str">
        <f>_xlfn.XLOOKUP(H120,Ref!$B$3:$B$12,Ref!$C$3:$C$12,"",1)</f>
        <v>Morta</v>
      </c>
    </row>
    <row r="121" spans="2:13" x14ac:dyDescent="0.25">
      <c r="B121" s="15" t="s">
        <v>1</v>
      </c>
      <c r="C121" s="9">
        <v>33.799999999999997</v>
      </c>
      <c r="D121" s="9">
        <v>35.200000000000003</v>
      </c>
      <c r="E121" s="10">
        <v>37.200000000000003</v>
      </c>
      <c r="F121" s="9">
        <f t="shared" si="16"/>
        <v>10.758874153012124</v>
      </c>
      <c r="G121" s="9">
        <f t="shared" si="17"/>
        <v>11.204507993669433</v>
      </c>
      <c r="H121" s="10">
        <f t="shared" si="18"/>
        <v>11.841127766037014</v>
      </c>
      <c r="K121" s="11">
        <f>_xlfn.XLOOKUP(F121,Ref!$B$3:$B$12,Ref!$C$3:$C$12,"",1)</f>
        <v>1</v>
      </c>
      <c r="L121" s="11">
        <f>_xlfn.XLOOKUP(G121,Ref!$B$3:$B$12,Ref!$C$3:$C$12,"",1)</f>
        <v>1</v>
      </c>
      <c r="M121" s="11">
        <f>_xlfn.XLOOKUP(H121,Ref!$B$3:$B$12,Ref!$C$3:$C$12,"",1)</f>
        <v>1</v>
      </c>
    </row>
    <row r="122" spans="2:13" x14ac:dyDescent="0.25">
      <c r="B122" s="15" t="s">
        <v>5</v>
      </c>
      <c r="C122" s="9">
        <v>62.6</v>
      </c>
      <c r="D122" s="9">
        <v>72.400000000000006</v>
      </c>
      <c r="E122" s="10">
        <v>80.8</v>
      </c>
      <c r="F122" s="9">
        <f t="shared" si="16"/>
        <v>19.926198875105296</v>
      </c>
      <c r="G122" s="9">
        <f t="shared" si="17"/>
        <v>23.045635759706446</v>
      </c>
      <c r="H122" s="10">
        <f t="shared" si="18"/>
        <v>25.719438803650288</v>
      </c>
      <c r="K122" s="11">
        <f>_xlfn.XLOOKUP(F122,Ref!$B$3:$B$12,Ref!$C$3:$C$12,"",1)</f>
        <v>1</v>
      </c>
      <c r="L122" s="11">
        <f>_xlfn.XLOOKUP(G122,Ref!$B$3:$B$12,Ref!$C$3:$C$12,"",1)</f>
        <v>2</v>
      </c>
      <c r="M122" s="11">
        <f>_xlfn.XLOOKUP(H122,Ref!$B$3:$B$12,Ref!$C$3:$C$12,"",1)</f>
        <v>2</v>
      </c>
    </row>
    <row r="123" spans="2:13" x14ac:dyDescent="0.25">
      <c r="B123" s="15" t="s">
        <v>5</v>
      </c>
      <c r="C123" s="9">
        <v>53.3</v>
      </c>
      <c r="D123" s="9">
        <v>58.4</v>
      </c>
      <c r="E123" s="10">
        <v>65.599999999999994</v>
      </c>
      <c r="F123" s="9">
        <f t="shared" si="16"/>
        <v>16.965916933596041</v>
      </c>
      <c r="G123" s="9">
        <f t="shared" si="17"/>
        <v>18.589297353133375</v>
      </c>
      <c r="H123" s="10">
        <f t="shared" si="18"/>
        <v>20.881128533656668</v>
      </c>
      <c r="K123" s="11">
        <f>_xlfn.XLOOKUP(F123,Ref!$B$3:$B$12,Ref!$C$3:$C$12,"",1)</f>
        <v>1</v>
      </c>
      <c r="L123" s="11">
        <f>_xlfn.XLOOKUP(G123,Ref!$B$3:$B$12,Ref!$C$3:$C$12,"",1)</f>
        <v>1</v>
      </c>
      <c r="M123" s="11">
        <f>_xlfn.XLOOKUP(H123,Ref!$B$3:$B$12,Ref!$C$3:$C$12,"",1)</f>
        <v>2</v>
      </c>
    </row>
    <row r="124" spans="2:13" x14ac:dyDescent="0.25">
      <c r="B124" s="15" t="s">
        <v>5</v>
      </c>
      <c r="C124" s="9">
        <v>31.6</v>
      </c>
      <c r="D124" s="9">
        <v>31.8</v>
      </c>
      <c r="E124" s="10">
        <v>31.9</v>
      </c>
      <c r="F124" s="9">
        <f t="shared" si="16"/>
        <v>10.058592403407786</v>
      </c>
      <c r="G124" s="9">
        <f t="shared" si="17"/>
        <v>10.122254380644543</v>
      </c>
      <c r="H124" s="10">
        <f t="shared" si="18"/>
        <v>10.154085369262923</v>
      </c>
      <c r="K124" s="11">
        <f>_xlfn.XLOOKUP(F124,Ref!$B$3:$B$12,Ref!$C$3:$C$12,"",1)</f>
        <v>1</v>
      </c>
      <c r="L124" s="11">
        <f>_xlfn.XLOOKUP(G124,Ref!$B$3:$B$12,Ref!$C$3:$C$12,"",1)</f>
        <v>1</v>
      </c>
      <c r="M124" s="11">
        <f>_xlfn.XLOOKUP(H124,Ref!$B$3:$B$12,Ref!$C$3:$C$12,"",1)</f>
        <v>1</v>
      </c>
    </row>
    <row r="125" spans="2:13" x14ac:dyDescent="0.25">
      <c r="B125" s="15" t="s">
        <v>5</v>
      </c>
      <c r="C125" s="9">
        <v>43.4</v>
      </c>
      <c r="D125" s="9">
        <v>47.2</v>
      </c>
      <c r="E125" s="10">
        <v>47.2</v>
      </c>
      <c r="F125" s="9">
        <f t="shared" si="16"/>
        <v>13.814649060376516</v>
      </c>
      <c r="G125" s="9">
        <f t="shared" si="17"/>
        <v>15.024226627874921</v>
      </c>
      <c r="H125" s="10">
        <f t="shared" si="18"/>
        <v>15.024226627874921</v>
      </c>
      <c r="K125" s="11">
        <f>_xlfn.XLOOKUP(F125,Ref!$B$3:$B$12,Ref!$C$3:$C$12,"",1)</f>
        <v>1</v>
      </c>
      <c r="L125" s="11">
        <f>_xlfn.XLOOKUP(G125,Ref!$B$3:$B$12,Ref!$C$3:$C$12,"",1)</f>
        <v>1</v>
      </c>
      <c r="M125" s="11">
        <f>_xlfn.XLOOKUP(H125,Ref!$B$3:$B$12,Ref!$C$3:$C$12,"",1)</f>
        <v>1</v>
      </c>
    </row>
    <row r="126" spans="2:13" x14ac:dyDescent="0.25">
      <c r="B126" s="15" t="s">
        <v>5</v>
      </c>
      <c r="C126" s="9">
        <v>33.4</v>
      </c>
      <c r="D126" s="9">
        <v>33.4</v>
      </c>
      <c r="E126" s="10">
        <v>0</v>
      </c>
      <c r="F126" s="9">
        <f t="shared" si="16"/>
        <v>10.631550198538608</v>
      </c>
      <c r="G126" s="9">
        <f t="shared" si="17"/>
        <v>10.631550198538608</v>
      </c>
      <c r="H126" s="10">
        <f t="shared" si="18"/>
        <v>0</v>
      </c>
      <c r="K126" s="11">
        <f>_xlfn.XLOOKUP(F126,Ref!$B$3:$B$12,Ref!$C$3:$C$12,"",1)</f>
        <v>1</v>
      </c>
      <c r="L126" s="11">
        <f>_xlfn.XLOOKUP(G126,Ref!$B$3:$B$12,Ref!$C$3:$C$12,"",1)</f>
        <v>1</v>
      </c>
      <c r="M126" s="11" t="str">
        <f>_xlfn.XLOOKUP(H126,Ref!$B$3:$B$12,Ref!$C$3:$C$12,"",1)</f>
        <v>Morta</v>
      </c>
    </row>
    <row r="127" spans="2:13" x14ac:dyDescent="0.25">
      <c r="B127" s="15" t="s">
        <v>5</v>
      </c>
      <c r="C127" s="9">
        <v>44.6</v>
      </c>
      <c r="D127" s="9">
        <v>44.5</v>
      </c>
      <c r="E127" s="10">
        <v>44.6</v>
      </c>
      <c r="F127" s="9">
        <f t="shared" si="16"/>
        <v>14.196620923797065</v>
      </c>
      <c r="G127" s="9">
        <f t="shared" si="17"/>
        <v>14.164789935178685</v>
      </c>
      <c r="H127" s="10">
        <f t="shared" si="18"/>
        <v>14.196620923797065</v>
      </c>
      <c r="K127" s="11">
        <f>_xlfn.XLOOKUP(F127,Ref!$B$3:$B$12,Ref!$C$3:$C$12,"",1)</f>
        <v>1</v>
      </c>
      <c r="L127" s="11">
        <f>_xlfn.XLOOKUP(G127,Ref!$B$3:$B$12,Ref!$C$3:$C$12,"",1)</f>
        <v>1</v>
      </c>
      <c r="M127" s="11">
        <f>_xlfn.XLOOKUP(H127,Ref!$B$3:$B$12,Ref!$C$3:$C$12,"",1)</f>
        <v>1</v>
      </c>
    </row>
    <row r="128" spans="2:13" x14ac:dyDescent="0.25">
      <c r="B128" s="15" t="s">
        <v>5</v>
      </c>
      <c r="C128" s="9">
        <v>47.6</v>
      </c>
      <c r="D128" s="9">
        <v>49.6</v>
      </c>
      <c r="E128" s="10">
        <v>50</v>
      </c>
      <c r="F128" s="9">
        <f t="shared" si="16"/>
        <v>15.151550582348436</v>
      </c>
      <c r="G128" s="9">
        <f t="shared" si="17"/>
        <v>15.788170354716019</v>
      </c>
      <c r="H128" s="10">
        <f t="shared" si="18"/>
        <v>15.915494309189533</v>
      </c>
      <c r="K128" s="11">
        <f>_xlfn.XLOOKUP(F128,Ref!$B$3:$B$12,Ref!$C$3:$C$12,"",1)</f>
        <v>1</v>
      </c>
      <c r="L128" s="11">
        <f>_xlfn.XLOOKUP(G128,Ref!$B$3:$B$12,Ref!$C$3:$C$12,"",1)</f>
        <v>1</v>
      </c>
      <c r="M128" s="11">
        <f>_xlfn.XLOOKUP(H128,Ref!$B$3:$B$12,Ref!$C$3:$C$12,"",1)</f>
        <v>1</v>
      </c>
    </row>
    <row r="129" spans="2:13" x14ac:dyDescent="0.25">
      <c r="B129" s="15" t="s">
        <v>5</v>
      </c>
      <c r="C129" s="9">
        <v>44.2</v>
      </c>
      <c r="D129" s="9">
        <v>50.7</v>
      </c>
      <c r="E129" s="10">
        <v>55.1</v>
      </c>
      <c r="F129" s="9">
        <f t="shared" si="16"/>
        <v>14.069296969323549</v>
      </c>
      <c r="G129" s="9">
        <f t="shared" si="17"/>
        <v>16.138311229518187</v>
      </c>
      <c r="H129" s="10">
        <f t="shared" si="18"/>
        <v>17.538874728726867</v>
      </c>
      <c r="K129" s="11">
        <f>_xlfn.XLOOKUP(F129,Ref!$B$3:$B$12,Ref!$C$3:$C$12,"",1)</f>
        <v>1</v>
      </c>
      <c r="L129" s="11">
        <f>_xlfn.XLOOKUP(G129,Ref!$B$3:$B$12,Ref!$C$3:$C$12,"",1)</f>
        <v>1</v>
      </c>
      <c r="M129" s="11">
        <f>_xlfn.XLOOKUP(H129,Ref!$B$3:$B$12,Ref!$C$3:$C$12,"",1)</f>
        <v>1</v>
      </c>
    </row>
    <row r="130" spans="2:13" x14ac:dyDescent="0.25">
      <c r="B130" s="15" t="s">
        <v>5</v>
      </c>
      <c r="C130" s="9">
        <v>48.7</v>
      </c>
      <c r="D130" s="9">
        <v>56.4</v>
      </c>
      <c r="E130" s="10">
        <v>65.5</v>
      </c>
      <c r="F130" s="9">
        <f t="shared" si="16"/>
        <v>15.501691457150606</v>
      </c>
      <c r="G130" s="9">
        <f t="shared" si="17"/>
        <v>17.952677580765794</v>
      </c>
      <c r="H130" s="10">
        <f t="shared" si="18"/>
        <v>20.84929754503829</v>
      </c>
      <c r="K130" s="11">
        <f>_xlfn.XLOOKUP(F130,Ref!$B$3:$B$12,Ref!$C$3:$C$12,"",1)</f>
        <v>1</v>
      </c>
      <c r="L130" s="11">
        <f>_xlfn.XLOOKUP(G130,Ref!$B$3:$B$12,Ref!$C$3:$C$12,"",1)</f>
        <v>1</v>
      </c>
      <c r="M130" s="11">
        <f>_xlfn.XLOOKUP(H130,Ref!$B$3:$B$12,Ref!$C$3:$C$12,"",1)</f>
        <v>2</v>
      </c>
    </row>
    <row r="131" spans="2:13" x14ac:dyDescent="0.25">
      <c r="B131" s="15" t="s">
        <v>5</v>
      </c>
      <c r="C131" s="9">
        <v>45.4</v>
      </c>
      <c r="D131" s="9">
        <v>49.9</v>
      </c>
      <c r="E131" s="10">
        <v>52.4</v>
      </c>
      <c r="F131" s="9">
        <f t="shared" si="16"/>
        <v>14.451268832744097</v>
      </c>
      <c r="G131" s="9">
        <f t="shared" si="17"/>
        <v>15.883663320571154</v>
      </c>
      <c r="H131" s="10">
        <f t="shared" si="18"/>
        <v>16.679438036030632</v>
      </c>
      <c r="K131" s="11">
        <f>_xlfn.XLOOKUP(F131,Ref!$B$3:$B$12,Ref!$C$3:$C$12,"",1)</f>
        <v>1</v>
      </c>
      <c r="L131" s="11">
        <f>_xlfn.XLOOKUP(G131,Ref!$B$3:$B$12,Ref!$C$3:$C$12,"",1)</f>
        <v>1</v>
      </c>
      <c r="M131" s="11">
        <f>_xlfn.XLOOKUP(H131,Ref!$B$3:$B$12,Ref!$C$3:$C$12,"",1)</f>
        <v>1</v>
      </c>
    </row>
    <row r="132" spans="2:13" x14ac:dyDescent="0.25">
      <c r="B132" s="15" t="s">
        <v>5</v>
      </c>
      <c r="C132" s="9">
        <v>53.1</v>
      </c>
      <c r="D132" s="9">
        <v>64.900000000000006</v>
      </c>
      <c r="E132" s="10">
        <v>75.599999999999994</v>
      </c>
      <c r="F132" s="9">
        <f t="shared" ref="F132:F190" si="19">IF(C132="", "", C132/PI())</f>
        <v>16.902254956359286</v>
      </c>
      <c r="G132" s="9">
        <f t="shared" ref="G132:G190" si="20">IF(D132="", "", D132/PI())</f>
        <v>20.658311613328017</v>
      </c>
      <c r="H132" s="10">
        <f t="shared" ref="H132:H190" si="21">IF(E132="", "", E132/PI())</f>
        <v>24.064227395494573</v>
      </c>
      <c r="K132" s="11">
        <f>_xlfn.XLOOKUP(F132,Ref!$B$3:$B$12,Ref!$C$3:$C$12,"",1)</f>
        <v>1</v>
      </c>
      <c r="L132" s="11">
        <f>_xlfn.XLOOKUP(G132,Ref!$B$3:$B$12,Ref!$C$3:$C$12,"",1)</f>
        <v>2</v>
      </c>
      <c r="M132" s="11">
        <f>_xlfn.XLOOKUP(H132,Ref!$B$3:$B$12,Ref!$C$3:$C$12,"",1)</f>
        <v>2</v>
      </c>
    </row>
    <row r="133" spans="2:13" x14ac:dyDescent="0.25">
      <c r="B133" s="15" t="s">
        <v>8</v>
      </c>
      <c r="C133" s="9">
        <v>76.5</v>
      </c>
      <c r="D133" s="9">
        <v>84.7</v>
      </c>
      <c r="E133" s="10">
        <v>94.9</v>
      </c>
      <c r="F133" s="9">
        <f t="shared" si="19"/>
        <v>24.350706293059986</v>
      </c>
      <c r="G133" s="9">
        <f t="shared" si="20"/>
        <v>26.960847359767072</v>
      </c>
      <c r="H133" s="10">
        <f t="shared" si="21"/>
        <v>30.207608198841736</v>
      </c>
      <c r="K133" s="11">
        <f>_xlfn.XLOOKUP(F133,Ref!$B$3:$B$12,Ref!$C$3:$C$12,"",1)</f>
        <v>2</v>
      </c>
      <c r="L133" s="11">
        <f>_xlfn.XLOOKUP(G133,Ref!$B$3:$B$12,Ref!$C$3:$C$12,"",1)</f>
        <v>2</v>
      </c>
      <c r="M133" s="11">
        <f>_xlfn.XLOOKUP(H133,Ref!$B$3:$B$12,Ref!$C$3:$C$12,"",1)</f>
        <v>3</v>
      </c>
    </row>
    <row r="134" spans="2:13" x14ac:dyDescent="0.25">
      <c r="B134" s="15" t="s">
        <v>8</v>
      </c>
      <c r="C134" s="9">
        <v>59.4</v>
      </c>
      <c r="D134" s="9">
        <v>67.400000000000006</v>
      </c>
      <c r="E134" s="10">
        <v>77.2</v>
      </c>
      <c r="F134" s="9">
        <f t="shared" si="19"/>
        <v>18.907607239317166</v>
      </c>
      <c r="G134" s="9">
        <f t="shared" si="20"/>
        <v>21.454086328787493</v>
      </c>
      <c r="H134" s="10">
        <f t="shared" si="21"/>
        <v>24.573523213388643</v>
      </c>
      <c r="K134" s="11">
        <f>_xlfn.XLOOKUP(F134,Ref!$B$3:$B$12,Ref!$C$3:$C$12,"",1)</f>
        <v>1</v>
      </c>
      <c r="L134" s="11">
        <f>_xlfn.XLOOKUP(G134,Ref!$B$3:$B$12,Ref!$C$3:$C$12,"",1)</f>
        <v>2</v>
      </c>
      <c r="M134" s="11">
        <f>_xlfn.XLOOKUP(H134,Ref!$B$3:$B$12,Ref!$C$3:$C$12,"",1)</f>
        <v>2</v>
      </c>
    </row>
    <row r="135" spans="2:13" x14ac:dyDescent="0.25">
      <c r="B135" s="15" t="s">
        <v>5</v>
      </c>
      <c r="C135" s="9"/>
      <c r="D135" s="9">
        <v>32.700000000000003</v>
      </c>
      <c r="E135" s="10">
        <v>34.6</v>
      </c>
      <c r="F135" s="9" t="str">
        <f t="shared" si="19"/>
        <v/>
      </c>
      <c r="G135" s="9">
        <f t="shared" si="20"/>
        <v>10.408733278209956</v>
      </c>
      <c r="H135" s="10">
        <f t="shared" si="21"/>
        <v>11.013522061959158</v>
      </c>
      <c r="K135" s="11" t="str">
        <f>_xlfn.XLOOKUP(F135,Ref!$B$3:$B$12,Ref!$C$3:$C$12,"",1)</f>
        <v/>
      </c>
      <c r="L135" s="11">
        <f>_xlfn.XLOOKUP(G135,Ref!$B$3:$B$12,Ref!$C$3:$C$12,"",1)</f>
        <v>1</v>
      </c>
      <c r="M135" s="11">
        <f>_xlfn.XLOOKUP(H135,Ref!$B$3:$B$12,Ref!$C$3:$C$12,"",1)</f>
        <v>1</v>
      </c>
    </row>
    <row r="136" spans="2:13" x14ac:dyDescent="0.25">
      <c r="B136" s="15" t="s">
        <v>5</v>
      </c>
      <c r="C136" s="9"/>
      <c r="D136" s="9">
        <v>31.7</v>
      </c>
      <c r="E136" s="10">
        <v>32.6</v>
      </c>
      <c r="F136" s="9" t="str">
        <f t="shared" si="19"/>
        <v/>
      </c>
      <c r="G136" s="9">
        <f t="shared" si="20"/>
        <v>10.090423392026164</v>
      </c>
      <c r="H136" s="10">
        <f t="shared" si="21"/>
        <v>10.376902289591577</v>
      </c>
      <c r="K136" s="11" t="str">
        <f>_xlfn.XLOOKUP(F136,Ref!$B$3:$B$12,Ref!$C$3:$C$12,"",1)</f>
        <v/>
      </c>
      <c r="L136" s="11">
        <f>_xlfn.XLOOKUP(G136,Ref!$B$3:$B$12,Ref!$C$3:$C$12,"",1)</f>
        <v>1</v>
      </c>
      <c r="M136" s="11">
        <f>_xlfn.XLOOKUP(H136,Ref!$B$3:$B$12,Ref!$C$3:$C$12,"",1)</f>
        <v>1</v>
      </c>
    </row>
    <row r="137" spans="2:13" x14ac:dyDescent="0.25">
      <c r="B137" s="15" t="s">
        <v>5</v>
      </c>
      <c r="C137" s="9">
        <v>63.6</v>
      </c>
      <c r="D137" s="9">
        <v>65</v>
      </c>
      <c r="E137" s="10">
        <v>64</v>
      </c>
      <c r="F137" s="9">
        <f t="shared" si="19"/>
        <v>20.244508761289087</v>
      </c>
      <c r="G137" s="9">
        <f t="shared" si="20"/>
        <v>20.690142601946395</v>
      </c>
      <c r="H137" s="10">
        <f t="shared" si="21"/>
        <v>20.371832715762604</v>
      </c>
      <c r="K137" s="11">
        <f>_xlfn.XLOOKUP(F137,Ref!$B$3:$B$12,Ref!$C$3:$C$12,"",1)</f>
        <v>2</v>
      </c>
      <c r="L137" s="11">
        <f>_xlfn.XLOOKUP(G137,Ref!$B$3:$B$12,Ref!$C$3:$C$12,"",1)</f>
        <v>2</v>
      </c>
      <c r="M137" s="11">
        <f>_xlfn.XLOOKUP(H137,Ref!$B$3:$B$12,Ref!$C$3:$C$12,"",1)</f>
        <v>2</v>
      </c>
    </row>
    <row r="138" spans="2:13" x14ac:dyDescent="0.25">
      <c r="B138" s="15" t="s">
        <v>5</v>
      </c>
      <c r="C138" s="9">
        <v>40.799999999999997</v>
      </c>
      <c r="D138" s="9">
        <v>40.799999999999997</v>
      </c>
      <c r="E138" s="10">
        <v>40.799999999999997</v>
      </c>
      <c r="F138" s="9">
        <f t="shared" si="19"/>
        <v>12.98704335629866</v>
      </c>
      <c r="G138" s="9">
        <f t="shared" si="20"/>
        <v>12.98704335629866</v>
      </c>
      <c r="H138" s="10">
        <f t="shared" si="21"/>
        <v>12.98704335629866</v>
      </c>
      <c r="K138" s="11">
        <f>_xlfn.XLOOKUP(F138,Ref!$B$3:$B$12,Ref!$C$3:$C$12,"",1)</f>
        <v>1</v>
      </c>
      <c r="L138" s="11">
        <f>_xlfn.XLOOKUP(G138,Ref!$B$3:$B$12,Ref!$C$3:$C$12,"",1)</f>
        <v>1</v>
      </c>
      <c r="M138" s="11">
        <f>_xlfn.XLOOKUP(H138,Ref!$B$3:$B$12,Ref!$C$3:$C$12,"",1)</f>
        <v>1</v>
      </c>
    </row>
    <row r="139" spans="2:13" x14ac:dyDescent="0.25">
      <c r="B139" s="15" t="s">
        <v>20</v>
      </c>
      <c r="C139" s="9">
        <v>57.2</v>
      </c>
      <c r="D139" s="9">
        <v>56.9</v>
      </c>
      <c r="E139" s="10">
        <v>56.7</v>
      </c>
      <c r="F139" s="9">
        <f t="shared" si="19"/>
        <v>18.207325489712829</v>
      </c>
      <c r="G139" s="9">
        <f t="shared" si="20"/>
        <v>18.111832523857689</v>
      </c>
      <c r="H139" s="10">
        <f t="shared" si="21"/>
        <v>18.048170546620934</v>
      </c>
      <c r="K139" s="11">
        <f>_xlfn.XLOOKUP(F139,Ref!$B$3:$B$12,Ref!$C$3:$C$12,"",1)</f>
        <v>1</v>
      </c>
      <c r="L139" s="11">
        <f>_xlfn.XLOOKUP(G139,Ref!$B$3:$B$12,Ref!$C$3:$C$12,"",1)</f>
        <v>1</v>
      </c>
      <c r="M139" s="11">
        <f>_xlfn.XLOOKUP(H139,Ref!$B$3:$B$12,Ref!$C$3:$C$12,"",1)</f>
        <v>1</v>
      </c>
    </row>
    <row r="140" spans="2:13" x14ac:dyDescent="0.25">
      <c r="B140" s="15" t="s">
        <v>3</v>
      </c>
      <c r="C140" s="9">
        <v>61</v>
      </c>
      <c r="D140" s="9">
        <v>64.900000000000006</v>
      </c>
      <c r="E140" s="10">
        <v>65.400000000000006</v>
      </c>
      <c r="F140" s="9">
        <f t="shared" si="19"/>
        <v>19.416903057211233</v>
      </c>
      <c r="G140" s="9">
        <f t="shared" si="20"/>
        <v>20.658311613328017</v>
      </c>
      <c r="H140" s="10">
        <f t="shared" si="21"/>
        <v>20.817466556419912</v>
      </c>
      <c r="K140" s="11">
        <f>_xlfn.XLOOKUP(F140,Ref!$B$3:$B$12,Ref!$C$3:$C$12,"",1)</f>
        <v>1</v>
      </c>
      <c r="L140" s="11">
        <f>_xlfn.XLOOKUP(G140,Ref!$B$3:$B$12,Ref!$C$3:$C$12,"",1)</f>
        <v>2</v>
      </c>
      <c r="M140" s="11">
        <f>_xlfn.XLOOKUP(H140,Ref!$B$3:$B$12,Ref!$C$3:$C$12,"",1)</f>
        <v>2</v>
      </c>
    </row>
    <row r="141" spans="2:13" x14ac:dyDescent="0.25">
      <c r="B141" s="15" t="s">
        <v>3</v>
      </c>
      <c r="C141" s="9">
        <v>36.299999999999997</v>
      </c>
      <c r="D141" s="9">
        <v>40</v>
      </c>
      <c r="E141" s="10">
        <v>43</v>
      </c>
      <c r="F141" s="9">
        <f t="shared" si="19"/>
        <v>11.554648868471601</v>
      </c>
      <c r="G141" s="9">
        <f t="shared" si="20"/>
        <v>12.732395447351628</v>
      </c>
      <c r="H141" s="10">
        <f t="shared" si="21"/>
        <v>13.687325105903</v>
      </c>
      <c r="K141" s="11">
        <f>_xlfn.XLOOKUP(F141,Ref!$B$3:$B$12,Ref!$C$3:$C$12,"",1)</f>
        <v>1</v>
      </c>
      <c r="L141" s="11">
        <f>_xlfn.XLOOKUP(G141,Ref!$B$3:$B$12,Ref!$C$3:$C$12,"",1)</f>
        <v>1</v>
      </c>
      <c r="M141" s="11">
        <f>_xlfn.XLOOKUP(H141,Ref!$B$3:$B$12,Ref!$C$3:$C$12,"",1)</f>
        <v>1</v>
      </c>
    </row>
    <row r="142" spans="2:13" x14ac:dyDescent="0.25">
      <c r="B142" s="15" t="s">
        <v>3</v>
      </c>
      <c r="C142" s="9">
        <v>61.9</v>
      </c>
      <c r="D142" s="9">
        <v>65.5</v>
      </c>
      <c r="E142" s="10">
        <v>68.5</v>
      </c>
      <c r="F142" s="9">
        <f t="shared" si="19"/>
        <v>19.703381954776642</v>
      </c>
      <c r="G142" s="9">
        <f t="shared" si="20"/>
        <v>20.84929754503829</v>
      </c>
      <c r="H142" s="10">
        <f t="shared" si="21"/>
        <v>21.804227203589662</v>
      </c>
      <c r="K142" s="11">
        <f>_xlfn.XLOOKUP(F142,Ref!$B$3:$B$12,Ref!$C$3:$C$12,"",1)</f>
        <v>1</v>
      </c>
      <c r="L142" s="11">
        <f>_xlfn.XLOOKUP(G142,Ref!$B$3:$B$12,Ref!$C$3:$C$12,"",1)</f>
        <v>2</v>
      </c>
      <c r="M142" s="11">
        <f>_xlfn.XLOOKUP(H142,Ref!$B$3:$B$12,Ref!$C$3:$C$12,"",1)</f>
        <v>2</v>
      </c>
    </row>
    <row r="143" spans="2:13" x14ac:dyDescent="0.25">
      <c r="B143" s="15" t="s">
        <v>15</v>
      </c>
      <c r="C143" s="9">
        <v>37.9</v>
      </c>
      <c r="D143" s="9">
        <v>37.5</v>
      </c>
      <c r="E143" s="10">
        <v>40.200000000000003</v>
      </c>
      <c r="F143" s="9">
        <f t="shared" si="19"/>
        <v>12.063944686365666</v>
      </c>
      <c r="G143" s="9">
        <f t="shared" si="20"/>
        <v>11.93662073189215</v>
      </c>
      <c r="H143" s="10">
        <f t="shared" si="21"/>
        <v>12.796057424588387</v>
      </c>
      <c r="K143" s="11">
        <f>_xlfn.XLOOKUP(F143,Ref!$B$3:$B$12,Ref!$C$3:$C$12,"",1)</f>
        <v>1</v>
      </c>
      <c r="L143" s="11">
        <f>_xlfn.XLOOKUP(G143,Ref!$B$3:$B$12,Ref!$C$3:$C$12,"",1)</f>
        <v>1</v>
      </c>
      <c r="M143" s="11">
        <f>_xlfn.XLOOKUP(H143,Ref!$B$3:$B$12,Ref!$C$3:$C$12,"",1)</f>
        <v>1</v>
      </c>
    </row>
    <row r="144" spans="2:13" x14ac:dyDescent="0.25">
      <c r="B144" s="15" t="s">
        <v>3</v>
      </c>
      <c r="C144" s="9">
        <v>37.799999999999997</v>
      </c>
      <c r="D144" s="9">
        <v>39.1</v>
      </c>
      <c r="E144" s="10">
        <v>40.5</v>
      </c>
      <c r="F144" s="9">
        <f t="shared" si="19"/>
        <v>12.032113697747286</v>
      </c>
      <c r="G144" s="9">
        <f t="shared" si="20"/>
        <v>12.445916549786217</v>
      </c>
      <c r="H144" s="10">
        <f t="shared" si="21"/>
        <v>12.891550390443523</v>
      </c>
      <c r="K144" s="11">
        <f>_xlfn.XLOOKUP(F144,Ref!$B$3:$B$12,Ref!$C$3:$C$12,"",1)</f>
        <v>1</v>
      </c>
      <c r="L144" s="11">
        <f>_xlfn.XLOOKUP(G144,Ref!$B$3:$B$12,Ref!$C$3:$C$12,"",1)</f>
        <v>1</v>
      </c>
      <c r="M144" s="11">
        <f>_xlfn.XLOOKUP(H144,Ref!$B$3:$B$12,Ref!$C$3:$C$12,"",1)</f>
        <v>1</v>
      </c>
    </row>
    <row r="145" spans="2:13" x14ac:dyDescent="0.25">
      <c r="B145" s="15" t="s">
        <v>3</v>
      </c>
      <c r="C145" s="9">
        <v>60</v>
      </c>
      <c r="D145" s="9">
        <v>60.4</v>
      </c>
      <c r="E145" s="10">
        <v>63.2</v>
      </c>
      <c r="F145" s="9">
        <f t="shared" si="19"/>
        <v>19.098593171027442</v>
      </c>
      <c r="G145" s="9">
        <f t="shared" si="20"/>
        <v>19.225917125500956</v>
      </c>
      <c r="H145" s="10">
        <f t="shared" si="21"/>
        <v>20.117184806815573</v>
      </c>
      <c r="K145" s="11">
        <f>_xlfn.XLOOKUP(F145,Ref!$B$3:$B$12,Ref!$C$3:$C$12,"",1)</f>
        <v>1</v>
      </c>
      <c r="L145" s="11">
        <f>_xlfn.XLOOKUP(G145,Ref!$B$3:$B$12,Ref!$C$3:$C$12,"",1)</f>
        <v>1</v>
      </c>
      <c r="M145" s="11">
        <f>_xlfn.XLOOKUP(H145,Ref!$B$3:$B$12,Ref!$C$3:$C$12,"",1)</f>
        <v>2</v>
      </c>
    </row>
    <row r="146" spans="2:13" x14ac:dyDescent="0.25">
      <c r="B146" s="15" t="s">
        <v>3</v>
      </c>
      <c r="C146" s="9">
        <v>61.2</v>
      </c>
      <c r="D146" s="9">
        <v>63.7</v>
      </c>
      <c r="E146" s="10">
        <v>65.400000000000006</v>
      </c>
      <c r="F146" s="9">
        <f t="shared" si="19"/>
        <v>19.480565034447991</v>
      </c>
      <c r="G146" s="9">
        <f t="shared" si="20"/>
        <v>20.276339749907468</v>
      </c>
      <c r="H146" s="10">
        <f t="shared" si="21"/>
        <v>20.817466556419912</v>
      </c>
      <c r="K146" s="11">
        <f>_xlfn.XLOOKUP(F146,Ref!$B$3:$B$12,Ref!$C$3:$C$12,"",1)</f>
        <v>1</v>
      </c>
      <c r="L146" s="11">
        <f>_xlfn.XLOOKUP(G146,Ref!$B$3:$B$12,Ref!$C$3:$C$12,"",1)</f>
        <v>2</v>
      </c>
      <c r="M146" s="11">
        <f>_xlfn.XLOOKUP(H146,Ref!$B$3:$B$12,Ref!$C$3:$C$12,"",1)</f>
        <v>2</v>
      </c>
    </row>
    <row r="147" spans="2:13" x14ac:dyDescent="0.25">
      <c r="B147" s="15" t="s">
        <v>3</v>
      </c>
      <c r="C147" s="9">
        <v>65.3</v>
      </c>
      <c r="D147" s="9">
        <v>68</v>
      </c>
      <c r="E147" s="10">
        <v>70</v>
      </c>
      <c r="F147" s="9">
        <f t="shared" si="19"/>
        <v>20.785635567801531</v>
      </c>
      <c r="G147" s="9">
        <f t="shared" si="20"/>
        <v>21.645072260497766</v>
      </c>
      <c r="H147" s="10">
        <f t="shared" si="21"/>
        <v>22.281692032865347</v>
      </c>
      <c r="K147" s="11">
        <f>_xlfn.XLOOKUP(F147,Ref!$B$3:$B$12,Ref!$C$3:$C$12,"",1)</f>
        <v>2</v>
      </c>
      <c r="L147" s="11">
        <f>_xlfn.XLOOKUP(G147,Ref!$B$3:$B$12,Ref!$C$3:$C$12,"",1)</f>
        <v>2</v>
      </c>
      <c r="M147" s="11">
        <f>_xlfn.XLOOKUP(H147,Ref!$B$3:$B$12,Ref!$C$3:$C$12,"",1)</f>
        <v>2</v>
      </c>
    </row>
    <row r="148" spans="2:13" x14ac:dyDescent="0.25">
      <c r="B148" s="15" t="s">
        <v>16</v>
      </c>
      <c r="C148" s="9">
        <v>58.4</v>
      </c>
      <c r="D148" s="9">
        <v>67</v>
      </c>
      <c r="E148" s="10">
        <v>76.5</v>
      </c>
      <c r="F148" s="9">
        <f t="shared" si="19"/>
        <v>18.589297353133375</v>
      </c>
      <c r="G148" s="9">
        <f t="shared" si="20"/>
        <v>21.326762374313976</v>
      </c>
      <c r="H148" s="10">
        <f t="shared" si="21"/>
        <v>24.350706293059986</v>
      </c>
      <c r="K148" s="11">
        <f>_xlfn.XLOOKUP(F148,Ref!$B$3:$B$12,Ref!$C$3:$C$12,"",1)</f>
        <v>1</v>
      </c>
      <c r="L148" s="11">
        <f>_xlfn.XLOOKUP(G148,Ref!$B$3:$B$12,Ref!$C$3:$C$12,"",1)</f>
        <v>2</v>
      </c>
      <c r="M148" s="11">
        <f>_xlfn.XLOOKUP(H148,Ref!$B$3:$B$12,Ref!$C$3:$C$12,"",1)</f>
        <v>2</v>
      </c>
    </row>
    <row r="149" spans="2:13" x14ac:dyDescent="0.25">
      <c r="B149" s="15" t="s">
        <v>5</v>
      </c>
      <c r="C149" s="9">
        <v>42.3</v>
      </c>
      <c r="D149" s="9">
        <v>41.6</v>
      </c>
      <c r="E149" s="10">
        <v>44.2</v>
      </c>
      <c r="F149" s="9">
        <f t="shared" si="19"/>
        <v>13.464508185574346</v>
      </c>
      <c r="G149" s="9">
        <f t="shared" si="20"/>
        <v>13.241691265245693</v>
      </c>
      <c r="H149" s="10">
        <f t="shared" si="21"/>
        <v>14.069296969323549</v>
      </c>
      <c r="K149" s="11">
        <f>_xlfn.XLOOKUP(F149,Ref!$B$3:$B$12,Ref!$C$3:$C$12,"",1)</f>
        <v>1</v>
      </c>
      <c r="L149" s="11">
        <f>_xlfn.XLOOKUP(G149,Ref!$B$3:$B$12,Ref!$C$3:$C$12,"",1)</f>
        <v>1</v>
      </c>
      <c r="M149" s="11">
        <f>_xlfn.XLOOKUP(H149,Ref!$B$3:$B$12,Ref!$C$3:$C$12,"",1)</f>
        <v>1</v>
      </c>
    </row>
    <row r="150" spans="2:13" x14ac:dyDescent="0.25">
      <c r="B150" s="15" t="s">
        <v>5</v>
      </c>
      <c r="C150" s="9">
        <v>44.9</v>
      </c>
      <c r="D150" s="9">
        <v>0</v>
      </c>
      <c r="E150" s="10">
        <v>0</v>
      </c>
      <c r="F150" s="9">
        <f t="shared" si="19"/>
        <v>14.292113889652201</v>
      </c>
      <c r="G150" s="9">
        <f t="shared" si="20"/>
        <v>0</v>
      </c>
      <c r="H150" s="10">
        <f t="shared" si="21"/>
        <v>0</v>
      </c>
      <c r="K150" s="11">
        <f>_xlfn.XLOOKUP(F150,Ref!$B$3:$B$12,Ref!$C$3:$C$12,"",1)</f>
        <v>1</v>
      </c>
      <c r="L150" s="11" t="str">
        <f>_xlfn.XLOOKUP(G150,Ref!$B$3:$B$12,Ref!$C$3:$C$12,"",1)</f>
        <v>Morta</v>
      </c>
      <c r="M150" s="11" t="str">
        <f>_xlfn.XLOOKUP(H150,Ref!$B$3:$B$12,Ref!$C$3:$C$12,"",1)</f>
        <v>Morta</v>
      </c>
    </row>
    <row r="151" spans="2:13" x14ac:dyDescent="0.25">
      <c r="B151" s="15" t="s">
        <v>3</v>
      </c>
      <c r="C151" s="9">
        <v>34.4</v>
      </c>
      <c r="D151" s="9">
        <v>35.5</v>
      </c>
      <c r="E151" s="10">
        <v>36.299999999999997</v>
      </c>
      <c r="F151" s="9">
        <f t="shared" si="19"/>
        <v>10.949860084722399</v>
      </c>
      <c r="G151" s="9">
        <f t="shared" si="20"/>
        <v>11.300000959524569</v>
      </c>
      <c r="H151" s="10">
        <f t="shared" si="21"/>
        <v>11.554648868471601</v>
      </c>
      <c r="K151" s="11">
        <f>_xlfn.XLOOKUP(F151,Ref!$B$3:$B$12,Ref!$C$3:$C$12,"",1)</f>
        <v>1</v>
      </c>
      <c r="L151" s="11">
        <f>_xlfn.XLOOKUP(G151,Ref!$B$3:$B$12,Ref!$C$3:$C$12,"",1)</f>
        <v>1</v>
      </c>
      <c r="M151" s="11">
        <f>_xlfn.XLOOKUP(H151,Ref!$B$3:$B$12,Ref!$C$3:$C$12,"",1)</f>
        <v>1</v>
      </c>
    </row>
    <row r="152" spans="2:13" x14ac:dyDescent="0.25">
      <c r="B152" s="15" t="s">
        <v>3</v>
      </c>
      <c r="C152" s="9">
        <v>38.200000000000003</v>
      </c>
      <c r="D152" s="9">
        <v>39.1</v>
      </c>
      <c r="E152" s="10">
        <v>38.9</v>
      </c>
      <c r="F152" s="9">
        <f t="shared" si="19"/>
        <v>12.159437652220806</v>
      </c>
      <c r="G152" s="9">
        <f t="shared" si="20"/>
        <v>12.445916549786217</v>
      </c>
      <c r="H152" s="10">
        <f t="shared" si="21"/>
        <v>12.382254572549456</v>
      </c>
      <c r="K152" s="11">
        <f>_xlfn.XLOOKUP(F152,Ref!$B$3:$B$12,Ref!$C$3:$C$12,"",1)</f>
        <v>1</v>
      </c>
      <c r="L152" s="11">
        <f>_xlfn.XLOOKUP(G152,Ref!$B$3:$B$12,Ref!$C$3:$C$12,"",1)</f>
        <v>1</v>
      </c>
      <c r="M152" s="11">
        <f>_xlfn.XLOOKUP(H152,Ref!$B$3:$B$12,Ref!$C$3:$C$12,"",1)</f>
        <v>1</v>
      </c>
    </row>
    <row r="153" spans="2:13" x14ac:dyDescent="0.25">
      <c r="B153" s="15" t="s">
        <v>3</v>
      </c>
      <c r="C153" s="9">
        <v>53.4</v>
      </c>
      <c r="D153" s="9">
        <v>53.3</v>
      </c>
      <c r="E153" s="10">
        <v>53.2</v>
      </c>
      <c r="F153" s="9">
        <f t="shared" si="19"/>
        <v>16.997747922214423</v>
      </c>
      <c r="G153" s="9">
        <f t="shared" si="20"/>
        <v>16.965916933596041</v>
      </c>
      <c r="H153" s="10">
        <f t="shared" si="21"/>
        <v>16.934085944977664</v>
      </c>
      <c r="K153" s="11">
        <f>_xlfn.XLOOKUP(F153,Ref!$B$3:$B$12,Ref!$C$3:$C$12,"",1)</f>
        <v>1</v>
      </c>
      <c r="L153" s="11">
        <f>_xlfn.XLOOKUP(G153,Ref!$B$3:$B$12,Ref!$C$3:$C$12,"",1)</f>
        <v>1</v>
      </c>
      <c r="M153" s="11">
        <f>_xlfn.XLOOKUP(H153,Ref!$B$3:$B$12,Ref!$C$3:$C$12,"",1)</f>
        <v>1</v>
      </c>
    </row>
    <row r="154" spans="2:13" x14ac:dyDescent="0.25">
      <c r="B154" s="15" t="s">
        <v>3</v>
      </c>
      <c r="C154" s="9">
        <v>45.5</v>
      </c>
      <c r="D154" s="9">
        <v>45.6</v>
      </c>
      <c r="E154" s="10">
        <v>46.2</v>
      </c>
      <c r="F154" s="9">
        <f t="shared" si="19"/>
        <v>14.483099821362476</v>
      </c>
      <c r="G154" s="9">
        <f t="shared" si="20"/>
        <v>14.514930809980855</v>
      </c>
      <c r="H154" s="10">
        <f t="shared" si="21"/>
        <v>14.70591674169113</v>
      </c>
      <c r="K154" s="11">
        <f>_xlfn.XLOOKUP(F154,Ref!$B$3:$B$12,Ref!$C$3:$C$12,"",1)</f>
        <v>1</v>
      </c>
      <c r="L154" s="11">
        <f>_xlfn.XLOOKUP(G154,Ref!$B$3:$B$12,Ref!$C$3:$C$12,"",1)</f>
        <v>1</v>
      </c>
      <c r="M154" s="11">
        <f>_xlfn.XLOOKUP(H154,Ref!$B$3:$B$12,Ref!$C$3:$C$12,"",1)</f>
        <v>1</v>
      </c>
    </row>
    <row r="155" spans="2:13" x14ac:dyDescent="0.25">
      <c r="B155" s="15" t="s">
        <v>3</v>
      </c>
      <c r="C155" s="9">
        <v>84.2</v>
      </c>
      <c r="D155" s="9">
        <v>90.8</v>
      </c>
      <c r="E155" s="10">
        <v>97.5</v>
      </c>
      <c r="F155" s="9">
        <f t="shared" si="19"/>
        <v>26.801692416675177</v>
      </c>
      <c r="G155" s="9">
        <f t="shared" si="20"/>
        <v>28.902537665488193</v>
      </c>
      <c r="H155" s="10">
        <f t="shared" si="21"/>
        <v>31.03521390291959</v>
      </c>
      <c r="K155" s="11">
        <f>_xlfn.XLOOKUP(F155,Ref!$B$3:$B$12,Ref!$C$3:$C$12,"",1)</f>
        <v>2</v>
      </c>
      <c r="L155" s="11">
        <f>_xlfn.XLOOKUP(G155,Ref!$B$3:$B$12,Ref!$C$3:$C$12,"",1)</f>
        <v>2</v>
      </c>
      <c r="M155" s="11">
        <f>_xlfn.XLOOKUP(H155,Ref!$B$3:$B$12,Ref!$C$3:$C$12,"",1)</f>
        <v>3</v>
      </c>
    </row>
    <row r="156" spans="2:13" x14ac:dyDescent="0.25">
      <c r="B156" s="15" t="s">
        <v>3</v>
      </c>
      <c r="C156" s="9">
        <v>39</v>
      </c>
      <c r="D156" s="9">
        <v>41.9</v>
      </c>
      <c r="E156" s="10">
        <v>44.2</v>
      </c>
      <c r="F156" s="9">
        <f t="shared" si="19"/>
        <v>12.414085561167836</v>
      </c>
      <c r="G156" s="9">
        <f t="shared" si="20"/>
        <v>13.33718423110083</v>
      </c>
      <c r="H156" s="10">
        <f t="shared" si="21"/>
        <v>14.069296969323549</v>
      </c>
      <c r="K156" s="11">
        <f>_xlfn.XLOOKUP(F156,Ref!$B$3:$B$12,Ref!$C$3:$C$12,"",1)</f>
        <v>1</v>
      </c>
      <c r="L156" s="11">
        <f>_xlfn.XLOOKUP(G156,Ref!$B$3:$B$12,Ref!$C$3:$C$12,"",1)</f>
        <v>1</v>
      </c>
      <c r="M156" s="11">
        <f>_xlfn.XLOOKUP(H156,Ref!$B$3:$B$12,Ref!$C$3:$C$12,"",1)</f>
        <v>1</v>
      </c>
    </row>
    <row r="157" spans="2:13" x14ac:dyDescent="0.25">
      <c r="B157" s="15" t="s">
        <v>3</v>
      </c>
      <c r="C157" s="9">
        <v>57.5</v>
      </c>
      <c r="D157" s="9">
        <v>59.2</v>
      </c>
      <c r="E157" s="10">
        <v>75.3</v>
      </c>
      <c r="F157" s="9">
        <f t="shared" si="19"/>
        <v>18.302818455567966</v>
      </c>
      <c r="G157" s="9">
        <f t="shared" si="20"/>
        <v>18.84394526208041</v>
      </c>
      <c r="H157" s="10">
        <f t="shared" si="21"/>
        <v>23.968734429639436</v>
      </c>
      <c r="K157" s="11">
        <f>_xlfn.XLOOKUP(F157,Ref!$B$3:$B$12,Ref!$C$3:$C$12,"",1)</f>
        <v>1</v>
      </c>
      <c r="L157" s="11">
        <f>_xlfn.XLOOKUP(G157,Ref!$B$3:$B$12,Ref!$C$3:$C$12,"",1)</f>
        <v>1</v>
      </c>
      <c r="M157" s="11">
        <f>_xlfn.XLOOKUP(H157,Ref!$B$3:$B$12,Ref!$C$3:$C$12,"",1)</f>
        <v>2</v>
      </c>
    </row>
    <row r="158" spans="2:13" x14ac:dyDescent="0.25">
      <c r="B158" s="15" t="s">
        <v>3</v>
      </c>
      <c r="C158" s="9">
        <v>43.2</v>
      </c>
      <c r="D158" s="9">
        <v>45.8</v>
      </c>
      <c r="E158" s="10">
        <v>48.3</v>
      </c>
      <c r="F158" s="9">
        <f t="shared" si="19"/>
        <v>13.750987083139758</v>
      </c>
      <c r="G158" s="9">
        <f t="shared" si="20"/>
        <v>14.578592787217612</v>
      </c>
      <c r="H158" s="10">
        <f t="shared" si="21"/>
        <v>15.374367502677089</v>
      </c>
      <c r="K158" s="11">
        <f>_xlfn.XLOOKUP(F158,Ref!$B$3:$B$12,Ref!$C$3:$C$12,"",1)</f>
        <v>1</v>
      </c>
      <c r="L158" s="11">
        <f>_xlfn.XLOOKUP(G158,Ref!$B$3:$B$12,Ref!$C$3:$C$12,"",1)</f>
        <v>1</v>
      </c>
      <c r="M158" s="11">
        <f>_xlfn.XLOOKUP(H158,Ref!$B$3:$B$12,Ref!$C$3:$C$12,"",1)</f>
        <v>1</v>
      </c>
    </row>
    <row r="159" spans="2:13" x14ac:dyDescent="0.25">
      <c r="B159" s="15" t="s">
        <v>5</v>
      </c>
      <c r="C159" s="9">
        <v>92.8</v>
      </c>
      <c r="D159" s="9">
        <v>95.7</v>
      </c>
      <c r="E159" s="10">
        <v>96.5</v>
      </c>
      <c r="F159" s="9">
        <f t="shared" si="19"/>
        <v>29.539157437855774</v>
      </c>
      <c r="G159" s="9">
        <f t="shared" si="20"/>
        <v>30.462256107788768</v>
      </c>
      <c r="H159" s="10">
        <f t="shared" si="21"/>
        <v>30.7169040167358</v>
      </c>
      <c r="K159" s="11">
        <f>_xlfn.XLOOKUP(F159,Ref!$B$3:$B$12,Ref!$C$3:$C$12,"",1)</f>
        <v>2</v>
      </c>
      <c r="L159" s="11">
        <f>_xlfn.XLOOKUP(G159,Ref!$B$3:$B$12,Ref!$C$3:$C$12,"",1)</f>
        <v>3</v>
      </c>
      <c r="M159" s="11">
        <f>_xlfn.XLOOKUP(H159,Ref!$B$3:$B$12,Ref!$C$3:$C$12,"",1)</f>
        <v>3</v>
      </c>
    </row>
    <row r="160" spans="2:13" x14ac:dyDescent="0.25">
      <c r="B160" s="15" t="s">
        <v>3</v>
      </c>
      <c r="C160" s="9">
        <v>45.1</v>
      </c>
      <c r="D160" s="9">
        <v>46.7</v>
      </c>
      <c r="E160" s="10">
        <v>49</v>
      </c>
      <c r="F160" s="9">
        <f t="shared" si="19"/>
        <v>14.35577586688896</v>
      </c>
      <c r="G160" s="9">
        <f t="shared" si="20"/>
        <v>14.865071684783025</v>
      </c>
      <c r="H160" s="10">
        <f t="shared" si="21"/>
        <v>15.597184423005743</v>
      </c>
      <c r="K160" s="11">
        <f>_xlfn.XLOOKUP(F160,Ref!$B$3:$B$12,Ref!$C$3:$C$12,"",1)</f>
        <v>1</v>
      </c>
      <c r="L160" s="11">
        <f>_xlfn.XLOOKUP(G160,Ref!$B$3:$B$12,Ref!$C$3:$C$12,"",1)</f>
        <v>1</v>
      </c>
      <c r="M160" s="11">
        <f>_xlfn.XLOOKUP(H160,Ref!$B$3:$B$12,Ref!$C$3:$C$12,"",1)</f>
        <v>1</v>
      </c>
    </row>
    <row r="161" spans="2:13" x14ac:dyDescent="0.25">
      <c r="B161" s="15" t="s">
        <v>5</v>
      </c>
      <c r="C161" s="9">
        <v>36.5</v>
      </c>
      <c r="D161" s="9">
        <v>36.4</v>
      </c>
      <c r="E161" s="10">
        <v>37</v>
      </c>
      <c r="F161" s="9">
        <f t="shared" si="19"/>
        <v>11.618310845708359</v>
      </c>
      <c r="G161" s="9">
        <f t="shared" si="20"/>
        <v>11.58647985708998</v>
      </c>
      <c r="H161" s="10">
        <f t="shared" si="21"/>
        <v>11.777465788800255</v>
      </c>
      <c r="K161" s="11">
        <f>_xlfn.XLOOKUP(F161,Ref!$B$3:$B$12,Ref!$C$3:$C$12,"",1)</f>
        <v>1</v>
      </c>
      <c r="L161" s="11">
        <f>_xlfn.XLOOKUP(G161,Ref!$B$3:$B$12,Ref!$C$3:$C$12,"",1)</f>
        <v>1</v>
      </c>
      <c r="M161" s="11">
        <f>_xlfn.XLOOKUP(H161,Ref!$B$3:$B$12,Ref!$C$3:$C$12,"",1)</f>
        <v>1</v>
      </c>
    </row>
    <row r="162" spans="2:13" x14ac:dyDescent="0.25">
      <c r="B162" s="15" t="s">
        <v>2</v>
      </c>
      <c r="C162" s="9">
        <v>33</v>
      </c>
      <c r="D162" s="9">
        <v>0</v>
      </c>
      <c r="E162" s="10">
        <v>33.5</v>
      </c>
      <c r="F162" s="9">
        <f t="shared" si="19"/>
        <v>10.504226244065093</v>
      </c>
      <c r="G162" s="9">
        <f t="shared" si="20"/>
        <v>0</v>
      </c>
      <c r="H162" s="10">
        <f t="shared" si="21"/>
        <v>10.663381187156988</v>
      </c>
      <c r="K162" s="11">
        <f>_xlfn.XLOOKUP(F162,Ref!$B$3:$B$12,Ref!$C$3:$C$12,"",1)</f>
        <v>1</v>
      </c>
      <c r="L162" s="11" t="str">
        <f>_xlfn.XLOOKUP(G162,Ref!$B$3:$B$12,Ref!$C$3:$C$12,"",1)</f>
        <v>Morta</v>
      </c>
      <c r="M162" s="11">
        <f>_xlfn.XLOOKUP(H162,Ref!$B$3:$B$12,Ref!$C$3:$C$12,"",1)</f>
        <v>1</v>
      </c>
    </row>
    <row r="163" spans="2:13" x14ac:dyDescent="0.25">
      <c r="B163" s="15" t="s">
        <v>15</v>
      </c>
      <c r="C163" s="9">
        <v>39.9</v>
      </c>
      <c r="D163" s="9">
        <v>41.5</v>
      </c>
      <c r="E163" s="10">
        <v>42.2</v>
      </c>
      <c r="F163" s="9">
        <f t="shared" si="19"/>
        <v>12.700564458733249</v>
      </c>
      <c r="G163" s="9">
        <f t="shared" si="20"/>
        <v>13.209860276627314</v>
      </c>
      <c r="H163" s="10">
        <f t="shared" si="21"/>
        <v>13.432677196955968</v>
      </c>
      <c r="K163" s="11">
        <f>_xlfn.XLOOKUP(F163,Ref!$B$3:$B$12,Ref!$C$3:$C$12,"",1)</f>
        <v>1</v>
      </c>
      <c r="L163" s="11">
        <f>_xlfn.XLOOKUP(G163,Ref!$B$3:$B$12,Ref!$C$3:$C$12,"",1)</f>
        <v>1</v>
      </c>
      <c r="M163" s="11">
        <f>_xlfn.XLOOKUP(H163,Ref!$B$3:$B$12,Ref!$C$3:$C$12,"",1)</f>
        <v>1</v>
      </c>
    </row>
    <row r="164" spans="2:13" x14ac:dyDescent="0.25">
      <c r="B164" s="15" t="s">
        <v>6</v>
      </c>
      <c r="C164" s="9">
        <v>46.8</v>
      </c>
      <c r="D164" s="9">
        <v>47.5</v>
      </c>
      <c r="E164" s="10">
        <v>49.4</v>
      </c>
      <c r="F164" s="9">
        <f t="shared" si="19"/>
        <v>14.896902673401403</v>
      </c>
      <c r="G164" s="9">
        <f t="shared" si="20"/>
        <v>15.119719593730057</v>
      </c>
      <c r="H164" s="10">
        <f t="shared" si="21"/>
        <v>15.724508377479259</v>
      </c>
      <c r="K164" s="11">
        <f>_xlfn.XLOOKUP(F164,Ref!$B$3:$B$12,Ref!$C$3:$C$12,"",1)</f>
        <v>1</v>
      </c>
      <c r="L164" s="11">
        <f>_xlfn.XLOOKUP(G164,Ref!$B$3:$B$12,Ref!$C$3:$C$12,"",1)</f>
        <v>1</v>
      </c>
      <c r="M164" s="11">
        <f>_xlfn.XLOOKUP(H164,Ref!$B$3:$B$12,Ref!$C$3:$C$12,"",1)</f>
        <v>1</v>
      </c>
    </row>
    <row r="165" spans="2:13" x14ac:dyDescent="0.25">
      <c r="B165" s="15" t="s">
        <v>11</v>
      </c>
      <c r="C165" s="9">
        <v>48.4</v>
      </c>
      <c r="D165" s="9">
        <v>49.8</v>
      </c>
      <c r="E165" s="10">
        <v>53.7</v>
      </c>
      <c r="F165" s="9">
        <f t="shared" si="19"/>
        <v>15.406198491295468</v>
      </c>
      <c r="G165" s="9">
        <f t="shared" si="20"/>
        <v>15.851832331952775</v>
      </c>
      <c r="H165" s="10">
        <f t="shared" si="21"/>
        <v>17.093240888069559</v>
      </c>
      <c r="K165" s="11">
        <f>_xlfn.XLOOKUP(F165,Ref!$B$3:$B$12,Ref!$C$3:$C$12,"",1)</f>
        <v>1</v>
      </c>
      <c r="L165" s="11">
        <f>_xlfn.XLOOKUP(G165,Ref!$B$3:$B$12,Ref!$C$3:$C$12,"",1)</f>
        <v>1</v>
      </c>
      <c r="M165" s="11">
        <f>_xlfn.XLOOKUP(H165,Ref!$B$3:$B$12,Ref!$C$3:$C$12,"",1)</f>
        <v>1</v>
      </c>
    </row>
    <row r="166" spans="2:13" x14ac:dyDescent="0.25">
      <c r="B166" s="15" t="s">
        <v>6</v>
      </c>
      <c r="C166" s="9">
        <v>60.5</v>
      </c>
      <c r="D166" s="9">
        <v>60.7</v>
      </c>
      <c r="E166" s="10">
        <v>59.7</v>
      </c>
      <c r="F166" s="9">
        <f t="shared" si="19"/>
        <v>19.257748114119337</v>
      </c>
      <c r="G166" s="9">
        <f t="shared" si="20"/>
        <v>19.321410091356096</v>
      </c>
      <c r="H166" s="10">
        <f t="shared" si="21"/>
        <v>19.003100205172306</v>
      </c>
      <c r="K166" s="11">
        <f>_xlfn.XLOOKUP(F166,Ref!$B$3:$B$12,Ref!$C$3:$C$12,"",1)</f>
        <v>1</v>
      </c>
      <c r="L166" s="11">
        <f>_xlfn.XLOOKUP(G166,Ref!$B$3:$B$12,Ref!$C$3:$C$12,"",1)</f>
        <v>1</v>
      </c>
      <c r="M166" s="11">
        <f>_xlfn.XLOOKUP(H166,Ref!$B$3:$B$12,Ref!$C$3:$C$12,"",1)</f>
        <v>1</v>
      </c>
    </row>
    <row r="167" spans="2:13" x14ac:dyDescent="0.25">
      <c r="B167" s="15" t="s">
        <v>6</v>
      </c>
      <c r="C167" s="9">
        <v>51.6</v>
      </c>
      <c r="D167" s="9">
        <v>51.8</v>
      </c>
      <c r="E167" s="10">
        <v>50.5</v>
      </c>
      <c r="F167" s="9">
        <f t="shared" si="19"/>
        <v>16.4247901270836</v>
      </c>
      <c r="G167" s="9">
        <f t="shared" si="20"/>
        <v>16.488452104320356</v>
      </c>
      <c r="H167" s="10">
        <f t="shared" si="21"/>
        <v>16.074649252281429</v>
      </c>
      <c r="K167" s="11">
        <f>_xlfn.XLOOKUP(F167,Ref!$B$3:$B$12,Ref!$C$3:$C$12,"",1)</f>
        <v>1</v>
      </c>
      <c r="L167" s="11">
        <f>_xlfn.XLOOKUP(G167,Ref!$B$3:$B$12,Ref!$C$3:$C$12,"",1)</f>
        <v>1</v>
      </c>
      <c r="M167" s="11">
        <f>_xlfn.XLOOKUP(H167,Ref!$B$3:$B$12,Ref!$C$3:$C$12,"",1)</f>
        <v>1</v>
      </c>
    </row>
    <row r="168" spans="2:13" x14ac:dyDescent="0.25">
      <c r="B168" s="15" t="s">
        <v>2</v>
      </c>
      <c r="C168" s="9">
        <v>49.4</v>
      </c>
      <c r="D168" s="9">
        <v>52</v>
      </c>
      <c r="E168" s="10">
        <v>56.5</v>
      </c>
      <c r="F168" s="9">
        <f t="shared" si="19"/>
        <v>15.724508377479259</v>
      </c>
      <c r="G168" s="9">
        <f t="shared" si="20"/>
        <v>16.552114081557114</v>
      </c>
      <c r="H168" s="10">
        <f t="shared" si="21"/>
        <v>17.984508569384175</v>
      </c>
      <c r="K168" s="11">
        <f>_xlfn.XLOOKUP(F168,Ref!$B$3:$B$12,Ref!$C$3:$C$12,"",1)</f>
        <v>1</v>
      </c>
      <c r="L168" s="11">
        <f>_xlfn.XLOOKUP(G168,Ref!$B$3:$B$12,Ref!$C$3:$C$12,"",1)</f>
        <v>1</v>
      </c>
      <c r="M168" s="11">
        <f>_xlfn.XLOOKUP(H168,Ref!$B$3:$B$12,Ref!$C$3:$C$12,"",1)</f>
        <v>1</v>
      </c>
    </row>
    <row r="169" spans="2:13" x14ac:dyDescent="0.25">
      <c r="B169" s="15" t="s">
        <v>2</v>
      </c>
      <c r="C169" s="9">
        <v>35.9</v>
      </c>
      <c r="D169" s="9">
        <v>35.799999999999997</v>
      </c>
      <c r="E169" s="10">
        <v>34.9</v>
      </c>
      <c r="F169" s="9">
        <f t="shared" si="19"/>
        <v>11.427324913998085</v>
      </c>
      <c r="G169" s="9">
        <f t="shared" si="20"/>
        <v>11.395493925379705</v>
      </c>
      <c r="H169" s="10">
        <f t="shared" si="21"/>
        <v>11.109015027814294</v>
      </c>
      <c r="K169" s="11">
        <f>_xlfn.XLOOKUP(F169,Ref!$B$3:$B$12,Ref!$C$3:$C$12,"",1)</f>
        <v>1</v>
      </c>
      <c r="L169" s="11">
        <f>_xlfn.XLOOKUP(G169,Ref!$B$3:$B$12,Ref!$C$3:$C$12,"",1)</f>
        <v>1</v>
      </c>
      <c r="M169" s="11">
        <f>_xlfn.XLOOKUP(H169,Ref!$B$3:$B$12,Ref!$C$3:$C$12,"",1)</f>
        <v>1</v>
      </c>
    </row>
    <row r="170" spans="2:13" x14ac:dyDescent="0.25">
      <c r="B170" s="15" t="s">
        <v>21</v>
      </c>
      <c r="C170" s="9">
        <v>53.4</v>
      </c>
      <c r="D170" s="9">
        <v>57.8</v>
      </c>
      <c r="E170" s="10">
        <v>62.4</v>
      </c>
      <c r="F170" s="9">
        <f t="shared" si="19"/>
        <v>16.997747922214423</v>
      </c>
      <c r="G170" s="9">
        <f t="shared" si="20"/>
        <v>18.398311421423102</v>
      </c>
      <c r="H170" s="10">
        <f t="shared" si="21"/>
        <v>19.862536897868537</v>
      </c>
      <c r="K170" s="11">
        <f>_xlfn.XLOOKUP(F170,Ref!$B$3:$B$12,Ref!$C$3:$C$12,"",1)</f>
        <v>1</v>
      </c>
      <c r="L170" s="11">
        <f>_xlfn.XLOOKUP(G170,Ref!$B$3:$B$12,Ref!$C$3:$C$12,"",1)</f>
        <v>1</v>
      </c>
      <c r="M170" s="11">
        <f>_xlfn.XLOOKUP(H170,Ref!$B$3:$B$12,Ref!$C$3:$C$12,"",1)</f>
        <v>1</v>
      </c>
    </row>
    <row r="171" spans="2:13" x14ac:dyDescent="0.25">
      <c r="B171" s="15" t="s">
        <v>21</v>
      </c>
      <c r="C171" s="9">
        <v>34.4</v>
      </c>
      <c r="D171" s="9">
        <v>37.799999999999997</v>
      </c>
      <c r="E171" s="10">
        <v>40</v>
      </c>
      <c r="F171" s="9">
        <f t="shared" si="19"/>
        <v>10.949860084722399</v>
      </c>
      <c r="G171" s="9">
        <f t="shared" si="20"/>
        <v>12.032113697747286</v>
      </c>
      <c r="H171" s="10">
        <f t="shared" si="21"/>
        <v>12.732395447351628</v>
      </c>
      <c r="K171" s="11">
        <f>_xlfn.XLOOKUP(F171,Ref!$B$3:$B$12,Ref!$C$3:$C$12,"",1)</f>
        <v>1</v>
      </c>
      <c r="L171" s="11">
        <f>_xlfn.XLOOKUP(G171,Ref!$B$3:$B$12,Ref!$C$3:$C$12,"",1)</f>
        <v>1</v>
      </c>
      <c r="M171" s="11">
        <f>_xlfn.XLOOKUP(H171,Ref!$B$3:$B$12,Ref!$C$3:$C$12,"",1)</f>
        <v>1</v>
      </c>
    </row>
    <row r="172" spans="2:13" x14ac:dyDescent="0.25">
      <c r="B172" s="15" t="s">
        <v>22</v>
      </c>
      <c r="C172" s="9">
        <v>56.4</v>
      </c>
      <c r="D172" s="9">
        <v>57.4</v>
      </c>
      <c r="E172" s="10">
        <v>57.4</v>
      </c>
      <c r="F172" s="9">
        <f t="shared" si="19"/>
        <v>17.952677580765794</v>
      </c>
      <c r="G172" s="9">
        <f t="shared" si="20"/>
        <v>18.270987466949585</v>
      </c>
      <c r="H172" s="10">
        <f t="shared" si="21"/>
        <v>18.270987466949585</v>
      </c>
      <c r="K172" s="11">
        <f>_xlfn.XLOOKUP(F172,Ref!$B$3:$B$12,Ref!$C$3:$C$12,"",1)</f>
        <v>1</v>
      </c>
      <c r="L172" s="11">
        <f>_xlfn.XLOOKUP(G172,Ref!$B$3:$B$12,Ref!$C$3:$C$12,"",1)</f>
        <v>1</v>
      </c>
      <c r="M172" s="11">
        <f>_xlfn.XLOOKUP(H172,Ref!$B$3:$B$12,Ref!$C$3:$C$12,"",1)</f>
        <v>1</v>
      </c>
    </row>
    <row r="173" spans="2:13" x14ac:dyDescent="0.25">
      <c r="B173" s="15" t="s">
        <v>5</v>
      </c>
      <c r="C173" s="9">
        <v>87</v>
      </c>
      <c r="D173" s="9">
        <v>88.8</v>
      </c>
      <c r="E173" s="10">
        <v>91</v>
      </c>
      <c r="F173" s="9">
        <f t="shared" si="19"/>
        <v>27.69296009798979</v>
      </c>
      <c r="G173" s="9">
        <f t="shared" si="20"/>
        <v>28.265917893120612</v>
      </c>
      <c r="H173" s="10">
        <f t="shared" si="21"/>
        <v>28.966199642724952</v>
      </c>
      <c r="K173" s="11">
        <f>_xlfn.XLOOKUP(F173,Ref!$B$3:$B$12,Ref!$C$3:$C$12,"",1)</f>
        <v>2</v>
      </c>
      <c r="L173" s="11">
        <f>_xlfn.XLOOKUP(G173,Ref!$B$3:$B$12,Ref!$C$3:$C$12,"",1)</f>
        <v>2</v>
      </c>
      <c r="M173" s="11">
        <f>_xlfn.XLOOKUP(H173,Ref!$B$3:$B$12,Ref!$C$3:$C$12,"",1)</f>
        <v>2</v>
      </c>
    </row>
    <row r="174" spans="2:13" x14ac:dyDescent="0.25">
      <c r="B174" s="15" t="s">
        <v>23</v>
      </c>
      <c r="C174" s="9">
        <v>79.5</v>
      </c>
      <c r="D174" s="9">
        <v>85.4</v>
      </c>
      <c r="E174" s="10">
        <v>89</v>
      </c>
      <c r="F174" s="9">
        <f t="shared" si="19"/>
        <v>25.305635951611361</v>
      </c>
      <c r="G174" s="9">
        <f t="shared" si="20"/>
        <v>27.183664280095726</v>
      </c>
      <c r="H174" s="10">
        <f t="shared" si="21"/>
        <v>28.329579870357371</v>
      </c>
      <c r="K174" s="11">
        <f>_xlfn.XLOOKUP(F174,Ref!$B$3:$B$12,Ref!$C$3:$C$12,"",1)</f>
        <v>2</v>
      </c>
      <c r="L174" s="11">
        <f>_xlfn.XLOOKUP(G174,Ref!$B$3:$B$12,Ref!$C$3:$C$12,"",1)</f>
        <v>2</v>
      </c>
      <c r="M174" s="11">
        <f>_xlfn.XLOOKUP(H174,Ref!$B$3:$B$12,Ref!$C$3:$C$12,"",1)</f>
        <v>2</v>
      </c>
    </row>
    <row r="175" spans="2:13" x14ac:dyDescent="0.25">
      <c r="B175" s="15" t="s">
        <v>20</v>
      </c>
      <c r="C175" s="9">
        <v>87.5</v>
      </c>
      <c r="D175" s="9">
        <v>99.6</v>
      </c>
      <c r="E175" s="10">
        <v>105</v>
      </c>
      <c r="F175" s="9">
        <f t="shared" si="19"/>
        <v>27.852115041081685</v>
      </c>
      <c r="G175" s="9">
        <f t="shared" si="20"/>
        <v>31.703664663905549</v>
      </c>
      <c r="H175" s="10">
        <f t="shared" si="21"/>
        <v>33.422538049298019</v>
      </c>
      <c r="K175" s="11">
        <f>_xlfn.XLOOKUP(F175,Ref!$B$3:$B$12,Ref!$C$3:$C$12,"",1)</f>
        <v>2</v>
      </c>
      <c r="L175" s="11">
        <f>_xlfn.XLOOKUP(G175,Ref!$B$3:$B$12,Ref!$C$3:$C$12,"",1)</f>
        <v>3</v>
      </c>
      <c r="M175" s="11">
        <f>_xlfn.XLOOKUP(H175,Ref!$B$3:$B$12,Ref!$C$3:$C$12,"",1)</f>
        <v>3</v>
      </c>
    </row>
    <row r="176" spans="2:13" x14ac:dyDescent="0.25">
      <c r="B176" s="15" t="s">
        <v>24</v>
      </c>
      <c r="C176" s="9">
        <v>42.2</v>
      </c>
      <c r="D176" s="9">
        <v>53.7</v>
      </c>
      <c r="E176" s="10">
        <v>67.3</v>
      </c>
      <c r="F176" s="9">
        <f t="shared" si="19"/>
        <v>13.432677196955968</v>
      </c>
      <c r="G176" s="9">
        <f t="shared" si="20"/>
        <v>17.093240888069559</v>
      </c>
      <c r="H176" s="10">
        <f t="shared" si="21"/>
        <v>21.422255340169112</v>
      </c>
      <c r="K176" s="11">
        <f>_xlfn.XLOOKUP(F176,Ref!$B$3:$B$12,Ref!$C$3:$C$12,"",1)</f>
        <v>1</v>
      </c>
      <c r="L176" s="11">
        <f>_xlfn.XLOOKUP(G176,Ref!$B$3:$B$12,Ref!$C$3:$C$12,"",1)</f>
        <v>1</v>
      </c>
      <c r="M176" s="11">
        <f>_xlfn.XLOOKUP(H176,Ref!$B$3:$B$12,Ref!$C$3:$C$12,"",1)</f>
        <v>2</v>
      </c>
    </row>
    <row r="177" spans="2:13" x14ac:dyDescent="0.25">
      <c r="B177" s="15" t="s">
        <v>11</v>
      </c>
      <c r="C177" s="9">
        <v>68</v>
      </c>
      <c r="D177" s="9">
        <v>74.5</v>
      </c>
      <c r="E177" s="10">
        <v>80</v>
      </c>
      <c r="F177" s="9">
        <f t="shared" si="19"/>
        <v>21.645072260497766</v>
      </c>
      <c r="G177" s="9">
        <f t="shared" si="20"/>
        <v>23.714086520692405</v>
      </c>
      <c r="H177" s="10">
        <f t="shared" si="21"/>
        <v>25.464790894703256</v>
      </c>
      <c r="K177" s="11">
        <f>_xlfn.XLOOKUP(F177,Ref!$B$3:$B$12,Ref!$C$3:$C$12,"",1)</f>
        <v>2</v>
      </c>
      <c r="L177" s="11">
        <f>_xlfn.XLOOKUP(G177,Ref!$B$3:$B$12,Ref!$C$3:$C$12,"",1)</f>
        <v>2</v>
      </c>
      <c r="M177" s="11">
        <f>_xlfn.XLOOKUP(H177,Ref!$B$3:$B$12,Ref!$C$3:$C$12,"",1)</f>
        <v>2</v>
      </c>
    </row>
    <row r="178" spans="2:13" x14ac:dyDescent="0.25">
      <c r="B178" s="15" t="s">
        <v>25</v>
      </c>
      <c r="C178" s="9">
        <v>34.700000000000003</v>
      </c>
      <c r="D178" s="9">
        <v>35</v>
      </c>
      <c r="E178" s="10">
        <v>35.6</v>
      </c>
      <c r="F178" s="9">
        <f t="shared" si="19"/>
        <v>11.045353050577537</v>
      </c>
      <c r="G178" s="9">
        <f t="shared" si="20"/>
        <v>11.140846016432674</v>
      </c>
      <c r="H178" s="10">
        <f t="shared" si="21"/>
        <v>11.331831948142948</v>
      </c>
      <c r="K178" s="11">
        <f>_xlfn.XLOOKUP(F178,Ref!$B$3:$B$12,Ref!$C$3:$C$12,"",1)</f>
        <v>1</v>
      </c>
      <c r="L178" s="11">
        <f>_xlfn.XLOOKUP(G178,Ref!$B$3:$B$12,Ref!$C$3:$C$12,"",1)</f>
        <v>1</v>
      </c>
      <c r="M178" s="11">
        <f>_xlfn.XLOOKUP(H178,Ref!$B$3:$B$12,Ref!$C$3:$C$12,"",1)</f>
        <v>1</v>
      </c>
    </row>
    <row r="179" spans="2:13" x14ac:dyDescent="0.25">
      <c r="B179" s="15" t="s">
        <v>26</v>
      </c>
      <c r="C179" s="9">
        <v>223</v>
      </c>
      <c r="D179" s="9">
        <v>232</v>
      </c>
      <c r="E179" s="10">
        <v>0</v>
      </c>
      <c r="F179" s="9">
        <f t="shared" si="19"/>
        <v>70.983104618985323</v>
      </c>
      <c r="G179" s="9">
        <f t="shared" si="20"/>
        <v>73.847893594639444</v>
      </c>
      <c r="H179" s="10">
        <f t="shared" si="21"/>
        <v>0</v>
      </c>
      <c r="K179" s="11">
        <f>_xlfn.XLOOKUP(F179,Ref!$B$3:$B$12,Ref!$C$3:$C$12,"",1)</f>
        <v>7</v>
      </c>
      <c r="L179" s="11">
        <f>_xlfn.XLOOKUP(G179,Ref!$B$3:$B$12,Ref!$C$3:$C$12,"",1)</f>
        <v>7</v>
      </c>
      <c r="M179" s="11" t="str">
        <f>_xlfn.XLOOKUP(H179,Ref!$B$3:$B$12,Ref!$C$3:$C$12,"",1)</f>
        <v>Morta</v>
      </c>
    </row>
    <row r="180" spans="2:13" x14ac:dyDescent="0.25">
      <c r="B180" s="15" t="s">
        <v>27</v>
      </c>
      <c r="C180" s="9">
        <v>36</v>
      </c>
      <c r="D180" s="9">
        <v>38.4</v>
      </c>
      <c r="E180" s="10">
        <v>0</v>
      </c>
      <c r="F180" s="9">
        <f t="shared" si="19"/>
        <v>11.459155902616464</v>
      </c>
      <c r="G180" s="9">
        <f t="shared" si="20"/>
        <v>12.223099629457561</v>
      </c>
      <c r="H180" s="10">
        <f t="shared" si="21"/>
        <v>0</v>
      </c>
      <c r="K180" s="11">
        <f>_xlfn.XLOOKUP(F180,Ref!$B$3:$B$12,Ref!$C$3:$C$12,"",1)</f>
        <v>1</v>
      </c>
      <c r="L180" s="11">
        <f>_xlfn.XLOOKUP(G180,Ref!$B$3:$B$12,Ref!$C$3:$C$12,"",1)</f>
        <v>1</v>
      </c>
      <c r="M180" s="11" t="str">
        <f>_xlfn.XLOOKUP(H180,Ref!$B$3:$B$12,Ref!$C$3:$C$12,"",1)</f>
        <v>Morta</v>
      </c>
    </row>
    <row r="181" spans="2:13" x14ac:dyDescent="0.25">
      <c r="B181" s="15" t="s">
        <v>28</v>
      </c>
      <c r="C181" s="9">
        <v>40</v>
      </c>
      <c r="D181" s="9">
        <v>41.2</v>
      </c>
      <c r="E181" s="10">
        <v>42</v>
      </c>
      <c r="F181" s="9">
        <f t="shared" si="19"/>
        <v>12.732395447351628</v>
      </c>
      <c r="G181" s="9">
        <f t="shared" si="20"/>
        <v>13.114367310772177</v>
      </c>
      <c r="H181" s="10">
        <f t="shared" si="21"/>
        <v>13.369015219719209</v>
      </c>
      <c r="K181" s="11">
        <f>_xlfn.XLOOKUP(F181,Ref!$B$3:$B$12,Ref!$C$3:$C$12,"",1)</f>
        <v>1</v>
      </c>
      <c r="L181" s="11">
        <f>_xlfn.XLOOKUP(G181,Ref!$B$3:$B$12,Ref!$C$3:$C$12,"",1)</f>
        <v>1</v>
      </c>
      <c r="M181" s="11">
        <f>_xlfn.XLOOKUP(H181,Ref!$B$3:$B$12,Ref!$C$3:$C$12,"",1)</f>
        <v>1</v>
      </c>
    </row>
    <row r="182" spans="2:13" x14ac:dyDescent="0.25">
      <c r="B182" s="15" t="s">
        <v>28</v>
      </c>
      <c r="C182" s="9">
        <v>35.5</v>
      </c>
      <c r="D182" s="9">
        <v>36.1</v>
      </c>
      <c r="E182" s="10">
        <v>36.5</v>
      </c>
      <c r="F182" s="9">
        <f t="shared" si="19"/>
        <v>11.300000959524569</v>
      </c>
      <c r="G182" s="9">
        <f t="shared" si="20"/>
        <v>11.490986891234844</v>
      </c>
      <c r="H182" s="10">
        <f t="shared" si="21"/>
        <v>11.618310845708359</v>
      </c>
      <c r="K182" s="11">
        <f>_xlfn.XLOOKUP(F182,Ref!$B$3:$B$12,Ref!$C$3:$C$12,"",1)</f>
        <v>1</v>
      </c>
      <c r="L182" s="11">
        <f>_xlfn.XLOOKUP(G182,Ref!$B$3:$B$12,Ref!$C$3:$C$12,"",1)</f>
        <v>1</v>
      </c>
      <c r="M182" s="11">
        <f>_xlfn.XLOOKUP(H182,Ref!$B$3:$B$12,Ref!$C$3:$C$12,"",1)</f>
        <v>1</v>
      </c>
    </row>
    <row r="183" spans="2:13" x14ac:dyDescent="0.25">
      <c r="B183" s="15" t="s">
        <v>22</v>
      </c>
      <c r="C183" s="9"/>
      <c r="D183" s="9">
        <v>33.1</v>
      </c>
      <c r="E183" s="10">
        <v>34.200000000000003</v>
      </c>
      <c r="F183" s="9" t="str">
        <f t="shared" si="19"/>
        <v/>
      </c>
      <c r="G183" s="9">
        <f t="shared" si="20"/>
        <v>10.536057232683472</v>
      </c>
      <c r="H183" s="10">
        <f t="shared" si="21"/>
        <v>10.886198107485642</v>
      </c>
      <c r="K183" s="11" t="str">
        <f>_xlfn.XLOOKUP(F183,Ref!$B$3:$B$12,Ref!$C$3:$C$12,"",1)</f>
        <v/>
      </c>
      <c r="L183" s="11">
        <f>_xlfn.XLOOKUP(G183,Ref!$B$3:$B$12,Ref!$C$3:$C$12,"",1)</f>
        <v>1</v>
      </c>
      <c r="M183" s="11">
        <f>_xlfn.XLOOKUP(H183,Ref!$B$3:$B$12,Ref!$C$3:$C$12,"",1)</f>
        <v>1</v>
      </c>
    </row>
    <row r="184" spans="2:13" x14ac:dyDescent="0.25">
      <c r="B184" s="15" t="s">
        <v>5</v>
      </c>
      <c r="C184" s="9"/>
      <c r="D184" s="9">
        <v>80.400000000000006</v>
      </c>
      <c r="E184" s="10">
        <v>83.5</v>
      </c>
      <c r="F184" s="9" t="str">
        <f t="shared" si="19"/>
        <v/>
      </c>
      <c r="G184" s="9">
        <f t="shared" si="20"/>
        <v>25.592114849176774</v>
      </c>
      <c r="H184" s="10">
        <f t="shared" si="21"/>
        <v>26.578875496346523</v>
      </c>
      <c r="K184" s="11" t="str">
        <f>_xlfn.XLOOKUP(F184,Ref!$B$3:$B$12,Ref!$C$3:$C$12,"",1)</f>
        <v/>
      </c>
      <c r="L184" s="11">
        <f>_xlfn.XLOOKUP(G184,Ref!$B$3:$B$12,Ref!$C$3:$C$12,"",1)</f>
        <v>2</v>
      </c>
      <c r="M184" s="11">
        <f>_xlfn.XLOOKUP(H184,Ref!$B$3:$B$12,Ref!$C$3:$C$12,"",1)</f>
        <v>2</v>
      </c>
    </row>
    <row r="185" spans="2:13" x14ac:dyDescent="0.25">
      <c r="B185" s="15" t="s">
        <v>23</v>
      </c>
      <c r="C185" s="9">
        <v>38.4</v>
      </c>
      <c r="D185" s="9">
        <v>39</v>
      </c>
      <c r="E185" s="10">
        <v>40.5</v>
      </c>
      <c r="F185" s="9">
        <f t="shared" si="19"/>
        <v>12.223099629457561</v>
      </c>
      <c r="G185" s="9">
        <f t="shared" si="20"/>
        <v>12.414085561167836</v>
      </c>
      <c r="H185" s="10">
        <f t="shared" si="21"/>
        <v>12.891550390443523</v>
      </c>
      <c r="K185" s="11">
        <f>_xlfn.XLOOKUP(F185,Ref!$B$3:$B$12,Ref!$C$3:$C$12,"",1)</f>
        <v>1</v>
      </c>
      <c r="L185" s="11">
        <f>_xlfn.XLOOKUP(G185,Ref!$B$3:$B$12,Ref!$C$3:$C$12,"",1)</f>
        <v>1</v>
      </c>
      <c r="M185" s="11">
        <f>_xlfn.XLOOKUP(H185,Ref!$B$3:$B$12,Ref!$C$3:$C$12,"",1)</f>
        <v>1</v>
      </c>
    </row>
    <row r="186" spans="2:13" x14ac:dyDescent="0.25">
      <c r="B186" s="15" t="s">
        <v>23</v>
      </c>
      <c r="C186" s="9">
        <v>57.8</v>
      </c>
      <c r="D186" s="9">
        <v>60.3</v>
      </c>
      <c r="E186" s="10">
        <v>63</v>
      </c>
      <c r="F186" s="9">
        <f t="shared" si="19"/>
        <v>18.398311421423102</v>
      </c>
      <c r="G186" s="9">
        <f t="shared" si="20"/>
        <v>19.194086136882579</v>
      </c>
      <c r="H186" s="10">
        <f t="shared" si="21"/>
        <v>20.053522829578814</v>
      </c>
      <c r="K186" s="11">
        <f>_xlfn.XLOOKUP(F186,Ref!$B$3:$B$12,Ref!$C$3:$C$12,"",1)</f>
        <v>1</v>
      </c>
      <c r="L186" s="11">
        <f>_xlfn.XLOOKUP(G186,Ref!$B$3:$B$12,Ref!$C$3:$C$12,"",1)</f>
        <v>1</v>
      </c>
      <c r="M186" s="11">
        <f>_xlfn.XLOOKUP(H186,Ref!$B$3:$B$12,Ref!$C$3:$C$12,"",1)</f>
        <v>2</v>
      </c>
    </row>
    <row r="187" spans="2:13" x14ac:dyDescent="0.25">
      <c r="B187" s="15" t="s">
        <v>23</v>
      </c>
      <c r="C187" s="9">
        <v>33.799999999999997</v>
      </c>
      <c r="D187" s="9">
        <v>37</v>
      </c>
      <c r="E187" s="10">
        <v>40.4</v>
      </c>
      <c r="F187" s="9">
        <f t="shared" si="19"/>
        <v>10.758874153012124</v>
      </c>
      <c r="G187" s="9">
        <f t="shared" si="20"/>
        <v>11.777465788800255</v>
      </c>
      <c r="H187" s="10">
        <f t="shared" si="21"/>
        <v>12.859719401825144</v>
      </c>
      <c r="K187" s="11">
        <f>_xlfn.XLOOKUP(F187,Ref!$B$3:$B$12,Ref!$C$3:$C$12,"",1)</f>
        <v>1</v>
      </c>
      <c r="L187" s="11">
        <f>_xlfn.XLOOKUP(G187,Ref!$B$3:$B$12,Ref!$C$3:$C$12,"",1)</f>
        <v>1</v>
      </c>
      <c r="M187" s="11">
        <f>_xlfn.XLOOKUP(H187,Ref!$B$3:$B$12,Ref!$C$3:$C$12,"",1)</f>
        <v>1</v>
      </c>
    </row>
    <row r="188" spans="2:13" x14ac:dyDescent="0.25">
      <c r="B188" s="15" t="s">
        <v>25</v>
      </c>
      <c r="C188" s="9">
        <v>98.9</v>
      </c>
      <c r="D188" s="9">
        <v>101.6</v>
      </c>
      <c r="E188" s="10">
        <v>103.5</v>
      </c>
      <c r="F188" s="9">
        <f t="shared" si="19"/>
        <v>31.480847743576902</v>
      </c>
      <c r="G188" s="9">
        <f t="shared" si="20"/>
        <v>32.34028443627313</v>
      </c>
      <c r="H188" s="10">
        <f t="shared" si="21"/>
        <v>32.945073220022337</v>
      </c>
      <c r="K188" s="11">
        <f>_xlfn.XLOOKUP(F188,Ref!$B$3:$B$12,Ref!$C$3:$C$12,"",1)</f>
        <v>3</v>
      </c>
      <c r="L188" s="11">
        <f>_xlfn.XLOOKUP(G188,Ref!$B$3:$B$12,Ref!$C$3:$C$12,"",1)</f>
        <v>3</v>
      </c>
      <c r="M188" s="11">
        <f>_xlfn.XLOOKUP(H188,Ref!$B$3:$B$12,Ref!$C$3:$C$12,"",1)</f>
        <v>3</v>
      </c>
    </row>
    <row r="189" spans="2:13" x14ac:dyDescent="0.25">
      <c r="B189" s="15" t="s">
        <v>29</v>
      </c>
      <c r="C189" s="9">
        <v>40.6</v>
      </c>
      <c r="D189" s="9">
        <v>42.2</v>
      </c>
      <c r="E189" s="10">
        <v>43.7</v>
      </c>
      <c r="F189" s="9">
        <f t="shared" si="19"/>
        <v>12.923381379061903</v>
      </c>
      <c r="G189" s="9">
        <f t="shared" si="20"/>
        <v>13.432677196955968</v>
      </c>
      <c r="H189" s="10">
        <f t="shared" si="21"/>
        <v>13.910142026231654</v>
      </c>
      <c r="K189" s="11">
        <f>_xlfn.XLOOKUP(F189,Ref!$B$3:$B$12,Ref!$C$3:$C$12,"",1)</f>
        <v>1</v>
      </c>
      <c r="L189" s="11">
        <f>_xlfn.XLOOKUP(G189,Ref!$B$3:$B$12,Ref!$C$3:$C$12,"",1)</f>
        <v>1</v>
      </c>
      <c r="M189" s="11">
        <f>_xlfn.XLOOKUP(H189,Ref!$B$3:$B$12,Ref!$C$3:$C$12,"",1)</f>
        <v>1</v>
      </c>
    </row>
    <row r="190" spans="2:13" x14ac:dyDescent="0.25">
      <c r="B190" s="15" t="s">
        <v>21</v>
      </c>
      <c r="C190" s="9">
        <v>32.5</v>
      </c>
      <c r="D190" s="9">
        <v>37.1</v>
      </c>
      <c r="E190" s="10">
        <v>43.2</v>
      </c>
      <c r="F190" s="9">
        <f t="shared" si="19"/>
        <v>10.345071300973197</v>
      </c>
      <c r="G190" s="9">
        <f t="shared" si="20"/>
        <v>11.809296777418634</v>
      </c>
      <c r="H190" s="10">
        <f t="shared" si="21"/>
        <v>13.750987083139758</v>
      </c>
      <c r="K190" s="11">
        <f>_xlfn.XLOOKUP(F190,Ref!$B$3:$B$12,Ref!$C$3:$C$12,"",1)</f>
        <v>1</v>
      </c>
      <c r="L190" s="11">
        <f>_xlfn.XLOOKUP(G190,Ref!$B$3:$B$12,Ref!$C$3:$C$12,"",1)</f>
        <v>1</v>
      </c>
      <c r="M190" s="11">
        <f>_xlfn.XLOOKUP(H190,Ref!$B$3:$B$12,Ref!$C$3:$C$12,"",1)</f>
        <v>1</v>
      </c>
    </row>
    <row r="191" spans="2:13" x14ac:dyDescent="0.25">
      <c r="B191" s="15" t="s">
        <v>16</v>
      </c>
      <c r="C191" s="9">
        <v>115.6</v>
      </c>
      <c r="D191" s="9">
        <v>117.6</v>
      </c>
      <c r="E191" s="10">
        <v>0</v>
      </c>
      <c r="F191" s="9">
        <f t="shared" ref="F191:F252" si="22">IF(C191="", "", C191/PI())</f>
        <v>36.796622842846205</v>
      </c>
      <c r="G191" s="9">
        <f t="shared" ref="G191:G252" si="23">IF(D191="", "", D191/PI())</f>
        <v>37.433242615213786</v>
      </c>
      <c r="H191" s="10">
        <f t="shared" ref="H191:H252" si="24">IF(E191="", "", E191/PI())</f>
        <v>0</v>
      </c>
      <c r="K191" s="11">
        <f>_xlfn.XLOOKUP(F191,Ref!$B$3:$B$12,Ref!$C$3:$C$12,"",1)</f>
        <v>3</v>
      </c>
      <c r="L191" s="11">
        <f>_xlfn.XLOOKUP(G191,Ref!$B$3:$B$12,Ref!$C$3:$C$12,"",1)</f>
        <v>3</v>
      </c>
      <c r="M191" s="11" t="str">
        <f>_xlfn.XLOOKUP(H191,Ref!$B$3:$B$12,Ref!$C$3:$C$12,"",1)</f>
        <v>Morta</v>
      </c>
    </row>
    <row r="192" spans="2:13" x14ac:dyDescent="0.25">
      <c r="B192" s="15" t="s">
        <v>30</v>
      </c>
      <c r="C192" s="9">
        <v>46.000000000000099</v>
      </c>
      <c r="D192" s="9">
        <v>53.8</v>
      </c>
      <c r="E192" s="10">
        <v>61.9</v>
      </c>
      <c r="F192" s="9">
        <f t="shared" si="22"/>
        <v>14.642254764454403</v>
      </c>
      <c r="G192" s="9">
        <f t="shared" si="23"/>
        <v>17.125071876687937</v>
      </c>
      <c r="H192" s="10">
        <f t="shared" si="24"/>
        <v>19.703381954776642</v>
      </c>
      <c r="K192" s="11">
        <f>_xlfn.XLOOKUP(F192,Ref!$B$3:$B$12,Ref!$C$3:$C$12,"",1)</f>
        <v>1</v>
      </c>
      <c r="L192" s="11">
        <f>_xlfn.XLOOKUP(G192,Ref!$B$3:$B$12,Ref!$C$3:$C$12,"",1)</f>
        <v>1</v>
      </c>
      <c r="M192" s="11">
        <f>_xlfn.XLOOKUP(H192,Ref!$B$3:$B$12,Ref!$C$3:$C$12,"",1)</f>
        <v>1</v>
      </c>
    </row>
    <row r="193" spans="2:13" x14ac:dyDescent="0.25">
      <c r="B193" s="15" t="s">
        <v>31</v>
      </c>
      <c r="C193" s="9">
        <v>118</v>
      </c>
      <c r="D193" s="9">
        <v>117.6</v>
      </c>
      <c r="E193" s="10">
        <v>123.5</v>
      </c>
      <c r="F193" s="9">
        <f t="shared" si="22"/>
        <v>37.560566569687303</v>
      </c>
      <c r="G193" s="9">
        <f t="shared" si="23"/>
        <v>37.433242615213786</v>
      </c>
      <c r="H193" s="10">
        <f t="shared" si="24"/>
        <v>39.311270943698148</v>
      </c>
      <c r="K193" s="11">
        <f>_xlfn.XLOOKUP(F193,Ref!$B$3:$B$12,Ref!$C$3:$C$12,"",1)</f>
        <v>3</v>
      </c>
      <c r="L193" s="11">
        <f>_xlfn.XLOOKUP(G193,Ref!$B$3:$B$12,Ref!$C$3:$C$12,"",1)</f>
        <v>3</v>
      </c>
      <c r="M193" s="11">
        <f>_xlfn.XLOOKUP(H193,Ref!$B$3:$B$12,Ref!$C$3:$C$12,"",1)</f>
        <v>3</v>
      </c>
    </row>
    <row r="194" spans="2:13" x14ac:dyDescent="0.25">
      <c r="B194" s="15" t="s">
        <v>29</v>
      </c>
      <c r="C194" s="9">
        <v>46.199999999999903</v>
      </c>
      <c r="D194" s="9">
        <v>48.3</v>
      </c>
      <c r="E194" s="10">
        <v>47.6</v>
      </c>
      <c r="F194" s="9">
        <f t="shared" si="22"/>
        <v>14.705916741691098</v>
      </c>
      <c r="G194" s="9">
        <f t="shared" si="23"/>
        <v>15.374367502677089</v>
      </c>
      <c r="H194" s="10">
        <f t="shared" si="24"/>
        <v>15.151550582348436</v>
      </c>
      <c r="K194" s="11">
        <f>_xlfn.XLOOKUP(F194,Ref!$B$3:$B$12,Ref!$C$3:$C$12,"",1)</f>
        <v>1</v>
      </c>
      <c r="L194" s="11">
        <f>_xlfn.XLOOKUP(G194,Ref!$B$3:$B$12,Ref!$C$3:$C$12,"",1)</f>
        <v>1</v>
      </c>
      <c r="M194" s="11">
        <f>_xlfn.XLOOKUP(H194,Ref!$B$3:$B$12,Ref!$C$3:$C$12,"",1)</f>
        <v>1</v>
      </c>
    </row>
    <row r="195" spans="2:13" x14ac:dyDescent="0.25">
      <c r="B195" s="15" t="s">
        <v>26</v>
      </c>
      <c r="C195" s="9">
        <v>202.5</v>
      </c>
      <c r="D195" s="9">
        <v>213.7</v>
      </c>
      <c r="E195" s="10">
        <v>221</v>
      </c>
      <c r="F195" s="9">
        <f t="shared" si="22"/>
        <v>64.45775195221762</v>
      </c>
      <c r="G195" s="9">
        <f t="shared" si="23"/>
        <v>68.022822677476071</v>
      </c>
      <c r="H195" s="10">
        <f t="shared" si="24"/>
        <v>70.346484846617741</v>
      </c>
      <c r="K195" s="11">
        <f>_xlfn.XLOOKUP(F195,Ref!$B$3:$B$12,Ref!$C$3:$C$12,"",1)</f>
        <v>6</v>
      </c>
      <c r="L195" s="11">
        <f>_xlfn.XLOOKUP(G195,Ref!$B$3:$B$12,Ref!$C$3:$C$12,"",1)</f>
        <v>6</v>
      </c>
      <c r="M195" s="11">
        <f>_xlfn.XLOOKUP(H195,Ref!$B$3:$B$12,Ref!$C$3:$C$12,"",1)</f>
        <v>7</v>
      </c>
    </row>
    <row r="196" spans="2:13" x14ac:dyDescent="0.25">
      <c r="B196" s="15" t="s">
        <v>32</v>
      </c>
      <c r="C196" s="9">
        <v>34.9</v>
      </c>
      <c r="D196" s="9">
        <v>35.6</v>
      </c>
      <c r="E196" s="10">
        <v>36.5</v>
      </c>
      <c r="F196" s="9">
        <f t="shared" si="22"/>
        <v>11.109015027814294</v>
      </c>
      <c r="G196" s="9">
        <f t="shared" si="23"/>
        <v>11.331831948142948</v>
      </c>
      <c r="H196" s="10">
        <f t="shared" si="24"/>
        <v>11.618310845708359</v>
      </c>
      <c r="K196" s="11">
        <f>_xlfn.XLOOKUP(F196,Ref!$B$3:$B$12,Ref!$C$3:$C$12,"",1)</f>
        <v>1</v>
      </c>
      <c r="L196" s="11">
        <f>_xlfn.XLOOKUP(G196,Ref!$B$3:$B$12,Ref!$C$3:$C$12,"",1)</f>
        <v>1</v>
      </c>
      <c r="M196" s="11">
        <f>_xlfn.XLOOKUP(H196,Ref!$B$3:$B$12,Ref!$C$3:$C$12,"",1)</f>
        <v>1</v>
      </c>
    </row>
    <row r="197" spans="2:13" x14ac:dyDescent="0.25">
      <c r="B197" s="15" t="s">
        <v>25</v>
      </c>
      <c r="C197" s="9">
        <v>100</v>
      </c>
      <c r="D197" s="9">
        <v>100.8</v>
      </c>
      <c r="E197" s="10">
        <v>103.1</v>
      </c>
      <c r="F197" s="9">
        <f t="shared" si="22"/>
        <v>31.830988618379067</v>
      </c>
      <c r="G197" s="9">
        <f t="shared" si="23"/>
        <v>32.085636527326102</v>
      </c>
      <c r="H197" s="10">
        <f t="shared" si="24"/>
        <v>32.817749265548819</v>
      </c>
      <c r="K197" s="11">
        <f>_xlfn.XLOOKUP(F197,Ref!$B$3:$B$12,Ref!$C$3:$C$12,"",1)</f>
        <v>3</v>
      </c>
      <c r="L197" s="11">
        <f>_xlfn.XLOOKUP(G197,Ref!$B$3:$B$12,Ref!$C$3:$C$12,"",1)</f>
        <v>3</v>
      </c>
      <c r="M197" s="11">
        <f>_xlfn.XLOOKUP(H197,Ref!$B$3:$B$12,Ref!$C$3:$C$12,"",1)</f>
        <v>3</v>
      </c>
    </row>
    <row r="198" spans="2:13" x14ac:dyDescent="0.25">
      <c r="B198" s="15" t="s">
        <v>33</v>
      </c>
      <c r="C198" s="9">
        <v>58.000000000000099</v>
      </c>
      <c r="D198" s="9">
        <v>59.4</v>
      </c>
      <c r="E198" s="10">
        <v>62</v>
      </c>
      <c r="F198" s="9">
        <f t="shared" si="22"/>
        <v>18.461973398659893</v>
      </c>
      <c r="G198" s="9">
        <f t="shared" si="23"/>
        <v>18.907607239317166</v>
      </c>
      <c r="H198" s="10">
        <f t="shared" si="24"/>
        <v>19.735212943395023</v>
      </c>
      <c r="K198" s="11">
        <f>_xlfn.XLOOKUP(F198,Ref!$B$3:$B$12,Ref!$C$3:$C$12,"",1)</f>
        <v>1</v>
      </c>
      <c r="L198" s="11">
        <f>_xlfn.XLOOKUP(G198,Ref!$B$3:$B$12,Ref!$C$3:$C$12,"",1)</f>
        <v>1</v>
      </c>
      <c r="M198" s="11">
        <f>_xlfn.XLOOKUP(H198,Ref!$B$3:$B$12,Ref!$C$3:$C$12,"",1)</f>
        <v>1</v>
      </c>
    </row>
    <row r="199" spans="2:13" x14ac:dyDescent="0.25">
      <c r="B199" s="15" t="s">
        <v>34</v>
      </c>
      <c r="C199" s="9">
        <v>103.6</v>
      </c>
      <c r="D199" s="9">
        <v>105</v>
      </c>
      <c r="E199" s="10">
        <v>104.7</v>
      </c>
      <c r="F199" s="9">
        <f t="shared" si="22"/>
        <v>32.976904208640711</v>
      </c>
      <c r="G199" s="9">
        <f t="shared" si="23"/>
        <v>33.422538049298019</v>
      </c>
      <c r="H199" s="10">
        <f t="shared" si="24"/>
        <v>33.327045083442883</v>
      </c>
      <c r="K199" s="11">
        <f>_xlfn.XLOOKUP(F199,Ref!$B$3:$B$12,Ref!$C$3:$C$12,"",1)</f>
        <v>3</v>
      </c>
      <c r="L199" s="11">
        <f>_xlfn.XLOOKUP(G199,Ref!$B$3:$B$12,Ref!$C$3:$C$12,"",1)</f>
        <v>3</v>
      </c>
      <c r="M199" s="11">
        <f>_xlfn.XLOOKUP(H199,Ref!$B$3:$B$12,Ref!$C$3:$C$12,"",1)</f>
        <v>3</v>
      </c>
    </row>
    <row r="200" spans="2:13" x14ac:dyDescent="0.25">
      <c r="B200" s="15" t="s">
        <v>33</v>
      </c>
      <c r="C200" s="9">
        <v>98.9</v>
      </c>
      <c r="D200" s="9">
        <v>99.5</v>
      </c>
      <c r="E200" s="10">
        <v>100.4</v>
      </c>
      <c r="F200" s="9">
        <f t="shared" si="22"/>
        <v>31.480847743576902</v>
      </c>
      <c r="G200" s="9">
        <f t="shared" si="23"/>
        <v>31.671833675287171</v>
      </c>
      <c r="H200" s="10">
        <f t="shared" si="24"/>
        <v>31.958312572852588</v>
      </c>
      <c r="K200" s="11">
        <f>_xlfn.XLOOKUP(F200,Ref!$B$3:$B$12,Ref!$C$3:$C$12,"",1)</f>
        <v>3</v>
      </c>
      <c r="L200" s="11">
        <f>_xlfn.XLOOKUP(G200,Ref!$B$3:$B$12,Ref!$C$3:$C$12,"",1)</f>
        <v>3</v>
      </c>
      <c r="M200" s="11">
        <f>_xlfn.XLOOKUP(H200,Ref!$B$3:$B$12,Ref!$C$3:$C$12,"",1)</f>
        <v>3</v>
      </c>
    </row>
    <row r="201" spans="2:13" x14ac:dyDescent="0.25">
      <c r="B201" s="15" t="s">
        <v>6</v>
      </c>
      <c r="C201" s="9">
        <v>37.500000000000199</v>
      </c>
      <c r="D201" s="9">
        <v>39.4</v>
      </c>
      <c r="E201" s="10">
        <v>40.299999999999997</v>
      </c>
      <c r="F201" s="9">
        <f t="shared" si="22"/>
        <v>11.936620731892214</v>
      </c>
      <c r="G201" s="9">
        <f t="shared" si="23"/>
        <v>12.541409515641352</v>
      </c>
      <c r="H201" s="10">
        <f t="shared" si="24"/>
        <v>12.827888413206765</v>
      </c>
      <c r="K201" s="11">
        <f>_xlfn.XLOOKUP(F201,Ref!$B$3:$B$12,Ref!$C$3:$C$12,"",1)</f>
        <v>1</v>
      </c>
      <c r="L201" s="11">
        <f>_xlfn.XLOOKUP(G201,Ref!$B$3:$B$12,Ref!$C$3:$C$12,"",1)</f>
        <v>1</v>
      </c>
      <c r="M201" s="11">
        <f>_xlfn.XLOOKUP(H201,Ref!$B$3:$B$12,Ref!$C$3:$C$12,"",1)</f>
        <v>1</v>
      </c>
    </row>
    <row r="202" spans="2:13" x14ac:dyDescent="0.25">
      <c r="B202" s="15" t="s">
        <v>33</v>
      </c>
      <c r="C202" s="9">
        <v>91.2</v>
      </c>
      <c r="D202" s="9">
        <v>92.5</v>
      </c>
      <c r="E202" s="10">
        <v>94.7</v>
      </c>
      <c r="F202" s="9">
        <f t="shared" si="22"/>
        <v>29.029861619961711</v>
      </c>
      <c r="G202" s="9">
        <f t="shared" si="23"/>
        <v>29.443664472000638</v>
      </c>
      <c r="H202" s="10">
        <f t="shared" si="24"/>
        <v>30.143946221604978</v>
      </c>
      <c r="K202" s="11">
        <f>_xlfn.XLOOKUP(F202,Ref!$B$3:$B$12,Ref!$C$3:$C$12,"",1)</f>
        <v>2</v>
      </c>
      <c r="L202" s="11">
        <f>_xlfn.XLOOKUP(G202,Ref!$B$3:$B$12,Ref!$C$3:$C$12,"",1)</f>
        <v>2</v>
      </c>
      <c r="M202" s="11">
        <f>_xlfn.XLOOKUP(H202,Ref!$B$3:$B$12,Ref!$C$3:$C$12,"",1)</f>
        <v>3</v>
      </c>
    </row>
    <row r="203" spans="2:13" x14ac:dyDescent="0.25">
      <c r="B203" s="15" t="s">
        <v>33</v>
      </c>
      <c r="C203" s="9">
        <v>102.5</v>
      </c>
      <c r="D203" s="9">
        <v>107.4</v>
      </c>
      <c r="E203" s="10">
        <v>107.4</v>
      </c>
      <c r="F203" s="9">
        <f t="shared" si="22"/>
        <v>32.626763333838547</v>
      </c>
      <c r="G203" s="9">
        <f t="shared" si="23"/>
        <v>34.186481776139118</v>
      </c>
      <c r="H203" s="10">
        <f t="shared" si="24"/>
        <v>34.186481776139118</v>
      </c>
      <c r="K203" s="11">
        <f>_xlfn.XLOOKUP(F203,Ref!$B$3:$B$12,Ref!$C$3:$C$12,"",1)</f>
        <v>3</v>
      </c>
      <c r="L203" s="11">
        <f>_xlfn.XLOOKUP(G203,Ref!$B$3:$B$12,Ref!$C$3:$C$12,"",1)</f>
        <v>3</v>
      </c>
      <c r="M203" s="11">
        <f>_xlfn.XLOOKUP(H203,Ref!$B$3:$B$12,Ref!$C$3:$C$12,"",1)</f>
        <v>3</v>
      </c>
    </row>
    <row r="204" spans="2:13" x14ac:dyDescent="0.25">
      <c r="B204" s="15" t="s">
        <v>35</v>
      </c>
      <c r="C204" s="9">
        <v>32.9</v>
      </c>
      <c r="D204" s="9">
        <v>34.9</v>
      </c>
      <c r="E204" s="10">
        <v>0</v>
      </c>
      <c r="F204" s="9">
        <f t="shared" si="22"/>
        <v>10.472395255446713</v>
      </c>
      <c r="G204" s="9">
        <f t="shared" si="23"/>
        <v>11.109015027814294</v>
      </c>
      <c r="H204" s="10">
        <f t="shared" si="24"/>
        <v>0</v>
      </c>
      <c r="K204" s="11">
        <f>_xlfn.XLOOKUP(F204,Ref!$B$3:$B$12,Ref!$C$3:$C$12,"",1)</f>
        <v>1</v>
      </c>
      <c r="L204" s="11">
        <f>_xlfn.XLOOKUP(G204,Ref!$B$3:$B$12,Ref!$C$3:$C$12,"",1)</f>
        <v>1</v>
      </c>
      <c r="M204" s="11" t="str">
        <f>_xlfn.XLOOKUP(H204,Ref!$B$3:$B$12,Ref!$C$3:$C$12,"",1)</f>
        <v>Morta</v>
      </c>
    </row>
    <row r="205" spans="2:13" x14ac:dyDescent="0.25">
      <c r="B205" s="15" t="s">
        <v>5</v>
      </c>
      <c r="C205" s="9">
        <v>42.5</v>
      </c>
      <c r="D205" s="9">
        <v>44.5</v>
      </c>
      <c r="E205" s="10">
        <v>47</v>
      </c>
      <c r="F205" s="9">
        <f t="shared" si="22"/>
        <v>13.528170162811104</v>
      </c>
      <c r="G205" s="9">
        <f t="shared" si="23"/>
        <v>14.164789935178685</v>
      </c>
      <c r="H205" s="10">
        <f t="shared" si="24"/>
        <v>14.960564650638162</v>
      </c>
      <c r="K205" s="11">
        <f>_xlfn.XLOOKUP(F205,Ref!$B$3:$B$12,Ref!$C$3:$C$12,"",1)</f>
        <v>1</v>
      </c>
      <c r="L205" s="11">
        <f>_xlfn.XLOOKUP(G205,Ref!$B$3:$B$12,Ref!$C$3:$C$12,"",1)</f>
        <v>1</v>
      </c>
      <c r="M205" s="11">
        <f>_xlfn.XLOOKUP(H205,Ref!$B$3:$B$12,Ref!$C$3:$C$12,"",1)</f>
        <v>1</v>
      </c>
    </row>
    <row r="206" spans="2:13" x14ac:dyDescent="0.25">
      <c r="B206" s="15" t="s">
        <v>15</v>
      </c>
      <c r="C206" s="9">
        <v>39.499999999999901</v>
      </c>
      <c r="D206" s="9">
        <v>0</v>
      </c>
      <c r="E206" s="10">
        <v>0</v>
      </c>
      <c r="F206" s="9">
        <f t="shared" si="22"/>
        <v>12.573240504259701</v>
      </c>
      <c r="G206" s="9">
        <f t="shared" si="23"/>
        <v>0</v>
      </c>
      <c r="H206" s="10">
        <f t="shared" si="24"/>
        <v>0</v>
      </c>
      <c r="K206" s="11">
        <f>_xlfn.XLOOKUP(F206,Ref!$B$3:$B$12,Ref!$C$3:$C$12,"",1)</f>
        <v>1</v>
      </c>
      <c r="L206" s="11" t="str">
        <f>_xlfn.XLOOKUP(G206,Ref!$B$3:$B$12,Ref!$C$3:$C$12,"",1)</f>
        <v>Morta</v>
      </c>
      <c r="M206" s="11" t="str">
        <f>_xlfn.XLOOKUP(H206,Ref!$B$3:$B$12,Ref!$C$3:$C$12,"",1)</f>
        <v>Morta</v>
      </c>
    </row>
    <row r="207" spans="2:13" x14ac:dyDescent="0.25">
      <c r="B207" s="15" t="s">
        <v>3</v>
      </c>
      <c r="C207" s="9">
        <v>73.599999999999994</v>
      </c>
      <c r="D207" s="9">
        <v>76</v>
      </c>
      <c r="E207" s="10">
        <v>77.8</v>
      </c>
      <c r="F207" s="9">
        <f t="shared" si="22"/>
        <v>23.427607623126992</v>
      </c>
      <c r="G207" s="9">
        <f t="shared" si="23"/>
        <v>24.191551349968091</v>
      </c>
      <c r="H207" s="10">
        <f t="shared" si="24"/>
        <v>24.764509145098913</v>
      </c>
      <c r="K207" s="11">
        <f>_xlfn.XLOOKUP(F207,Ref!$B$3:$B$12,Ref!$C$3:$C$12,"",1)</f>
        <v>2</v>
      </c>
      <c r="L207" s="11">
        <f>_xlfn.XLOOKUP(G207,Ref!$B$3:$B$12,Ref!$C$3:$C$12,"",1)</f>
        <v>2</v>
      </c>
      <c r="M207" s="11">
        <f>_xlfn.XLOOKUP(H207,Ref!$B$3:$B$12,Ref!$C$3:$C$12,"",1)</f>
        <v>2</v>
      </c>
    </row>
    <row r="208" spans="2:13" x14ac:dyDescent="0.25">
      <c r="B208" s="15" t="s">
        <v>3</v>
      </c>
      <c r="C208" s="9">
        <v>49.099999999999902</v>
      </c>
      <c r="D208" s="9">
        <v>51.6</v>
      </c>
      <c r="E208" s="10">
        <v>53.2</v>
      </c>
      <c r="F208" s="9">
        <f t="shared" si="22"/>
        <v>15.629015411624092</v>
      </c>
      <c r="G208" s="9">
        <f t="shared" si="23"/>
        <v>16.4247901270836</v>
      </c>
      <c r="H208" s="10">
        <f t="shared" si="24"/>
        <v>16.934085944977664</v>
      </c>
      <c r="K208" s="11">
        <f>_xlfn.XLOOKUP(F208,Ref!$B$3:$B$12,Ref!$C$3:$C$12,"",1)</f>
        <v>1</v>
      </c>
      <c r="L208" s="11">
        <f>_xlfn.XLOOKUP(G208,Ref!$B$3:$B$12,Ref!$C$3:$C$12,"",1)</f>
        <v>1</v>
      </c>
      <c r="M208" s="11">
        <f>_xlfn.XLOOKUP(H208,Ref!$B$3:$B$12,Ref!$C$3:$C$12,"",1)</f>
        <v>1</v>
      </c>
    </row>
    <row r="209" spans="2:13" x14ac:dyDescent="0.25">
      <c r="B209" s="15" t="s">
        <v>7</v>
      </c>
      <c r="C209" s="9">
        <v>60.999999999999901</v>
      </c>
      <c r="D209" s="9">
        <v>62.2</v>
      </c>
      <c r="E209" s="10">
        <v>63.8</v>
      </c>
      <c r="F209" s="9">
        <f t="shared" si="22"/>
        <v>19.416903057211201</v>
      </c>
      <c r="G209" s="9">
        <f t="shared" si="23"/>
        <v>19.798874920631782</v>
      </c>
      <c r="H209" s="10">
        <f t="shared" si="24"/>
        <v>20.308170738525845</v>
      </c>
      <c r="K209" s="11">
        <f>_xlfn.XLOOKUP(F209,Ref!$B$3:$B$12,Ref!$C$3:$C$12,"",1)</f>
        <v>1</v>
      </c>
      <c r="L209" s="11">
        <f>_xlfn.XLOOKUP(G209,Ref!$B$3:$B$12,Ref!$C$3:$C$12,"",1)</f>
        <v>1</v>
      </c>
      <c r="M209" s="11">
        <f>_xlfn.XLOOKUP(H209,Ref!$B$3:$B$12,Ref!$C$3:$C$12,"",1)</f>
        <v>2</v>
      </c>
    </row>
    <row r="210" spans="2:13" x14ac:dyDescent="0.25">
      <c r="B210" s="15" t="s">
        <v>3</v>
      </c>
      <c r="C210" s="9">
        <v>67.900000000000006</v>
      </c>
      <c r="D210" s="9">
        <v>74.2</v>
      </c>
      <c r="E210" s="10">
        <v>78.5</v>
      </c>
      <c r="F210" s="9">
        <f t="shared" si="22"/>
        <v>21.613241271879389</v>
      </c>
      <c r="G210" s="9">
        <f t="shared" si="23"/>
        <v>23.618593554837268</v>
      </c>
      <c r="H210" s="10">
        <f t="shared" si="24"/>
        <v>24.98732606542757</v>
      </c>
      <c r="K210" s="11">
        <f>_xlfn.XLOOKUP(F210,Ref!$B$3:$B$12,Ref!$C$3:$C$12,"",1)</f>
        <v>2</v>
      </c>
      <c r="L210" s="11">
        <f>_xlfn.XLOOKUP(G210,Ref!$B$3:$B$12,Ref!$C$3:$C$12,"",1)</f>
        <v>2</v>
      </c>
      <c r="M210" s="11">
        <f>_xlfn.XLOOKUP(H210,Ref!$B$3:$B$12,Ref!$C$3:$C$12,"",1)</f>
        <v>2</v>
      </c>
    </row>
    <row r="211" spans="2:13" x14ac:dyDescent="0.25">
      <c r="B211" s="15" t="s">
        <v>3</v>
      </c>
      <c r="C211" s="9">
        <v>45.8</v>
      </c>
      <c r="D211" s="9">
        <v>47.3</v>
      </c>
      <c r="E211" s="10">
        <v>49.7</v>
      </c>
      <c r="F211" s="9">
        <f t="shared" si="22"/>
        <v>14.578592787217612</v>
      </c>
      <c r="G211" s="9">
        <f t="shared" si="23"/>
        <v>15.056057616493298</v>
      </c>
      <c r="H211" s="10">
        <f t="shared" si="24"/>
        <v>15.820001343334399</v>
      </c>
      <c r="K211" s="11">
        <f>_xlfn.XLOOKUP(F211,Ref!$B$3:$B$12,Ref!$C$3:$C$12,"",1)</f>
        <v>1</v>
      </c>
      <c r="L211" s="11">
        <f>_xlfn.XLOOKUP(G211,Ref!$B$3:$B$12,Ref!$C$3:$C$12,"",1)</f>
        <v>1</v>
      </c>
      <c r="M211" s="11">
        <f>_xlfn.XLOOKUP(H211,Ref!$B$3:$B$12,Ref!$C$3:$C$12,"",1)</f>
        <v>1</v>
      </c>
    </row>
    <row r="212" spans="2:13" x14ac:dyDescent="0.25">
      <c r="B212" s="15" t="s">
        <v>3</v>
      </c>
      <c r="C212" s="9">
        <v>73.300000000000097</v>
      </c>
      <c r="D212" s="9">
        <v>79.8</v>
      </c>
      <c r="E212" s="10">
        <v>85.9</v>
      </c>
      <c r="F212" s="9">
        <f t="shared" si="22"/>
        <v>23.332114657271887</v>
      </c>
      <c r="G212" s="9">
        <f t="shared" si="23"/>
        <v>25.401128917466497</v>
      </c>
      <c r="H212" s="10">
        <f t="shared" si="24"/>
        <v>27.342819223187622</v>
      </c>
      <c r="K212" s="11">
        <f>_xlfn.XLOOKUP(F212,Ref!$B$3:$B$12,Ref!$C$3:$C$12,"",1)</f>
        <v>2</v>
      </c>
      <c r="L212" s="11">
        <f>_xlfn.XLOOKUP(G212,Ref!$B$3:$B$12,Ref!$C$3:$C$12,"",1)</f>
        <v>2</v>
      </c>
      <c r="M212" s="11">
        <f>_xlfn.XLOOKUP(H212,Ref!$B$3:$B$12,Ref!$C$3:$C$12,"",1)</f>
        <v>2</v>
      </c>
    </row>
    <row r="213" spans="2:13" x14ac:dyDescent="0.25">
      <c r="B213" s="15" t="s">
        <v>3</v>
      </c>
      <c r="C213" s="9">
        <v>59.999999999999901</v>
      </c>
      <c r="D213" s="9">
        <v>62.6</v>
      </c>
      <c r="E213" s="10">
        <v>63</v>
      </c>
      <c r="F213" s="9">
        <f t="shared" si="22"/>
        <v>19.09859317102741</v>
      </c>
      <c r="G213" s="9">
        <f t="shared" si="23"/>
        <v>19.926198875105296</v>
      </c>
      <c r="H213" s="10">
        <f t="shared" si="24"/>
        <v>20.053522829578814</v>
      </c>
      <c r="K213" s="11">
        <f>_xlfn.XLOOKUP(F213,Ref!$B$3:$B$12,Ref!$C$3:$C$12,"",1)</f>
        <v>1</v>
      </c>
      <c r="L213" s="11">
        <f>_xlfn.XLOOKUP(G213,Ref!$B$3:$B$12,Ref!$C$3:$C$12,"",1)</f>
        <v>1</v>
      </c>
      <c r="M213" s="11">
        <f>_xlfn.XLOOKUP(H213,Ref!$B$3:$B$12,Ref!$C$3:$C$12,"",1)</f>
        <v>2</v>
      </c>
    </row>
    <row r="214" spans="2:13" x14ac:dyDescent="0.25">
      <c r="B214" s="15" t="s">
        <v>3</v>
      </c>
      <c r="C214" s="9">
        <v>61.999999999999901</v>
      </c>
      <c r="D214" s="9">
        <v>63</v>
      </c>
      <c r="E214" s="10">
        <v>64.400000000000006</v>
      </c>
      <c r="F214" s="9">
        <f t="shared" si="22"/>
        <v>19.735212943394991</v>
      </c>
      <c r="G214" s="9">
        <f t="shared" si="23"/>
        <v>20.053522829578814</v>
      </c>
      <c r="H214" s="10">
        <f t="shared" si="24"/>
        <v>20.499156670236122</v>
      </c>
      <c r="K214" s="11">
        <f>_xlfn.XLOOKUP(F214,Ref!$B$3:$B$12,Ref!$C$3:$C$12,"",1)</f>
        <v>1</v>
      </c>
      <c r="L214" s="11">
        <f>_xlfn.XLOOKUP(G214,Ref!$B$3:$B$12,Ref!$C$3:$C$12,"",1)</f>
        <v>2</v>
      </c>
      <c r="M214" s="11">
        <f>_xlfn.XLOOKUP(H214,Ref!$B$3:$B$12,Ref!$C$3:$C$12,"",1)</f>
        <v>2</v>
      </c>
    </row>
    <row r="215" spans="2:13" x14ac:dyDescent="0.25">
      <c r="B215" s="15" t="s">
        <v>3</v>
      </c>
      <c r="C215" s="9">
        <v>45.500000000000099</v>
      </c>
      <c r="D215" s="9">
        <v>46</v>
      </c>
      <c r="E215" s="10">
        <v>46.8</v>
      </c>
      <c r="F215" s="9">
        <f t="shared" si="22"/>
        <v>14.483099821362508</v>
      </c>
      <c r="G215" s="9">
        <f t="shared" si="23"/>
        <v>14.642254764454371</v>
      </c>
      <c r="H215" s="10">
        <f t="shared" si="24"/>
        <v>14.896902673401403</v>
      </c>
      <c r="K215" s="11">
        <f>_xlfn.XLOOKUP(F215,Ref!$B$3:$B$12,Ref!$C$3:$C$12,"",1)</f>
        <v>1</v>
      </c>
      <c r="L215" s="11">
        <f>_xlfn.XLOOKUP(G215,Ref!$B$3:$B$12,Ref!$C$3:$C$12,"",1)</f>
        <v>1</v>
      </c>
      <c r="M215" s="11">
        <f>_xlfn.XLOOKUP(H215,Ref!$B$3:$B$12,Ref!$C$3:$C$12,"",1)</f>
        <v>1</v>
      </c>
    </row>
    <row r="216" spans="2:13" x14ac:dyDescent="0.25">
      <c r="B216" s="15" t="s">
        <v>3</v>
      </c>
      <c r="C216" s="9">
        <v>70.999999999999901</v>
      </c>
      <c r="D216" s="9">
        <v>74.400000000000006</v>
      </c>
      <c r="E216" s="10">
        <v>78.099999999999994</v>
      </c>
      <c r="F216" s="9">
        <f t="shared" si="22"/>
        <v>22.600001919049106</v>
      </c>
      <c r="G216" s="9">
        <f t="shared" si="23"/>
        <v>23.682255532074027</v>
      </c>
      <c r="H216" s="10">
        <f t="shared" si="24"/>
        <v>24.860002110954049</v>
      </c>
      <c r="K216" s="11">
        <f>_xlfn.XLOOKUP(F216,Ref!$B$3:$B$12,Ref!$C$3:$C$12,"",1)</f>
        <v>2</v>
      </c>
      <c r="L216" s="11">
        <f>_xlfn.XLOOKUP(G216,Ref!$B$3:$B$12,Ref!$C$3:$C$12,"",1)</f>
        <v>2</v>
      </c>
      <c r="M216" s="11">
        <f>_xlfn.XLOOKUP(H216,Ref!$B$3:$B$12,Ref!$C$3:$C$12,"",1)</f>
        <v>2</v>
      </c>
    </row>
    <row r="217" spans="2:13" x14ac:dyDescent="0.25">
      <c r="B217" s="15" t="s">
        <v>3</v>
      </c>
      <c r="C217" s="9">
        <v>48.499999999999901</v>
      </c>
      <c r="D217" s="9">
        <v>49.4</v>
      </c>
      <c r="E217" s="10">
        <v>50.4</v>
      </c>
      <c r="F217" s="9">
        <f t="shared" si="22"/>
        <v>15.438029479913817</v>
      </c>
      <c r="G217" s="9">
        <f t="shared" si="23"/>
        <v>15.724508377479259</v>
      </c>
      <c r="H217" s="10">
        <f t="shared" si="24"/>
        <v>16.042818263663051</v>
      </c>
      <c r="K217" s="11">
        <f>_xlfn.XLOOKUP(F217,Ref!$B$3:$B$12,Ref!$C$3:$C$12,"",1)</f>
        <v>1</v>
      </c>
      <c r="L217" s="11">
        <f>_xlfn.XLOOKUP(G217,Ref!$B$3:$B$12,Ref!$C$3:$C$12,"",1)</f>
        <v>1</v>
      </c>
      <c r="M217" s="11">
        <f>_xlfn.XLOOKUP(H217,Ref!$B$3:$B$12,Ref!$C$3:$C$12,"",1)</f>
        <v>1</v>
      </c>
    </row>
    <row r="218" spans="2:13" x14ac:dyDescent="0.25">
      <c r="B218" s="15" t="s">
        <v>3</v>
      </c>
      <c r="C218" s="9">
        <v>51.200000000000102</v>
      </c>
      <c r="D218" s="9">
        <v>53.5</v>
      </c>
      <c r="E218" s="10">
        <v>55.8</v>
      </c>
      <c r="F218" s="9">
        <f t="shared" si="22"/>
        <v>16.297466172610115</v>
      </c>
      <c r="G218" s="9">
        <f t="shared" si="23"/>
        <v>17.0295789108328</v>
      </c>
      <c r="H218" s="10">
        <f t="shared" si="24"/>
        <v>17.761691649055518</v>
      </c>
      <c r="K218" s="11">
        <f>_xlfn.XLOOKUP(F218,Ref!$B$3:$B$12,Ref!$C$3:$C$12,"",1)</f>
        <v>1</v>
      </c>
      <c r="L218" s="11">
        <f>_xlfn.XLOOKUP(G218,Ref!$B$3:$B$12,Ref!$C$3:$C$12,"",1)</f>
        <v>1</v>
      </c>
      <c r="M218" s="11">
        <f>_xlfn.XLOOKUP(H218,Ref!$B$3:$B$12,Ref!$C$3:$C$12,"",1)</f>
        <v>1</v>
      </c>
    </row>
    <row r="219" spans="2:13" x14ac:dyDescent="0.25">
      <c r="B219" s="15" t="s">
        <v>3</v>
      </c>
      <c r="C219" s="9">
        <v>42.399999999999899</v>
      </c>
      <c r="D219" s="9">
        <v>44.1</v>
      </c>
      <c r="E219" s="10">
        <v>44.4</v>
      </c>
      <c r="F219" s="9">
        <f t="shared" si="22"/>
        <v>13.496339174192693</v>
      </c>
      <c r="G219" s="9">
        <f t="shared" si="23"/>
        <v>14.03746598070517</v>
      </c>
      <c r="H219" s="10">
        <f t="shared" si="24"/>
        <v>14.132958946560306</v>
      </c>
      <c r="K219" s="11">
        <f>_xlfn.XLOOKUP(F219,Ref!$B$3:$B$12,Ref!$C$3:$C$12,"",1)</f>
        <v>1</v>
      </c>
      <c r="L219" s="11">
        <f>_xlfn.XLOOKUP(G219,Ref!$B$3:$B$12,Ref!$C$3:$C$12,"",1)</f>
        <v>1</v>
      </c>
      <c r="M219" s="11">
        <f>_xlfn.XLOOKUP(H219,Ref!$B$3:$B$12,Ref!$C$3:$C$12,"",1)</f>
        <v>1</v>
      </c>
    </row>
    <row r="220" spans="2:13" x14ac:dyDescent="0.25">
      <c r="B220" s="15" t="s">
        <v>3</v>
      </c>
      <c r="C220" s="9">
        <v>69.599999999999895</v>
      </c>
      <c r="D220" s="9">
        <v>71.400000000000006</v>
      </c>
      <c r="E220" s="10">
        <v>75.5</v>
      </c>
      <c r="F220" s="9">
        <f t="shared" si="22"/>
        <v>22.154368078391798</v>
      </c>
      <c r="G220" s="9">
        <f t="shared" si="23"/>
        <v>22.727325873522656</v>
      </c>
      <c r="H220" s="10">
        <f t="shared" si="24"/>
        <v>24.032396406876195</v>
      </c>
      <c r="K220" s="11">
        <f>_xlfn.XLOOKUP(F220,Ref!$B$3:$B$12,Ref!$C$3:$C$12,"",1)</f>
        <v>2</v>
      </c>
      <c r="L220" s="11">
        <f>_xlfn.XLOOKUP(G220,Ref!$B$3:$B$12,Ref!$C$3:$C$12,"",1)</f>
        <v>2</v>
      </c>
      <c r="M220" s="11">
        <f>_xlfn.XLOOKUP(H220,Ref!$B$3:$B$12,Ref!$C$3:$C$12,"",1)</f>
        <v>2</v>
      </c>
    </row>
    <row r="221" spans="2:13" x14ac:dyDescent="0.25">
      <c r="B221" s="15" t="s">
        <v>5</v>
      </c>
      <c r="C221" s="9">
        <v>54</v>
      </c>
      <c r="D221" s="9">
        <v>56.8</v>
      </c>
      <c r="E221" s="10">
        <v>56.8</v>
      </c>
      <c r="F221" s="9">
        <f t="shared" si="22"/>
        <v>17.188733853924695</v>
      </c>
      <c r="G221" s="9">
        <f t="shared" si="23"/>
        <v>18.080001535239308</v>
      </c>
      <c r="H221" s="10">
        <f t="shared" si="24"/>
        <v>18.080001535239308</v>
      </c>
      <c r="K221" s="11">
        <f>_xlfn.XLOOKUP(F221,Ref!$B$3:$B$12,Ref!$C$3:$C$12,"",1)</f>
        <v>1</v>
      </c>
      <c r="L221" s="11">
        <f>_xlfn.XLOOKUP(G221,Ref!$B$3:$B$12,Ref!$C$3:$C$12,"",1)</f>
        <v>1</v>
      </c>
      <c r="M221" s="11">
        <f>_xlfn.XLOOKUP(H221,Ref!$B$3:$B$12,Ref!$C$3:$C$12,"",1)</f>
        <v>1</v>
      </c>
    </row>
    <row r="222" spans="2:13" x14ac:dyDescent="0.25">
      <c r="B222" s="15" t="s">
        <v>3</v>
      </c>
      <c r="C222" s="9">
        <v>60.7</v>
      </c>
      <c r="D222" s="9">
        <v>63.5</v>
      </c>
      <c r="E222" s="10">
        <v>65.5</v>
      </c>
      <c r="F222" s="9">
        <f t="shared" si="22"/>
        <v>19.321410091356096</v>
      </c>
      <c r="G222" s="9">
        <f t="shared" si="23"/>
        <v>20.212677772670709</v>
      </c>
      <c r="H222" s="10">
        <f t="shared" si="24"/>
        <v>20.84929754503829</v>
      </c>
      <c r="K222" s="11">
        <f>_xlfn.XLOOKUP(F222,Ref!$B$3:$B$12,Ref!$C$3:$C$12,"",1)</f>
        <v>1</v>
      </c>
      <c r="L222" s="11">
        <f>_xlfn.XLOOKUP(G222,Ref!$B$3:$B$12,Ref!$C$3:$C$12,"",1)</f>
        <v>2</v>
      </c>
      <c r="M222" s="11">
        <f>_xlfn.XLOOKUP(H222,Ref!$B$3:$B$12,Ref!$C$3:$C$12,"",1)</f>
        <v>2</v>
      </c>
    </row>
    <row r="223" spans="2:13" x14ac:dyDescent="0.25">
      <c r="B223" s="15" t="s">
        <v>5</v>
      </c>
      <c r="C223" s="9">
        <v>52.799999999999898</v>
      </c>
      <c r="D223" s="9">
        <v>52.8</v>
      </c>
      <c r="E223" s="10">
        <v>52.8</v>
      </c>
      <c r="F223" s="9">
        <f t="shared" si="22"/>
        <v>16.806761990504114</v>
      </c>
      <c r="G223" s="9">
        <f t="shared" si="23"/>
        <v>16.806761990504146</v>
      </c>
      <c r="H223" s="10">
        <f t="shared" si="24"/>
        <v>16.806761990504146</v>
      </c>
      <c r="K223" s="11">
        <f>_xlfn.XLOOKUP(F223,Ref!$B$3:$B$12,Ref!$C$3:$C$12,"",1)</f>
        <v>1</v>
      </c>
      <c r="L223" s="11">
        <f>_xlfn.XLOOKUP(G223,Ref!$B$3:$B$12,Ref!$C$3:$C$12,"",1)</f>
        <v>1</v>
      </c>
      <c r="M223" s="11">
        <f>_xlfn.XLOOKUP(H223,Ref!$B$3:$B$12,Ref!$C$3:$C$12,"",1)</f>
        <v>1</v>
      </c>
    </row>
    <row r="224" spans="2:13" x14ac:dyDescent="0.25">
      <c r="B224" s="15" t="s">
        <v>5</v>
      </c>
      <c r="C224" s="9">
        <v>34</v>
      </c>
      <c r="D224" s="9">
        <v>34</v>
      </c>
      <c r="E224" s="10">
        <v>34.4</v>
      </c>
      <c r="F224" s="9">
        <f t="shared" si="22"/>
        <v>10.822536130248883</v>
      </c>
      <c r="G224" s="9">
        <f t="shared" si="23"/>
        <v>10.822536130248883</v>
      </c>
      <c r="H224" s="10">
        <f t="shared" si="24"/>
        <v>10.949860084722399</v>
      </c>
      <c r="K224" s="11">
        <f>_xlfn.XLOOKUP(F224,Ref!$B$3:$B$12,Ref!$C$3:$C$12,"",1)</f>
        <v>1</v>
      </c>
      <c r="L224" s="11">
        <f>_xlfn.XLOOKUP(G224,Ref!$B$3:$B$12,Ref!$C$3:$C$12,"",1)</f>
        <v>1</v>
      </c>
      <c r="M224" s="11">
        <f>_xlfn.XLOOKUP(H224,Ref!$B$3:$B$12,Ref!$C$3:$C$12,"",1)</f>
        <v>1</v>
      </c>
    </row>
    <row r="225" spans="2:13" x14ac:dyDescent="0.25">
      <c r="B225" s="15" t="s">
        <v>3</v>
      </c>
      <c r="C225" s="9">
        <v>59.999999999999901</v>
      </c>
      <c r="D225" s="9">
        <v>64.5</v>
      </c>
      <c r="E225" s="10">
        <v>68.5</v>
      </c>
      <c r="F225" s="9">
        <f t="shared" si="22"/>
        <v>19.09859317102741</v>
      </c>
      <c r="G225" s="9">
        <f t="shared" si="23"/>
        <v>20.5309876588545</v>
      </c>
      <c r="H225" s="10">
        <f t="shared" si="24"/>
        <v>21.804227203589662</v>
      </c>
      <c r="K225" s="11">
        <f>_xlfn.XLOOKUP(F225,Ref!$B$3:$B$12,Ref!$C$3:$C$12,"",1)</f>
        <v>1</v>
      </c>
      <c r="L225" s="11">
        <f>_xlfn.XLOOKUP(G225,Ref!$B$3:$B$12,Ref!$C$3:$C$12,"",1)</f>
        <v>2</v>
      </c>
      <c r="M225" s="11">
        <f>_xlfn.XLOOKUP(H225,Ref!$B$3:$B$12,Ref!$C$3:$C$12,"",1)</f>
        <v>2</v>
      </c>
    </row>
    <row r="226" spans="2:13" x14ac:dyDescent="0.25">
      <c r="B226" s="15" t="s">
        <v>3</v>
      </c>
      <c r="C226" s="9">
        <v>48.999999999999901</v>
      </c>
      <c r="D226" s="9">
        <v>52.6</v>
      </c>
      <c r="E226" s="10">
        <v>56.7</v>
      </c>
      <c r="F226" s="9">
        <f t="shared" si="22"/>
        <v>15.597184423005713</v>
      </c>
      <c r="G226" s="9">
        <f t="shared" si="23"/>
        <v>16.743100013267391</v>
      </c>
      <c r="H226" s="10">
        <f t="shared" si="24"/>
        <v>18.048170546620934</v>
      </c>
      <c r="K226" s="11">
        <f>_xlfn.XLOOKUP(F226,Ref!$B$3:$B$12,Ref!$C$3:$C$12,"",1)</f>
        <v>1</v>
      </c>
      <c r="L226" s="11">
        <f>_xlfn.XLOOKUP(G226,Ref!$B$3:$B$12,Ref!$C$3:$C$12,"",1)</f>
        <v>1</v>
      </c>
      <c r="M226" s="11">
        <f>_xlfn.XLOOKUP(H226,Ref!$B$3:$B$12,Ref!$C$3:$C$12,"",1)</f>
        <v>1</v>
      </c>
    </row>
    <row r="227" spans="2:13" x14ac:dyDescent="0.25">
      <c r="B227" s="15" t="s">
        <v>3</v>
      </c>
      <c r="C227" s="9">
        <v>48.000000000000199</v>
      </c>
      <c r="D227" s="9">
        <v>52.3</v>
      </c>
      <c r="E227" s="10">
        <v>55.4</v>
      </c>
      <c r="F227" s="9">
        <f t="shared" si="22"/>
        <v>15.278874536822016</v>
      </c>
      <c r="G227" s="9">
        <f t="shared" si="23"/>
        <v>16.647607047412251</v>
      </c>
      <c r="H227" s="10">
        <f t="shared" si="24"/>
        <v>17.634367694582004</v>
      </c>
      <c r="K227" s="11">
        <f>_xlfn.XLOOKUP(F227,Ref!$B$3:$B$12,Ref!$C$3:$C$12,"",1)</f>
        <v>1</v>
      </c>
      <c r="L227" s="11">
        <f>_xlfn.XLOOKUP(G227,Ref!$B$3:$B$12,Ref!$C$3:$C$12,"",1)</f>
        <v>1</v>
      </c>
      <c r="M227" s="11">
        <f>_xlfn.XLOOKUP(H227,Ref!$B$3:$B$12,Ref!$C$3:$C$12,"",1)</f>
        <v>1</v>
      </c>
    </row>
    <row r="228" spans="2:13" x14ac:dyDescent="0.25">
      <c r="B228" s="15" t="s">
        <v>3</v>
      </c>
      <c r="C228" s="9">
        <v>61.2</v>
      </c>
      <c r="D228" s="9">
        <v>65.5</v>
      </c>
      <c r="E228" s="10">
        <v>71.7</v>
      </c>
      <c r="F228" s="9">
        <f t="shared" si="22"/>
        <v>19.480565034447991</v>
      </c>
      <c r="G228" s="9">
        <f t="shared" si="23"/>
        <v>20.84929754503829</v>
      </c>
      <c r="H228" s="10">
        <f t="shared" si="24"/>
        <v>22.822818839377792</v>
      </c>
      <c r="K228" s="11">
        <f>_xlfn.XLOOKUP(F228,Ref!$B$3:$B$12,Ref!$C$3:$C$12,"",1)</f>
        <v>1</v>
      </c>
      <c r="L228" s="11">
        <f>_xlfn.XLOOKUP(G228,Ref!$B$3:$B$12,Ref!$C$3:$C$12,"",1)</f>
        <v>2</v>
      </c>
      <c r="M228" s="11">
        <f>_xlfn.XLOOKUP(H228,Ref!$B$3:$B$12,Ref!$C$3:$C$12,"",1)</f>
        <v>2</v>
      </c>
    </row>
    <row r="229" spans="2:13" x14ac:dyDescent="0.25">
      <c r="B229" s="15" t="s">
        <v>5</v>
      </c>
      <c r="C229" s="9">
        <v>38.700000000000003</v>
      </c>
      <c r="D229" s="9">
        <v>36.9</v>
      </c>
      <c r="E229" s="10">
        <v>0</v>
      </c>
      <c r="F229" s="9">
        <f t="shared" si="22"/>
        <v>12.318592595312701</v>
      </c>
      <c r="G229" s="9">
        <f t="shared" si="23"/>
        <v>11.745634800181875</v>
      </c>
      <c r="H229" s="10">
        <f t="shared" si="24"/>
        <v>0</v>
      </c>
      <c r="K229" s="11">
        <f>_xlfn.XLOOKUP(F229,Ref!$B$3:$B$12,Ref!$C$3:$C$12,"",1)</f>
        <v>1</v>
      </c>
      <c r="L229" s="11">
        <f>_xlfn.XLOOKUP(G229,Ref!$B$3:$B$12,Ref!$C$3:$C$12,"",1)</f>
        <v>1</v>
      </c>
      <c r="M229" s="11" t="str">
        <f>_xlfn.XLOOKUP(H229,Ref!$B$3:$B$12,Ref!$C$3:$C$12,"",1)</f>
        <v>Morta</v>
      </c>
    </row>
    <row r="230" spans="2:13" x14ac:dyDescent="0.25">
      <c r="B230" s="15" t="s">
        <v>20</v>
      </c>
      <c r="C230" s="9">
        <v>44</v>
      </c>
      <c r="D230" s="9">
        <v>44.2</v>
      </c>
      <c r="E230" s="10">
        <v>45</v>
      </c>
      <c r="F230" s="9">
        <f t="shared" si="22"/>
        <v>14.00563499208679</v>
      </c>
      <c r="G230" s="9">
        <f t="shared" si="23"/>
        <v>14.069296969323549</v>
      </c>
      <c r="H230" s="10">
        <f t="shared" si="24"/>
        <v>14.323944878270581</v>
      </c>
      <c r="K230" s="11">
        <f>_xlfn.XLOOKUP(F230,Ref!$B$3:$B$12,Ref!$C$3:$C$12,"",1)</f>
        <v>1</v>
      </c>
      <c r="L230" s="11">
        <f>_xlfn.XLOOKUP(G230,Ref!$B$3:$B$12,Ref!$C$3:$C$12,"",1)</f>
        <v>1</v>
      </c>
      <c r="M230" s="11">
        <f>_xlfn.XLOOKUP(H230,Ref!$B$3:$B$12,Ref!$C$3:$C$12,"",1)</f>
        <v>1</v>
      </c>
    </row>
    <row r="231" spans="2:13" x14ac:dyDescent="0.25">
      <c r="B231" s="15" t="s">
        <v>30</v>
      </c>
      <c r="C231" s="9"/>
      <c r="D231" s="9">
        <v>31.7</v>
      </c>
      <c r="E231" s="10">
        <v>33.299999999999997</v>
      </c>
      <c r="F231" s="9" t="str">
        <f t="shared" si="22"/>
        <v/>
      </c>
      <c r="G231" s="9">
        <f t="shared" si="23"/>
        <v>10.090423392026164</v>
      </c>
      <c r="H231" s="10">
        <f t="shared" si="24"/>
        <v>10.599719209920229</v>
      </c>
      <c r="K231" s="11" t="str">
        <f>_xlfn.XLOOKUP(F231,Ref!$B$3:$B$12,Ref!$C$3:$C$12,"",1)</f>
        <v/>
      </c>
      <c r="L231" s="11">
        <f>_xlfn.XLOOKUP(G231,Ref!$B$3:$B$12,Ref!$C$3:$C$12,"",1)</f>
        <v>1</v>
      </c>
      <c r="M231" s="11">
        <f>_xlfn.XLOOKUP(H231,Ref!$B$3:$B$12,Ref!$C$3:$C$12,"",1)</f>
        <v>1</v>
      </c>
    </row>
    <row r="232" spans="2:13" x14ac:dyDescent="0.25">
      <c r="B232" s="15" t="s">
        <v>3</v>
      </c>
      <c r="C232" s="9"/>
      <c r="D232" s="9">
        <v>32.299999999999997</v>
      </c>
      <c r="E232" s="10">
        <v>32.700000000000003</v>
      </c>
      <c r="F232" s="9" t="str">
        <f t="shared" si="22"/>
        <v/>
      </c>
      <c r="G232" s="9">
        <f t="shared" si="23"/>
        <v>10.281409323736439</v>
      </c>
      <c r="H232" s="10">
        <f t="shared" si="24"/>
        <v>10.408733278209956</v>
      </c>
      <c r="K232" s="11" t="str">
        <f>_xlfn.XLOOKUP(F232,Ref!$B$3:$B$12,Ref!$C$3:$C$12,"",1)</f>
        <v/>
      </c>
      <c r="L232" s="11">
        <f>_xlfn.XLOOKUP(G232,Ref!$B$3:$B$12,Ref!$C$3:$C$12,"",1)</f>
        <v>1</v>
      </c>
      <c r="M232" s="11">
        <f>_xlfn.XLOOKUP(H232,Ref!$B$3:$B$12,Ref!$C$3:$C$12,"",1)</f>
        <v>1</v>
      </c>
    </row>
    <row r="233" spans="2:13" x14ac:dyDescent="0.25">
      <c r="B233" s="15" t="s">
        <v>36</v>
      </c>
      <c r="C233" s="9">
        <v>50.499999999999901</v>
      </c>
      <c r="D233" s="9">
        <v>53.8</v>
      </c>
      <c r="E233" s="10">
        <v>58.3</v>
      </c>
      <c r="F233" s="9">
        <f t="shared" si="22"/>
        <v>16.074649252281397</v>
      </c>
      <c r="G233" s="9">
        <f t="shared" si="23"/>
        <v>17.125071876687937</v>
      </c>
      <c r="H233" s="10">
        <f t="shared" si="24"/>
        <v>18.557466364514998</v>
      </c>
      <c r="K233" s="11">
        <f>_xlfn.XLOOKUP(F233,Ref!$B$3:$B$12,Ref!$C$3:$C$12,"",1)</f>
        <v>1</v>
      </c>
      <c r="L233" s="11">
        <f>_xlfn.XLOOKUP(G233,Ref!$B$3:$B$12,Ref!$C$3:$C$12,"",1)</f>
        <v>1</v>
      </c>
      <c r="M233" s="11">
        <f>_xlfn.XLOOKUP(H233,Ref!$B$3:$B$12,Ref!$C$3:$C$12,"",1)</f>
        <v>1</v>
      </c>
    </row>
    <row r="234" spans="2:13" x14ac:dyDescent="0.25">
      <c r="B234" s="15" t="s">
        <v>20</v>
      </c>
      <c r="C234" s="9"/>
      <c r="D234" s="9"/>
      <c r="E234" s="10">
        <v>34.799999999999997</v>
      </c>
      <c r="F234" s="9" t="str">
        <f t="shared" si="22"/>
        <v/>
      </c>
      <c r="G234" s="9" t="str">
        <f t="shared" si="23"/>
        <v/>
      </c>
      <c r="H234" s="10">
        <f t="shared" si="24"/>
        <v>11.077184039195915</v>
      </c>
      <c r="K234" s="11" t="str">
        <f>_xlfn.XLOOKUP(F234,Ref!$B$3:$B$12,Ref!$C$3:$C$12,"",1)</f>
        <v/>
      </c>
      <c r="L234" s="11" t="str">
        <f>_xlfn.XLOOKUP(G234,Ref!$B$3:$B$12,Ref!$C$3:$C$12,"",1)</f>
        <v/>
      </c>
      <c r="M234" s="11">
        <f>_xlfn.XLOOKUP(H234,Ref!$B$3:$B$12,Ref!$C$3:$C$12,"",1)</f>
        <v>1</v>
      </c>
    </row>
    <row r="235" spans="2:13" x14ac:dyDescent="0.25">
      <c r="B235" s="15" t="s">
        <v>5</v>
      </c>
      <c r="C235" s="9">
        <v>47.1</v>
      </c>
      <c r="D235" s="9">
        <v>52.1</v>
      </c>
      <c r="E235" s="10">
        <v>55.2</v>
      </c>
      <c r="F235" s="9">
        <f t="shared" si="22"/>
        <v>14.992395639256541</v>
      </c>
      <c r="G235" s="9">
        <f t="shared" si="23"/>
        <v>16.583945070175496</v>
      </c>
      <c r="H235" s="10">
        <f t="shared" si="24"/>
        <v>17.570705717345248</v>
      </c>
      <c r="K235" s="11">
        <f>_xlfn.XLOOKUP(F235,Ref!$B$3:$B$12,Ref!$C$3:$C$12,"",1)</f>
        <v>1</v>
      </c>
      <c r="L235" s="11">
        <f>_xlfn.XLOOKUP(G235,Ref!$B$3:$B$12,Ref!$C$3:$C$12,"",1)</f>
        <v>1</v>
      </c>
      <c r="M235" s="11">
        <f>_xlfn.XLOOKUP(H235,Ref!$B$3:$B$12,Ref!$C$3:$C$12,"",1)</f>
        <v>1</v>
      </c>
    </row>
    <row r="236" spans="2:13" x14ac:dyDescent="0.25">
      <c r="B236" s="15" t="s">
        <v>1</v>
      </c>
      <c r="C236" s="9">
        <v>79</v>
      </c>
      <c r="D236" s="9">
        <v>79</v>
      </c>
      <c r="E236" s="10">
        <v>83.5</v>
      </c>
      <c r="F236" s="9">
        <f t="shared" si="22"/>
        <v>25.146481008519466</v>
      </c>
      <c r="G236" s="9">
        <f t="shared" si="23"/>
        <v>25.146481008519466</v>
      </c>
      <c r="H236" s="10">
        <f t="shared" si="24"/>
        <v>26.578875496346523</v>
      </c>
      <c r="K236" s="11">
        <f>_xlfn.XLOOKUP(F236,Ref!$B$3:$B$12,Ref!$C$3:$C$12,"",1)</f>
        <v>2</v>
      </c>
      <c r="L236" s="11">
        <f>_xlfn.XLOOKUP(G236,Ref!$B$3:$B$12,Ref!$C$3:$C$12,"",1)</f>
        <v>2</v>
      </c>
      <c r="M236" s="11">
        <f>_xlfn.XLOOKUP(H236,Ref!$B$3:$B$12,Ref!$C$3:$C$12,"",1)</f>
        <v>2</v>
      </c>
    </row>
    <row r="237" spans="2:13" x14ac:dyDescent="0.25">
      <c r="B237" s="15" t="s">
        <v>20</v>
      </c>
      <c r="C237" s="9">
        <v>35.9</v>
      </c>
      <c r="D237" s="9">
        <v>40.5</v>
      </c>
      <c r="E237" s="10">
        <v>43.9</v>
      </c>
      <c r="F237" s="9">
        <f t="shared" si="22"/>
        <v>11.427324913998085</v>
      </c>
      <c r="G237" s="9">
        <f t="shared" si="23"/>
        <v>12.891550390443523</v>
      </c>
      <c r="H237" s="10">
        <f t="shared" si="24"/>
        <v>13.973804003468411</v>
      </c>
      <c r="K237" s="11">
        <f>_xlfn.XLOOKUP(F237,Ref!$B$3:$B$12,Ref!$C$3:$C$12,"",1)</f>
        <v>1</v>
      </c>
      <c r="L237" s="11">
        <f>_xlfn.XLOOKUP(G237,Ref!$B$3:$B$12,Ref!$C$3:$C$12,"",1)</f>
        <v>1</v>
      </c>
      <c r="M237" s="11">
        <f>_xlfn.XLOOKUP(H237,Ref!$B$3:$B$12,Ref!$C$3:$C$12,"",1)</f>
        <v>1</v>
      </c>
    </row>
    <row r="238" spans="2:13" x14ac:dyDescent="0.25">
      <c r="B238" s="15" t="s">
        <v>37</v>
      </c>
      <c r="C238" s="9">
        <v>35</v>
      </c>
      <c r="D238" s="9">
        <v>0</v>
      </c>
      <c r="E238" s="10">
        <v>0</v>
      </c>
      <c r="F238" s="9">
        <f t="shared" si="22"/>
        <v>11.140846016432674</v>
      </c>
      <c r="G238" s="9">
        <f t="shared" si="23"/>
        <v>0</v>
      </c>
      <c r="H238" s="10">
        <f t="shared" si="24"/>
        <v>0</v>
      </c>
      <c r="K238" s="11">
        <f>_xlfn.XLOOKUP(F238,Ref!$B$3:$B$12,Ref!$C$3:$C$12,"",1)</f>
        <v>1</v>
      </c>
      <c r="L238" s="11" t="str">
        <f>_xlfn.XLOOKUP(G238,Ref!$B$3:$B$12,Ref!$C$3:$C$12,"",1)</f>
        <v>Morta</v>
      </c>
      <c r="M238" s="11" t="str">
        <f>_xlfn.XLOOKUP(H238,Ref!$B$3:$B$12,Ref!$C$3:$C$12,"",1)</f>
        <v>Morta</v>
      </c>
    </row>
    <row r="239" spans="2:13" x14ac:dyDescent="0.25">
      <c r="B239" s="15" t="s">
        <v>5</v>
      </c>
      <c r="C239" s="9">
        <v>33.1</v>
      </c>
      <c r="D239" s="9">
        <v>33.4</v>
      </c>
      <c r="E239" s="10">
        <v>33.4</v>
      </c>
      <c r="F239" s="9">
        <f t="shared" si="22"/>
        <v>10.536057232683472</v>
      </c>
      <c r="G239" s="9">
        <f t="shared" si="23"/>
        <v>10.631550198538608</v>
      </c>
      <c r="H239" s="10">
        <f t="shared" si="24"/>
        <v>10.631550198538608</v>
      </c>
      <c r="K239" s="11">
        <f>_xlfn.XLOOKUP(F239,Ref!$B$3:$B$12,Ref!$C$3:$C$12,"",1)</f>
        <v>1</v>
      </c>
      <c r="L239" s="11">
        <f>_xlfn.XLOOKUP(G239,Ref!$B$3:$B$12,Ref!$C$3:$C$12,"",1)</f>
        <v>1</v>
      </c>
      <c r="M239" s="11">
        <f>_xlfn.XLOOKUP(H239,Ref!$B$3:$B$12,Ref!$C$3:$C$12,"",1)</f>
        <v>1</v>
      </c>
    </row>
    <row r="240" spans="2:13" x14ac:dyDescent="0.25">
      <c r="B240" s="15" t="s">
        <v>20</v>
      </c>
      <c r="C240" s="9">
        <v>87.5</v>
      </c>
      <c r="D240" s="9">
        <v>96.2</v>
      </c>
      <c r="E240" s="10">
        <v>104.3</v>
      </c>
      <c r="F240" s="9">
        <f t="shared" si="22"/>
        <v>27.852115041081685</v>
      </c>
      <c r="G240" s="9">
        <f t="shared" si="23"/>
        <v>30.621411050880663</v>
      </c>
      <c r="H240" s="10">
        <f t="shared" si="24"/>
        <v>33.199721128969365</v>
      </c>
      <c r="K240" s="11">
        <f>_xlfn.XLOOKUP(F240,Ref!$B$3:$B$12,Ref!$C$3:$C$12,"",1)</f>
        <v>2</v>
      </c>
      <c r="L240" s="11">
        <f>_xlfn.XLOOKUP(G240,Ref!$B$3:$B$12,Ref!$C$3:$C$12,"",1)</f>
        <v>3</v>
      </c>
      <c r="M240" s="11">
        <f>_xlfn.XLOOKUP(H240,Ref!$B$3:$B$12,Ref!$C$3:$C$12,"",1)</f>
        <v>3</v>
      </c>
    </row>
    <row r="241" spans="2:13" x14ac:dyDescent="0.25">
      <c r="B241" s="15" t="s">
        <v>11</v>
      </c>
      <c r="C241" s="9">
        <v>62</v>
      </c>
      <c r="D241" s="9">
        <v>66.099999999999994</v>
      </c>
      <c r="E241" s="10">
        <v>70.2</v>
      </c>
      <c r="F241" s="9">
        <f t="shared" si="22"/>
        <v>19.735212943395023</v>
      </c>
      <c r="G241" s="9">
        <f t="shared" si="23"/>
        <v>21.040283476748563</v>
      </c>
      <c r="H241" s="10">
        <f t="shared" si="24"/>
        <v>22.345354010102106</v>
      </c>
      <c r="K241" s="11">
        <f>_xlfn.XLOOKUP(F241,Ref!$B$3:$B$12,Ref!$C$3:$C$12,"",1)</f>
        <v>1</v>
      </c>
      <c r="L241" s="11">
        <f>_xlfn.XLOOKUP(G241,Ref!$B$3:$B$12,Ref!$C$3:$C$12,"",1)</f>
        <v>2</v>
      </c>
      <c r="M241" s="11">
        <f>_xlfn.XLOOKUP(H241,Ref!$B$3:$B$12,Ref!$C$3:$C$12,"",1)</f>
        <v>2</v>
      </c>
    </row>
    <row r="242" spans="2:13" x14ac:dyDescent="0.25">
      <c r="B242" s="15" t="s">
        <v>34</v>
      </c>
      <c r="C242" s="9">
        <v>100</v>
      </c>
      <c r="D242" s="9">
        <v>103</v>
      </c>
      <c r="E242" s="10">
        <v>103.5</v>
      </c>
      <c r="F242" s="9">
        <f t="shared" si="22"/>
        <v>31.830988618379067</v>
      </c>
      <c r="G242" s="9">
        <f t="shared" si="23"/>
        <v>32.785918276930438</v>
      </c>
      <c r="H242" s="10">
        <f t="shared" si="24"/>
        <v>32.945073220022337</v>
      </c>
      <c r="K242" s="11">
        <f>_xlfn.XLOOKUP(F242,Ref!$B$3:$B$12,Ref!$C$3:$C$12,"",1)</f>
        <v>3</v>
      </c>
      <c r="L242" s="11">
        <f>_xlfn.XLOOKUP(G242,Ref!$B$3:$B$12,Ref!$C$3:$C$12,"",1)</f>
        <v>3</v>
      </c>
      <c r="M242" s="11">
        <f>_xlfn.XLOOKUP(H242,Ref!$B$3:$B$12,Ref!$C$3:$C$12,"",1)</f>
        <v>3</v>
      </c>
    </row>
    <row r="243" spans="2:13" x14ac:dyDescent="0.25">
      <c r="B243" s="15" t="s">
        <v>1</v>
      </c>
      <c r="C243" s="9">
        <v>32.9</v>
      </c>
      <c r="D243" s="9">
        <v>35.5</v>
      </c>
      <c r="E243" s="10">
        <v>35.799999999999997</v>
      </c>
      <c r="F243" s="9">
        <f t="shared" si="22"/>
        <v>10.472395255446713</v>
      </c>
      <c r="G243" s="9">
        <f t="shared" si="23"/>
        <v>11.300000959524569</v>
      </c>
      <c r="H243" s="10">
        <f t="shared" si="24"/>
        <v>11.395493925379705</v>
      </c>
      <c r="K243" s="11">
        <f>_xlfn.XLOOKUP(F243,Ref!$B$3:$B$12,Ref!$C$3:$C$12,"",1)</f>
        <v>1</v>
      </c>
      <c r="L243" s="11">
        <f>_xlfn.XLOOKUP(G243,Ref!$B$3:$B$12,Ref!$C$3:$C$12,"",1)</f>
        <v>1</v>
      </c>
      <c r="M243" s="11">
        <f>_xlfn.XLOOKUP(H243,Ref!$B$3:$B$12,Ref!$C$3:$C$12,"",1)</f>
        <v>1</v>
      </c>
    </row>
    <row r="244" spans="2:13" x14ac:dyDescent="0.25">
      <c r="B244" s="15" t="s">
        <v>20</v>
      </c>
      <c r="C244" s="9">
        <v>36</v>
      </c>
      <c r="D244" s="9">
        <v>38.9</v>
      </c>
      <c r="E244" s="10">
        <v>38.9</v>
      </c>
      <c r="F244" s="9">
        <f t="shared" si="22"/>
        <v>11.459155902616464</v>
      </c>
      <c r="G244" s="9">
        <f t="shared" si="23"/>
        <v>12.382254572549456</v>
      </c>
      <c r="H244" s="10">
        <f t="shared" si="24"/>
        <v>12.382254572549456</v>
      </c>
      <c r="K244" s="11">
        <f>_xlfn.XLOOKUP(F244,Ref!$B$3:$B$12,Ref!$C$3:$C$12,"",1)</f>
        <v>1</v>
      </c>
      <c r="L244" s="11">
        <f>_xlfn.XLOOKUP(G244,Ref!$B$3:$B$12,Ref!$C$3:$C$12,"",1)</f>
        <v>1</v>
      </c>
      <c r="M244" s="11">
        <f>_xlfn.XLOOKUP(H244,Ref!$B$3:$B$12,Ref!$C$3:$C$12,"",1)</f>
        <v>1</v>
      </c>
    </row>
    <row r="245" spans="2:13" x14ac:dyDescent="0.25">
      <c r="B245" s="15" t="s">
        <v>38</v>
      </c>
      <c r="C245" s="9">
        <v>63</v>
      </c>
      <c r="D245" s="9">
        <v>67.8</v>
      </c>
      <c r="E245" s="10">
        <v>71.099999999999994</v>
      </c>
      <c r="F245" s="9">
        <f t="shared" si="22"/>
        <v>20.053522829578814</v>
      </c>
      <c r="G245" s="9">
        <f t="shared" si="23"/>
        <v>21.581410283261008</v>
      </c>
      <c r="H245" s="10">
        <f t="shared" si="24"/>
        <v>22.631832907667516</v>
      </c>
      <c r="K245" s="11">
        <f>_xlfn.XLOOKUP(F245,Ref!$B$3:$B$12,Ref!$C$3:$C$12,"",1)</f>
        <v>2</v>
      </c>
      <c r="L245" s="11">
        <f>_xlfn.XLOOKUP(G245,Ref!$B$3:$B$12,Ref!$C$3:$C$12,"",1)</f>
        <v>2</v>
      </c>
      <c r="M245" s="11">
        <f>_xlfn.XLOOKUP(H245,Ref!$B$3:$B$12,Ref!$C$3:$C$12,"",1)</f>
        <v>2</v>
      </c>
    </row>
    <row r="246" spans="2:13" x14ac:dyDescent="0.25">
      <c r="B246" s="15" t="s">
        <v>39</v>
      </c>
      <c r="C246" s="9">
        <v>73.400000000000006</v>
      </c>
      <c r="D246" s="9">
        <v>76</v>
      </c>
      <c r="E246" s="10">
        <v>79.8</v>
      </c>
      <c r="F246" s="9">
        <f t="shared" si="22"/>
        <v>23.363945645890237</v>
      </c>
      <c r="G246" s="9">
        <f t="shared" si="23"/>
        <v>24.191551349968091</v>
      </c>
      <c r="H246" s="10">
        <f t="shared" si="24"/>
        <v>25.401128917466497</v>
      </c>
      <c r="K246" s="11">
        <f>_xlfn.XLOOKUP(F246,Ref!$B$3:$B$12,Ref!$C$3:$C$12,"",1)</f>
        <v>2</v>
      </c>
      <c r="L246" s="11">
        <f>_xlfn.XLOOKUP(G246,Ref!$B$3:$B$12,Ref!$C$3:$C$12,"",1)</f>
        <v>2</v>
      </c>
      <c r="M246" s="11">
        <f>_xlfn.XLOOKUP(H246,Ref!$B$3:$B$12,Ref!$C$3:$C$12,"",1)</f>
        <v>2</v>
      </c>
    </row>
    <row r="247" spans="2:13" x14ac:dyDescent="0.25">
      <c r="B247" s="15" t="s">
        <v>6</v>
      </c>
      <c r="C247" s="9">
        <v>36</v>
      </c>
      <c r="D247" s="9">
        <v>37.299999999999997</v>
      </c>
      <c r="E247" s="10">
        <v>37.299999999999997</v>
      </c>
      <c r="F247" s="9">
        <f t="shared" si="22"/>
        <v>11.459155902616464</v>
      </c>
      <c r="G247" s="9">
        <f t="shared" si="23"/>
        <v>11.872958754655391</v>
      </c>
      <c r="H247" s="10">
        <f t="shared" si="24"/>
        <v>11.872958754655391</v>
      </c>
      <c r="K247" s="11">
        <f>_xlfn.XLOOKUP(F247,Ref!$B$3:$B$12,Ref!$C$3:$C$12,"",1)</f>
        <v>1</v>
      </c>
      <c r="L247" s="11">
        <f>_xlfn.XLOOKUP(G247,Ref!$B$3:$B$12,Ref!$C$3:$C$12,"",1)</f>
        <v>1</v>
      </c>
      <c r="M247" s="11">
        <f>_xlfn.XLOOKUP(H247,Ref!$B$3:$B$12,Ref!$C$3:$C$12,"",1)</f>
        <v>1</v>
      </c>
    </row>
    <row r="248" spans="2:13" x14ac:dyDescent="0.25">
      <c r="B248" s="15" t="s">
        <v>26</v>
      </c>
      <c r="C248" s="9">
        <v>166</v>
      </c>
      <c r="D248" s="9">
        <v>171</v>
      </c>
      <c r="E248" s="10">
        <v>177.5</v>
      </c>
      <c r="F248" s="9">
        <f t="shared" si="22"/>
        <v>52.839441106509256</v>
      </c>
      <c r="G248" s="9">
        <f t="shared" si="23"/>
        <v>54.430990537428208</v>
      </c>
      <c r="H248" s="10">
        <f t="shared" si="24"/>
        <v>56.500004797622843</v>
      </c>
      <c r="K248" s="11">
        <f>_xlfn.XLOOKUP(F248,Ref!$B$3:$B$12,Ref!$C$3:$C$12,"",1)</f>
        <v>5</v>
      </c>
      <c r="L248" s="11">
        <f>_xlfn.XLOOKUP(G248,Ref!$B$3:$B$12,Ref!$C$3:$C$12,"",1)</f>
        <v>5</v>
      </c>
      <c r="M248" s="11">
        <f>_xlfn.XLOOKUP(H248,Ref!$B$3:$B$12,Ref!$C$3:$C$12,"",1)</f>
        <v>5</v>
      </c>
    </row>
    <row r="249" spans="2:13" x14ac:dyDescent="0.25">
      <c r="B249" s="15" t="s">
        <v>33</v>
      </c>
      <c r="C249" s="9">
        <v>69.5</v>
      </c>
      <c r="D249" s="9">
        <v>73.8</v>
      </c>
      <c r="E249" s="10">
        <v>77.099999999999994</v>
      </c>
      <c r="F249" s="9">
        <f t="shared" si="22"/>
        <v>22.122537089773452</v>
      </c>
      <c r="G249" s="9">
        <f t="shared" si="23"/>
        <v>23.491269600363751</v>
      </c>
      <c r="H249" s="10">
        <f t="shared" si="24"/>
        <v>24.541692224770259</v>
      </c>
      <c r="K249" s="11">
        <f>_xlfn.XLOOKUP(F249,Ref!$B$3:$B$12,Ref!$C$3:$C$12,"",1)</f>
        <v>2</v>
      </c>
      <c r="L249" s="11">
        <f>_xlfn.XLOOKUP(G249,Ref!$B$3:$B$12,Ref!$C$3:$C$12,"",1)</f>
        <v>2</v>
      </c>
      <c r="M249" s="11">
        <f>_xlfn.XLOOKUP(H249,Ref!$B$3:$B$12,Ref!$C$3:$C$12,"",1)</f>
        <v>2</v>
      </c>
    </row>
    <row r="250" spans="2:13" x14ac:dyDescent="0.25">
      <c r="B250" s="15" t="s">
        <v>13</v>
      </c>
      <c r="C250" s="9">
        <v>36</v>
      </c>
      <c r="D250" s="9">
        <v>40.5</v>
      </c>
      <c r="E250" s="10">
        <v>44.5</v>
      </c>
      <c r="F250" s="9">
        <f t="shared" si="22"/>
        <v>11.459155902616464</v>
      </c>
      <c r="G250" s="9">
        <f t="shared" si="23"/>
        <v>12.891550390443523</v>
      </c>
      <c r="H250" s="10">
        <f t="shared" si="24"/>
        <v>14.164789935178685</v>
      </c>
      <c r="K250" s="11">
        <f>_xlfn.XLOOKUP(F250,Ref!$B$3:$B$12,Ref!$C$3:$C$12,"",1)</f>
        <v>1</v>
      </c>
      <c r="L250" s="11">
        <f>_xlfn.XLOOKUP(G250,Ref!$B$3:$B$12,Ref!$C$3:$C$12,"",1)</f>
        <v>1</v>
      </c>
      <c r="M250" s="11">
        <f>_xlfn.XLOOKUP(H250,Ref!$B$3:$B$12,Ref!$C$3:$C$12,"",1)</f>
        <v>1</v>
      </c>
    </row>
    <row r="251" spans="2:13" x14ac:dyDescent="0.25">
      <c r="B251" s="15" t="s">
        <v>33</v>
      </c>
      <c r="C251" s="9">
        <v>71.2</v>
      </c>
      <c r="D251" s="9">
        <v>74.3</v>
      </c>
      <c r="E251" s="10">
        <v>74.5</v>
      </c>
      <c r="F251" s="9">
        <f t="shared" si="22"/>
        <v>22.663663896285897</v>
      </c>
      <c r="G251" s="9">
        <f t="shared" si="23"/>
        <v>23.650424543455646</v>
      </c>
      <c r="H251" s="10">
        <f t="shared" si="24"/>
        <v>23.714086520692405</v>
      </c>
      <c r="K251" s="11">
        <f>_xlfn.XLOOKUP(F251,Ref!$B$3:$B$12,Ref!$C$3:$C$12,"",1)</f>
        <v>2</v>
      </c>
      <c r="L251" s="11">
        <f>_xlfn.XLOOKUP(G251,Ref!$B$3:$B$12,Ref!$C$3:$C$12,"",1)</f>
        <v>2</v>
      </c>
      <c r="M251" s="11">
        <f>_xlfn.XLOOKUP(H251,Ref!$B$3:$B$12,Ref!$C$3:$C$12,"",1)</f>
        <v>2</v>
      </c>
    </row>
    <row r="252" spans="2:13" x14ac:dyDescent="0.25">
      <c r="B252" s="15" t="s">
        <v>39</v>
      </c>
      <c r="C252" s="9">
        <v>116</v>
      </c>
      <c r="D252" s="9">
        <v>118.2</v>
      </c>
      <c r="E252" s="10">
        <v>119.2</v>
      </c>
      <c r="F252" s="9">
        <f t="shared" si="22"/>
        <v>36.923946797319722</v>
      </c>
      <c r="G252" s="9">
        <f t="shared" si="23"/>
        <v>37.624228546924058</v>
      </c>
      <c r="H252" s="10">
        <f t="shared" si="24"/>
        <v>37.942538433107849</v>
      </c>
      <c r="K252" s="11">
        <f>_xlfn.XLOOKUP(F252,Ref!$B$3:$B$12,Ref!$C$3:$C$12,"",1)</f>
        <v>3</v>
      </c>
      <c r="L252" s="11">
        <f>_xlfn.XLOOKUP(G252,Ref!$B$3:$B$12,Ref!$C$3:$C$12,"",1)</f>
        <v>3</v>
      </c>
      <c r="M252" s="11">
        <f>_xlfn.XLOOKUP(H252,Ref!$B$3:$B$12,Ref!$C$3:$C$12,"",1)</f>
        <v>3</v>
      </c>
    </row>
    <row r="253" spans="2:13" x14ac:dyDescent="0.25">
      <c r="B253" s="15" t="s">
        <v>29</v>
      </c>
      <c r="C253" s="9">
        <v>51</v>
      </c>
      <c r="D253" s="9">
        <v>51.7</v>
      </c>
      <c r="E253" s="10">
        <v>54</v>
      </c>
      <c r="F253" s="9">
        <f t="shared" ref="F253:F313" si="25">IF(C253="", "", C253/PI())</f>
        <v>16.233804195373324</v>
      </c>
      <c r="G253" s="9">
        <f t="shared" ref="G253:G313" si="26">IF(D253="", "", D253/PI())</f>
        <v>16.456621115701978</v>
      </c>
      <c r="H253" s="10">
        <f t="shared" ref="H253:H313" si="27">IF(E253="", "", E253/PI())</f>
        <v>17.188733853924695</v>
      </c>
      <c r="K253" s="11">
        <f>_xlfn.XLOOKUP(F253,Ref!$B$3:$B$12,Ref!$C$3:$C$12,"",1)</f>
        <v>1</v>
      </c>
      <c r="L253" s="11">
        <f>_xlfn.XLOOKUP(G253,Ref!$B$3:$B$12,Ref!$C$3:$C$12,"",1)</f>
        <v>1</v>
      </c>
      <c r="M253" s="11">
        <f>_xlfn.XLOOKUP(H253,Ref!$B$3:$B$12,Ref!$C$3:$C$12,"",1)</f>
        <v>1</v>
      </c>
    </row>
    <row r="254" spans="2:13" x14ac:dyDescent="0.25">
      <c r="B254" s="15" t="s">
        <v>26</v>
      </c>
      <c r="C254" s="9">
        <v>141.5</v>
      </c>
      <c r="D254" s="9">
        <v>148.69999999999999</v>
      </c>
      <c r="E254" s="10">
        <v>153.19999999999999</v>
      </c>
      <c r="F254" s="9">
        <f t="shared" si="25"/>
        <v>45.040848895006384</v>
      </c>
      <c r="G254" s="9">
        <f t="shared" si="26"/>
        <v>47.332680075529673</v>
      </c>
      <c r="H254" s="10">
        <f t="shared" si="27"/>
        <v>48.765074563356727</v>
      </c>
      <c r="K254" s="11">
        <f>_xlfn.XLOOKUP(F254,Ref!$B$3:$B$12,Ref!$C$3:$C$12,"",1)</f>
        <v>4</v>
      </c>
      <c r="L254" s="11">
        <f>_xlfn.XLOOKUP(G254,Ref!$B$3:$B$12,Ref!$C$3:$C$12,"",1)</f>
        <v>4</v>
      </c>
      <c r="M254" s="11">
        <f>_xlfn.XLOOKUP(H254,Ref!$B$3:$B$12,Ref!$C$3:$C$12,"",1)</f>
        <v>4</v>
      </c>
    </row>
    <row r="255" spans="2:13" x14ac:dyDescent="0.25">
      <c r="B255" s="15" t="s">
        <v>12</v>
      </c>
      <c r="C255" s="9">
        <v>44</v>
      </c>
      <c r="D255" s="9">
        <v>47.4</v>
      </c>
      <c r="E255" s="10">
        <v>49.3</v>
      </c>
      <c r="F255" s="9">
        <f t="shared" si="25"/>
        <v>14.00563499208679</v>
      </c>
      <c r="G255" s="9">
        <f t="shared" si="26"/>
        <v>15.087888605111678</v>
      </c>
      <c r="H255" s="10">
        <f t="shared" si="27"/>
        <v>15.692677388860879</v>
      </c>
      <c r="K255" s="11">
        <f>_xlfn.XLOOKUP(F255,Ref!$B$3:$B$12,Ref!$C$3:$C$12,"",1)</f>
        <v>1</v>
      </c>
      <c r="L255" s="11">
        <f>_xlfn.XLOOKUP(G255,Ref!$B$3:$B$12,Ref!$C$3:$C$12,"",1)</f>
        <v>1</v>
      </c>
      <c r="M255" s="11">
        <f>_xlfn.XLOOKUP(H255,Ref!$B$3:$B$12,Ref!$C$3:$C$12,"",1)</f>
        <v>1</v>
      </c>
    </row>
    <row r="256" spans="2:13" x14ac:dyDescent="0.25">
      <c r="B256" s="15" t="s">
        <v>6</v>
      </c>
      <c r="C256" s="9">
        <v>40.4</v>
      </c>
      <c r="D256" s="9">
        <v>40.4</v>
      </c>
      <c r="E256" s="10">
        <v>41.1</v>
      </c>
      <c r="F256" s="9">
        <f t="shared" si="25"/>
        <v>12.859719401825144</v>
      </c>
      <c r="G256" s="9">
        <f t="shared" si="26"/>
        <v>12.859719401825144</v>
      </c>
      <c r="H256" s="10">
        <f t="shared" si="27"/>
        <v>13.082536322153798</v>
      </c>
      <c r="K256" s="11">
        <f>_xlfn.XLOOKUP(F256,Ref!$B$3:$B$12,Ref!$C$3:$C$12,"",1)</f>
        <v>1</v>
      </c>
      <c r="L256" s="11">
        <f>_xlfn.XLOOKUP(G256,Ref!$B$3:$B$12,Ref!$C$3:$C$12,"",1)</f>
        <v>1</v>
      </c>
      <c r="M256" s="11">
        <f>_xlfn.XLOOKUP(H256,Ref!$B$3:$B$12,Ref!$C$3:$C$12,"",1)</f>
        <v>1</v>
      </c>
    </row>
    <row r="257" spans="2:13" x14ac:dyDescent="0.25">
      <c r="B257" s="15" t="s">
        <v>14</v>
      </c>
      <c r="C257" s="9">
        <v>124</v>
      </c>
      <c r="D257" s="9">
        <v>130</v>
      </c>
      <c r="E257" s="10">
        <v>130.4</v>
      </c>
      <c r="F257" s="9">
        <f t="shared" si="25"/>
        <v>39.470425886790046</v>
      </c>
      <c r="G257" s="9">
        <f t="shared" si="26"/>
        <v>41.38028520389279</v>
      </c>
      <c r="H257" s="10">
        <f t="shared" si="27"/>
        <v>41.507609158366307</v>
      </c>
      <c r="K257" s="11">
        <f>_xlfn.XLOOKUP(F257,Ref!$B$3:$B$12,Ref!$C$3:$C$12,"",1)</f>
        <v>3</v>
      </c>
      <c r="L257" s="11">
        <f>_xlfn.XLOOKUP(G257,Ref!$B$3:$B$12,Ref!$C$3:$C$12,"",1)</f>
        <v>4</v>
      </c>
      <c r="M257" s="11">
        <f>_xlfn.XLOOKUP(H257,Ref!$B$3:$B$12,Ref!$C$3:$C$12,"",1)</f>
        <v>4</v>
      </c>
    </row>
    <row r="258" spans="2:13" x14ac:dyDescent="0.25">
      <c r="B258" s="15" t="s">
        <v>34</v>
      </c>
      <c r="C258" s="9">
        <v>102.7</v>
      </c>
      <c r="D258" s="9">
        <v>103.1</v>
      </c>
      <c r="E258" s="10">
        <v>103.3</v>
      </c>
      <c r="F258" s="9">
        <f t="shared" si="25"/>
        <v>32.690425311075302</v>
      </c>
      <c r="G258" s="9">
        <f t="shared" si="26"/>
        <v>32.817749265548819</v>
      </c>
      <c r="H258" s="10">
        <f t="shared" si="27"/>
        <v>32.881411242785575</v>
      </c>
      <c r="K258" s="11">
        <f>_xlfn.XLOOKUP(F258,Ref!$B$3:$B$12,Ref!$C$3:$C$12,"",1)</f>
        <v>3</v>
      </c>
      <c r="L258" s="11">
        <f>_xlfn.XLOOKUP(G258,Ref!$B$3:$B$12,Ref!$C$3:$C$12,"",1)</f>
        <v>3</v>
      </c>
      <c r="M258" s="11">
        <f>_xlfn.XLOOKUP(H258,Ref!$B$3:$B$12,Ref!$C$3:$C$12,"",1)</f>
        <v>3</v>
      </c>
    </row>
    <row r="259" spans="2:13" x14ac:dyDescent="0.25">
      <c r="B259" s="15" t="s">
        <v>11</v>
      </c>
      <c r="C259" s="9">
        <v>49.4</v>
      </c>
      <c r="D259" s="9">
        <v>49.7</v>
      </c>
      <c r="E259" s="10">
        <v>50</v>
      </c>
      <c r="F259" s="9">
        <f t="shared" si="25"/>
        <v>15.724508377479259</v>
      </c>
      <c r="G259" s="9">
        <f t="shared" si="26"/>
        <v>15.820001343334399</v>
      </c>
      <c r="H259" s="10">
        <f t="shared" si="27"/>
        <v>15.915494309189533</v>
      </c>
      <c r="K259" s="11">
        <f>_xlfn.XLOOKUP(F259,Ref!$B$3:$B$12,Ref!$C$3:$C$12,"",1)</f>
        <v>1</v>
      </c>
      <c r="L259" s="11">
        <f>_xlfn.XLOOKUP(G259,Ref!$B$3:$B$12,Ref!$C$3:$C$12,"",1)</f>
        <v>1</v>
      </c>
      <c r="M259" s="11">
        <f>_xlfn.XLOOKUP(H259,Ref!$B$3:$B$12,Ref!$C$3:$C$12,"",1)</f>
        <v>1</v>
      </c>
    </row>
    <row r="260" spans="2:13" x14ac:dyDescent="0.25">
      <c r="B260" s="15" t="s">
        <v>12</v>
      </c>
      <c r="C260" s="9">
        <v>37</v>
      </c>
      <c r="D260" s="9">
        <v>41.2</v>
      </c>
      <c r="E260" s="10">
        <v>41.2</v>
      </c>
      <c r="F260" s="9">
        <f t="shared" si="25"/>
        <v>11.777465788800255</v>
      </c>
      <c r="G260" s="9">
        <f t="shared" si="26"/>
        <v>13.114367310772177</v>
      </c>
      <c r="H260" s="10">
        <f t="shared" si="27"/>
        <v>13.114367310772177</v>
      </c>
      <c r="K260" s="11">
        <f>_xlfn.XLOOKUP(F260,Ref!$B$3:$B$12,Ref!$C$3:$C$12,"",1)</f>
        <v>1</v>
      </c>
      <c r="L260" s="11">
        <f>_xlfn.XLOOKUP(G260,Ref!$B$3:$B$12,Ref!$C$3:$C$12,"",1)</f>
        <v>1</v>
      </c>
      <c r="M260" s="11">
        <f>_xlfn.XLOOKUP(H260,Ref!$B$3:$B$12,Ref!$C$3:$C$12,"",1)</f>
        <v>1</v>
      </c>
    </row>
    <row r="261" spans="2:13" x14ac:dyDescent="0.25">
      <c r="B261" s="15" t="s">
        <v>40</v>
      </c>
      <c r="C261" s="9">
        <v>32</v>
      </c>
      <c r="D261" s="9">
        <v>32</v>
      </c>
      <c r="E261" s="10">
        <v>32</v>
      </c>
      <c r="F261" s="9">
        <f t="shared" si="25"/>
        <v>10.185916357881302</v>
      </c>
      <c r="G261" s="9">
        <f t="shared" si="26"/>
        <v>10.185916357881302</v>
      </c>
      <c r="H261" s="10">
        <f t="shared" si="27"/>
        <v>10.185916357881302</v>
      </c>
      <c r="K261" s="11">
        <f>_xlfn.XLOOKUP(F261,Ref!$B$3:$B$12,Ref!$C$3:$C$12,"",1)</f>
        <v>1</v>
      </c>
      <c r="L261" s="11">
        <f>_xlfn.XLOOKUP(G261,Ref!$B$3:$B$12,Ref!$C$3:$C$12,"",1)</f>
        <v>1</v>
      </c>
      <c r="M261" s="11">
        <f>_xlfn.XLOOKUP(H261,Ref!$B$3:$B$12,Ref!$C$3:$C$12,"",1)</f>
        <v>1</v>
      </c>
    </row>
    <row r="262" spans="2:13" x14ac:dyDescent="0.25">
      <c r="B262" s="15" t="s">
        <v>12</v>
      </c>
      <c r="C262" s="9">
        <v>45.5</v>
      </c>
      <c r="D262" s="9">
        <v>47.5</v>
      </c>
      <c r="E262" s="10">
        <v>48.5</v>
      </c>
      <c r="F262" s="9">
        <f t="shared" si="25"/>
        <v>14.483099821362476</v>
      </c>
      <c r="G262" s="9">
        <f t="shared" si="26"/>
        <v>15.119719593730057</v>
      </c>
      <c r="H262" s="10">
        <f t="shared" si="27"/>
        <v>15.438029479913848</v>
      </c>
      <c r="K262" s="11">
        <f>_xlfn.XLOOKUP(F262,Ref!$B$3:$B$12,Ref!$C$3:$C$12,"",1)</f>
        <v>1</v>
      </c>
      <c r="L262" s="11">
        <f>_xlfn.XLOOKUP(G262,Ref!$B$3:$B$12,Ref!$C$3:$C$12,"",1)</f>
        <v>1</v>
      </c>
      <c r="M262" s="11">
        <f>_xlfn.XLOOKUP(H262,Ref!$B$3:$B$12,Ref!$C$3:$C$12,"",1)</f>
        <v>1</v>
      </c>
    </row>
    <row r="263" spans="2:13" x14ac:dyDescent="0.25">
      <c r="B263" s="15" t="s">
        <v>12</v>
      </c>
      <c r="C263" s="9">
        <v>56.4</v>
      </c>
      <c r="D263" s="9">
        <v>59</v>
      </c>
      <c r="E263" s="10">
        <v>59.8</v>
      </c>
      <c r="F263" s="9">
        <f t="shared" si="25"/>
        <v>17.952677580765794</v>
      </c>
      <c r="G263" s="9">
        <f t="shared" si="26"/>
        <v>18.780283284843652</v>
      </c>
      <c r="H263" s="10">
        <f t="shared" si="27"/>
        <v>19.034931193790683</v>
      </c>
      <c r="K263" s="11">
        <f>_xlfn.XLOOKUP(F263,Ref!$B$3:$B$12,Ref!$C$3:$C$12,"",1)</f>
        <v>1</v>
      </c>
      <c r="L263" s="11">
        <f>_xlfn.XLOOKUP(G263,Ref!$B$3:$B$12,Ref!$C$3:$C$12,"",1)</f>
        <v>1</v>
      </c>
      <c r="M263" s="11">
        <f>_xlfn.XLOOKUP(H263,Ref!$B$3:$B$12,Ref!$C$3:$C$12,"",1)</f>
        <v>1</v>
      </c>
    </row>
    <row r="264" spans="2:13" x14ac:dyDescent="0.25">
      <c r="B264" s="15" t="s">
        <v>6</v>
      </c>
      <c r="C264" s="9"/>
      <c r="D264" s="9"/>
      <c r="E264" s="10">
        <v>31.6</v>
      </c>
      <c r="F264" s="9" t="str">
        <f t="shared" si="25"/>
        <v/>
      </c>
      <c r="G264" s="9" t="str">
        <f t="shared" si="26"/>
        <v/>
      </c>
      <c r="H264" s="10">
        <f t="shared" si="27"/>
        <v>10.058592403407786</v>
      </c>
      <c r="K264" s="11" t="str">
        <f>_xlfn.XLOOKUP(F264,Ref!$B$3:$B$12,Ref!$C$3:$C$12,"",1)</f>
        <v/>
      </c>
      <c r="L264" s="11" t="str">
        <f>_xlfn.XLOOKUP(G264,Ref!$B$3:$B$12,Ref!$C$3:$C$12,"",1)</f>
        <v/>
      </c>
      <c r="M264" s="11">
        <f>_xlfn.XLOOKUP(H264,Ref!$B$3:$B$12,Ref!$C$3:$C$12,"",1)</f>
        <v>1</v>
      </c>
    </row>
    <row r="265" spans="2:13" x14ac:dyDescent="0.25">
      <c r="B265" s="15" t="s">
        <v>20</v>
      </c>
      <c r="C265" s="9">
        <v>45</v>
      </c>
      <c r="D265" s="9">
        <v>53.9</v>
      </c>
      <c r="E265" s="10">
        <v>62</v>
      </c>
      <c r="F265" s="9">
        <f t="shared" si="25"/>
        <v>14.323944878270581</v>
      </c>
      <c r="G265" s="9">
        <f t="shared" si="26"/>
        <v>17.156902865306318</v>
      </c>
      <c r="H265" s="10">
        <f t="shared" si="27"/>
        <v>19.735212943395023</v>
      </c>
      <c r="K265" s="11">
        <f>_xlfn.XLOOKUP(F265,Ref!$B$3:$B$12,Ref!$C$3:$C$12,"",1)</f>
        <v>1</v>
      </c>
      <c r="L265" s="11">
        <f>_xlfn.XLOOKUP(G265,Ref!$B$3:$B$12,Ref!$C$3:$C$12,"",1)</f>
        <v>1</v>
      </c>
      <c r="M265" s="11">
        <f>_xlfn.XLOOKUP(H265,Ref!$B$3:$B$12,Ref!$C$3:$C$12,"",1)</f>
        <v>1</v>
      </c>
    </row>
    <row r="266" spans="2:13" x14ac:dyDescent="0.25">
      <c r="B266" s="15" t="s">
        <v>24</v>
      </c>
      <c r="C266" s="9">
        <v>41.4</v>
      </c>
      <c r="D266" s="9">
        <v>44.7</v>
      </c>
      <c r="E266" s="10">
        <v>50.4</v>
      </c>
      <c r="F266" s="9">
        <f t="shared" si="25"/>
        <v>13.178029288008934</v>
      </c>
      <c r="G266" s="9">
        <f t="shared" si="26"/>
        <v>14.228451912415444</v>
      </c>
      <c r="H266" s="10">
        <f t="shared" si="27"/>
        <v>16.042818263663051</v>
      </c>
      <c r="K266" s="11">
        <f>_xlfn.XLOOKUP(F266,Ref!$B$3:$B$12,Ref!$C$3:$C$12,"",1)</f>
        <v>1</v>
      </c>
      <c r="L266" s="11">
        <f>_xlfn.XLOOKUP(G266,Ref!$B$3:$B$12,Ref!$C$3:$C$12,"",1)</f>
        <v>1</v>
      </c>
      <c r="M266" s="11">
        <f>_xlfn.XLOOKUP(H266,Ref!$B$3:$B$12,Ref!$C$3:$C$12,"",1)</f>
        <v>1</v>
      </c>
    </row>
    <row r="267" spans="2:13" x14ac:dyDescent="0.25">
      <c r="B267" s="15" t="s">
        <v>12</v>
      </c>
      <c r="C267" s="9">
        <v>34.9</v>
      </c>
      <c r="D267" s="9">
        <v>35</v>
      </c>
      <c r="E267" s="10">
        <v>35.6</v>
      </c>
      <c r="F267" s="9">
        <f t="shared" si="25"/>
        <v>11.109015027814294</v>
      </c>
      <c r="G267" s="9">
        <f t="shared" si="26"/>
        <v>11.140846016432674</v>
      </c>
      <c r="H267" s="10">
        <f t="shared" si="27"/>
        <v>11.331831948142948</v>
      </c>
      <c r="K267" s="11">
        <f>_xlfn.XLOOKUP(F267,Ref!$B$3:$B$12,Ref!$C$3:$C$12,"",1)</f>
        <v>1</v>
      </c>
      <c r="L267" s="11">
        <f>_xlfn.XLOOKUP(G267,Ref!$B$3:$B$12,Ref!$C$3:$C$12,"",1)</f>
        <v>1</v>
      </c>
      <c r="M267" s="11">
        <f>_xlfn.XLOOKUP(H267,Ref!$B$3:$B$12,Ref!$C$3:$C$12,"",1)</f>
        <v>1</v>
      </c>
    </row>
    <row r="268" spans="2:13" x14ac:dyDescent="0.25">
      <c r="B268" s="15" t="s">
        <v>28</v>
      </c>
      <c r="C268" s="9">
        <v>72.400000000000006</v>
      </c>
      <c r="D268" s="9">
        <v>74.400000000000006</v>
      </c>
      <c r="E268" s="10">
        <v>76.7</v>
      </c>
      <c r="F268" s="9">
        <f t="shared" si="25"/>
        <v>23.045635759706446</v>
      </c>
      <c r="G268" s="9">
        <f t="shared" si="26"/>
        <v>23.682255532074027</v>
      </c>
      <c r="H268" s="10">
        <f t="shared" si="27"/>
        <v>24.414368270296745</v>
      </c>
      <c r="K268" s="11">
        <f>_xlfn.XLOOKUP(F268,Ref!$B$3:$B$12,Ref!$C$3:$C$12,"",1)</f>
        <v>2</v>
      </c>
      <c r="L268" s="11">
        <f>_xlfn.XLOOKUP(G268,Ref!$B$3:$B$12,Ref!$C$3:$C$12,"",1)</f>
        <v>2</v>
      </c>
      <c r="M268" s="11">
        <f>_xlfn.XLOOKUP(H268,Ref!$B$3:$B$12,Ref!$C$3:$C$12,"",1)</f>
        <v>2</v>
      </c>
    </row>
    <row r="269" spans="2:13" x14ac:dyDescent="0.25">
      <c r="B269" s="15" t="s">
        <v>25</v>
      </c>
      <c r="C269" s="9">
        <v>65.400000000000006</v>
      </c>
      <c r="D269" s="9">
        <v>67</v>
      </c>
      <c r="E269" s="10">
        <v>66.5</v>
      </c>
      <c r="F269" s="9">
        <f t="shared" si="25"/>
        <v>20.817466556419912</v>
      </c>
      <c r="G269" s="9">
        <f t="shared" si="26"/>
        <v>21.326762374313976</v>
      </c>
      <c r="H269" s="10">
        <f t="shared" si="27"/>
        <v>21.167607431222081</v>
      </c>
      <c r="K269" s="11">
        <f>_xlfn.XLOOKUP(F269,Ref!$B$3:$B$12,Ref!$C$3:$C$12,"",1)</f>
        <v>2</v>
      </c>
      <c r="L269" s="11">
        <f>_xlfn.XLOOKUP(G269,Ref!$B$3:$B$12,Ref!$C$3:$C$12,"",1)</f>
        <v>2</v>
      </c>
      <c r="M269" s="11">
        <f>_xlfn.XLOOKUP(H269,Ref!$B$3:$B$12,Ref!$C$3:$C$12,"",1)</f>
        <v>2</v>
      </c>
    </row>
    <row r="270" spans="2:13" x14ac:dyDescent="0.25">
      <c r="B270" s="15" t="s">
        <v>30</v>
      </c>
      <c r="C270" s="9">
        <v>57.8</v>
      </c>
      <c r="D270" s="9">
        <v>62.7</v>
      </c>
      <c r="E270" s="10">
        <v>68.2</v>
      </c>
      <c r="F270" s="9">
        <f t="shared" si="25"/>
        <v>18.398311421423102</v>
      </c>
      <c r="G270" s="9">
        <f t="shared" si="26"/>
        <v>19.958029863723677</v>
      </c>
      <c r="H270" s="10">
        <f t="shared" si="27"/>
        <v>21.708734237734525</v>
      </c>
      <c r="K270" s="11">
        <f>_xlfn.XLOOKUP(F270,Ref!$B$3:$B$12,Ref!$C$3:$C$12,"",1)</f>
        <v>1</v>
      </c>
      <c r="L270" s="11">
        <f>_xlfn.XLOOKUP(G270,Ref!$B$3:$B$12,Ref!$C$3:$C$12,"",1)</f>
        <v>1</v>
      </c>
      <c r="M270" s="11">
        <f>_xlfn.XLOOKUP(H270,Ref!$B$3:$B$12,Ref!$C$3:$C$12,"",1)</f>
        <v>2</v>
      </c>
    </row>
    <row r="271" spans="2:13" x14ac:dyDescent="0.25">
      <c r="B271" s="15" t="s">
        <v>34</v>
      </c>
      <c r="C271" s="9">
        <v>76.7</v>
      </c>
      <c r="D271" s="9">
        <v>78.2</v>
      </c>
      <c r="E271" s="10">
        <v>77.900000000000006</v>
      </c>
      <c r="F271" s="9">
        <f t="shared" si="25"/>
        <v>24.414368270296745</v>
      </c>
      <c r="G271" s="9">
        <f t="shared" si="26"/>
        <v>24.891833099572434</v>
      </c>
      <c r="H271" s="10">
        <f t="shared" si="27"/>
        <v>24.796340133717298</v>
      </c>
      <c r="K271" s="11">
        <f>_xlfn.XLOOKUP(F271,Ref!$B$3:$B$12,Ref!$C$3:$C$12,"",1)</f>
        <v>2</v>
      </c>
      <c r="L271" s="11">
        <f>_xlfn.XLOOKUP(G271,Ref!$B$3:$B$12,Ref!$C$3:$C$12,"",1)</f>
        <v>2</v>
      </c>
      <c r="M271" s="11">
        <f>_xlfn.XLOOKUP(H271,Ref!$B$3:$B$12,Ref!$C$3:$C$12,"",1)</f>
        <v>2</v>
      </c>
    </row>
    <row r="272" spans="2:13" x14ac:dyDescent="0.25">
      <c r="B272" s="15" t="s">
        <v>10</v>
      </c>
      <c r="C272" s="9">
        <v>110.3</v>
      </c>
      <c r="D272" s="9">
        <v>115.7</v>
      </c>
      <c r="E272" s="10">
        <v>118.7</v>
      </c>
      <c r="F272" s="9">
        <f t="shared" si="25"/>
        <v>35.109580446072108</v>
      </c>
      <c r="G272" s="9">
        <f t="shared" si="26"/>
        <v>36.828453831464586</v>
      </c>
      <c r="H272" s="10">
        <f t="shared" si="27"/>
        <v>37.783383490015957</v>
      </c>
      <c r="K272" s="11">
        <f>_xlfn.XLOOKUP(F272,Ref!$B$3:$B$12,Ref!$C$3:$C$12,"",1)</f>
        <v>3</v>
      </c>
      <c r="L272" s="11">
        <f>_xlfn.XLOOKUP(G272,Ref!$B$3:$B$12,Ref!$C$3:$C$12,"",1)</f>
        <v>3</v>
      </c>
      <c r="M272" s="11">
        <f>_xlfn.XLOOKUP(H272,Ref!$B$3:$B$12,Ref!$C$3:$C$12,"",1)</f>
        <v>3</v>
      </c>
    </row>
    <row r="273" spans="2:13" x14ac:dyDescent="0.25">
      <c r="B273" s="15" t="s">
        <v>8</v>
      </c>
      <c r="C273" s="9">
        <v>35.5</v>
      </c>
      <c r="D273" s="9">
        <v>39.799999999999997</v>
      </c>
      <c r="E273" s="10">
        <v>41.8</v>
      </c>
      <c r="F273" s="9">
        <f t="shared" si="25"/>
        <v>11.300000959524569</v>
      </c>
      <c r="G273" s="9">
        <f t="shared" si="26"/>
        <v>12.668733470114868</v>
      </c>
      <c r="H273" s="10">
        <f t="shared" si="27"/>
        <v>13.30535324248245</v>
      </c>
      <c r="K273" s="11">
        <f>_xlfn.XLOOKUP(F273,Ref!$B$3:$B$12,Ref!$C$3:$C$12,"",1)</f>
        <v>1</v>
      </c>
      <c r="L273" s="11">
        <f>_xlfn.XLOOKUP(G273,Ref!$B$3:$B$12,Ref!$C$3:$C$12,"",1)</f>
        <v>1</v>
      </c>
      <c r="M273" s="11">
        <f>_xlfn.XLOOKUP(H273,Ref!$B$3:$B$12,Ref!$C$3:$C$12,"",1)</f>
        <v>1</v>
      </c>
    </row>
    <row r="274" spans="2:13" x14ac:dyDescent="0.25">
      <c r="B274" s="15" t="s">
        <v>10</v>
      </c>
      <c r="C274" s="9">
        <v>96.8</v>
      </c>
      <c r="D274" s="9">
        <v>101</v>
      </c>
      <c r="E274" s="10">
        <v>105.9</v>
      </c>
      <c r="F274" s="9">
        <f t="shared" si="25"/>
        <v>30.812396982590936</v>
      </c>
      <c r="G274" s="9">
        <f t="shared" si="26"/>
        <v>32.149298504562857</v>
      </c>
      <c r="H274" s="10">
        <f t="shared" si="27"/>
        <v>33.709016946863436</v>
      </c>
      <c r="K274" s="11">
        <f>_xlfn.XLOOKUP(F274,Ref!$B$3:$B$12,Ref!$C$3:$C$12,"",1)</f>
        <v>3</v>
      </c>
      <c r="L274" s="11">
        <f>_xlfn.XLOOKUP(G274,Ref!$B$3:$B$12,Ref!$C$3:$C$12,"",1)</f>
        <v>3</v>
      </c>
      <c r="M274" s="11">
        <f>_xlfn.XLOOKUP(H274,Ref!$B$3:$B$12,Ref!$C$3:$C$12,"",1)</f>
        <v>3</v>
      </c>
    </row>
    <row r="275" spans="2:13" x14ac:dyDescent="0.25">
      <c r="B275" s="15" t="s">
        <v>33</v>
      </c>
      <c r="C275" s="9">
        <v>74.099999999999994</v>
      </c>
      <c r="D275" s="9">
        <v>74.099999999999994</v>
      </c>
      <c r="E275" s="10">
        <v>74.599999999999994</v>
      </c>
      <c r="F275" s="9">
        <f t="shared" si="25"/>
        <v>23.586762566218887</v>
      </c>
      <c r="G275" s="9">
        <f t="shared" si="26"/>
        <v>23.586762566218887</v>
      </c>
      <c r="H275" s="10">
        <f t="shared" si="27"/>
        <v>23.745917509310782</v>
      </c>
      <c r="K275" s="11">
        <f>_xlfn.XLOOKUP(F275,Ref!$B$3:$B$12,Ref!$C$3:$C$12,"",1)</f>
        <v>2</v>
      </c>
      <c r="L275" s="11">
        <f>_xlfn.XLOOKUP(G275,Ref!$B$3:$B$12,Ref!$C$3:$C$12,"",1)</f>
        <v>2</v>
      </c>
      <c r="M275" s="11">
        <f>_xlfn.XLOOKUP(H275,Ref!$B$3:$B$12,Ref!$C$3:$C$12,"",1)</f>
        <v>2</v>
      </c>
    </row>
    <row r="276" spans="2:13" x14ac:dyDescent="0.25">
      <c r="B276" s="15" t="s">
        <v>28</v>
      </c>
      <c r="C276" s="9">
        <v>79.2</v>
      </c>
      <c r="D276" s="9">
        <v>79.2</v>
      </c>
      <c r="E276" s="10">
        <v>80</v>
      </c>
      <c r="F276" s="9">
        <f t="shared" si="25"/>
        <v>25.210142985756224</v>
      </c>
      <c r="G276" s="9">
        <f t="shared" si="26"/>
        <v>25.210142985756224</v>
      </c>
      <c r="H276" s="10">
        <f t="shared" si="27"/>
        <v>25.464790894703256</v>
      </c>
      <c r="K276" s="11">
        <f>_xlfn.XLOOKUP(F276,Ref!$B$3:$B$12,Ref!$C$3:$C$12,"",1)</f>
        <v>2</v>
      </c>
      <c r="L276" s="11">
        <f>_xlfn.XLOOKUP(G276,Ref!$B$3:$B$12,Ref!$C$3:$C$12,"",1)</f>
        <v>2</v>
      </c>
      <c r="M276" s="11">
        <f>_xlfn.XLOOKUP(H276,Ref!$B$3:$B$12,Ref!$C$3:$C$12,"",1)</f>
        <v>2</v>
      </c>
    </row>
    <row r="277" spans="2:13" x14ac:dyDescent="0.25">
      <c r="B277" s="15" t="s">
        <v>6</v>
      </c>
      <c r="C277" s="9">
        <v>36.799999999999997</v>
      </c>
      <c r="D277" s="9">
        <v>36.799999999999997</v>
      </c>
      <c r="E277" s="10">
        <v>36.799999999999997</v>
      </c>
      <c r="F277" s="9">
        <f t="shared" si="25"/>
        <v>11.713803811563496</v>
      </c>
      <c r="G277" s="9">
        <f t="shared" si="26"/>
        <v>11.713803811563496</v>
      </c>
      <c r="H277" s="10">
        <f t="shared" si="27"/>
        <v>11.713803811563496</v>
      </c>
      <c r="K277" s="11">
        <f>_xlfn.XLOOKUP(F277,Ref!$B$3:$B$12,Ref!$C$3:$C$12,"",1)</f>
        <v>1</v>
      </c>
      <c r="L277" s="11">
        <f>_xlfn.XLOOKUP(G277,Ref!$B$3:$B$12,Ref!$C$3:$C$12,"",1)</f>
        <v>1</v>
      </c>
      <c r="M277" s="11">
        <f>_xlfn.XLOOKUP(H277,Ref!$B$3:$B$12,Ref!$C$3:$C$12,"",1)</f>
        <v>1</v>
      </c>
    </row>
    <row r="278" spans="2:13" x14ac:dyDescent="0.25">
      <c r="B278" s="15" t="s">
        <v>6</v>
      </c>
      <c r="C278" s="9">
        <v>32.9</v>
      </c>
      <c r="D278" s="9">
        <v>33.4</v>
      </c>
      <c r="E278" s="10">
        <v>33.9</v>
      </c>
      <c r="F278" s="9">
        <f t="shared" si="25"/>
        <v>10.472395255446713</v>
      </c>
      <c r="G278" s="9">
        <f t="shared" si="26"/>
        <v>10.631550198538608</v>
      </c>
      <c r="H278" s="10">
        <f t="shared" si="27"/>
        <v>10.790705141630504</v>
      </c>
      <c r="K278" s="11">
        <f>_xlfn.XLOOKUP(F278,Ref!$B$3:$B$12,Ref!$C$3:$C$12,"",1)</f>
        <v>1</v>
      </c>
      <c r="L278" s="11">
        <f>_xlfn.XLOOKUP(G278,Ref!$B$3:$B$12,Ref!$C$3:$C$12,"",1)</f>
        <v>1</v>
      </c>
      <c r="M278" s="11">
        <f>_xlfn.XLOOKUP(H278,Ref!$B$3:$B$12,Ref!$C$3:$C$12,"",1)</f>
        <v>1</v>
      </c>
    </row>
    <row r="279" spans="2:13" x14ac:dyDescent="0.25">
      <c r="B279" s="15" t="s">
        <v>7</v>
      </c>
      <c r="C279" s="9">
        <v>80.8</v>
      </c>
      <c r="D279" s="9">
        <v>86.8</v>
      </c>
      <c r="E279" s="10">
        <v>91.6</v>
      </c>
      <c r="F279" s="9">
        <f t="shared" si="25"/>
        <v>25.719438803650288</v>
      </c>
      <c r="G279" s="9">
        <f t="shared" si="26"/>
        <v>27.629298120753031</v>
      </c>
      <c r="H279" s="10">
        <f t="shared" si="27"/>
        <v>29.157185574435225</v>
      </c>
      <c r="K279" s="11">
        <f>_xlfn.XLOOKUP(F279,Ref!$B$3:$B$12,Ref!$C$3:$C$12,"",1)</f>
        <v>2</v>
      </c>
      <c r="L279" s="11">
        <f>_xlfn.XLOOKUP(G279,Ref!$B$3:$B$12,Ref!$C$3:$C$12,"",1)</f>
        <v>2</v>
      </c>
      <c r="M279" s="11">
        <f>_xlfn.XLOOKUP(H279,Ref!$B$3:$B$12,Ref!$C$3:$C$12,"",1)</f>
        <v>2</v>
      </c>
    </row>
    <row r="280" spans="2:13" x14ac:dyDescent="0.25">
      <c r="B280" s="15" t="s">
        <v>43</v>
      </c>
      <c r="C280" s="9">
        <v>58.6</v>
      </c>
      <c r="D280" s="9">
        <v>62</v>
      </c>
      <c r="E280" s="10">
        <v>62.7</v>
      </c>
      <c r="F280" s="9">
        <f t="shared" si="25"/>
        <v>18.652959330370134</v>
      </c>
      <c r="G280" s="9">
        <f t="shared" si="26"/>
        <v>19.735212943395023</v>
      </c>
      <c r="H280" s="10">
        <f t="shared" si="27"/>
        <v>19.958029863723677</v>
      </c>
      <c r="K280" s="11">
        <f>_xlfn.XLOOKUP(F280,Ref!$B$3:$B$12,Ref!$C$3:$C$12,"",1)</f>
        <v>1</v>
      </c>
      <c r="L280" s="11">
        <f>_xlfn.XLOOKUP(G280,Ref!$B$3:$B$12,Ref!$C$3:$C$12,"",1)</f>
        <v>1</v>
      </c>
      <c r="M280" s="11">
        <f>_xlfn.XLOOKUP(H280,Ref!$B$3:$B$12,Ref!$C$3:$C$12,"",1)</f>
        <v>1</v>
      </c>
    </row>
    <row r="281" spans="2:13" x14ac:dyDescent="0.25">
      <c r="B281" s="15" t="s">
        <v>43</v>
      </c>
      <c r="C281" s="9">
        <v>53</v>
      </c>
      <c r="D281" s="9">
        <v>55.8</v>
      </c>
      <c r="E281" s="10">
        <v>56.7</v>
      </c>
      <c r="F281" s="9">
        <f t="shared" si="25"/>
        <v>16.870423967740905</v>
      </c>
      <c r="G281" s="9">
        <f t="shared" si="26"/>
        <v>17.761691649055518</v>
      </c>
      <c r="H281" s="10">
        <f t="shared" si="27"/>
        <v>18.048170546620934</v>
      </c>
      <c r="K281" s="11">
        <f>_xlfn.XLOOKUP(F281,Ref!$B$3:$B$12,Ref!$C$3:$C$12,"",1)</f>
        <v>1</v>
      </c>
      <c r="L281" s="11">
        <f>_xlfn.XLOOKUP(G281,Ref!$B$3:$B$12,Ref!$C$3:$C$12,"",1)</f>
        <v>1</v>
      </c>
      <c r="M281" s="11">
        <f>_xlfn.XLOOKUP(H281,Ref!$B$3:$B$12,Ref!$C$3:$C$12,"",1)</f>
        <v>1</v>
      </c>
    </row>
    <row r="282" spans="2:13" x14ac:dyDescent="0.25">
      <c r="B282" s="15" t="s">
        <v>43</v>
      </c>
      <c r="C282" s="9">
        <v>52.9</v>
      </c>
      <c r="D282" s="9">
        <v>54.2</v>
      </c>
      <c r="E282" s="10">
        <v>55.4</v>
      </c>
      <c r="F282" s="9">
        <f t="shared" si="25"/>
        <v>16.838592979122527</v>
      </c>
      <c r="G282" s="9">
        <f t="shared" si="26"/>
        <v>17.252395831161454</v>
      </c>
      <c r="H282" s="10">
        <f t="shared" si="27"/>
        <v>17.634367694582004</v>
      </c>
      <c r="K282" s="11">
        <f>_xlfn.XLOOKUP(F282,Ref!$B$3:$B$12,Ref!$C$3:$C$12,"",1)</f>
        <v>1</v>
      </c>
      <c r="L282" s="11">
        <f>_xlfn.XLOOKUP(G282,Ref!$B$3:$B$12,Ref!$C$3:$C$12,"",1)</f>
        <v>1</v>
      </c>
      <c r="M282" s="11">
        <f>_xlfn.XLOOKUP(H282,Ref!$B$3:$B$12,Ref!$C$3:$C$12,"",1)</f>
        <v>1</v>
      </c>
    </row>
    <row r="283" spans="2:13" x14ac:dyDescent="0.25">
      <c r="B283" s="15" t="s">
        <v>43</v>
      </c>
      <c r="C283" s="9">
        <v>47</v>
      </c>
      <c r="D283" s="9">
        <v>47</v>
      </c>
      <c r="E283" s="10">
        <v>49</v>
      </c>
      <c r="F283" s="9">
        <f t="shared" si="25"/>
        <v>14.960564650638162</v>
      </c>
      <c r="G283" s="9">
        <f t="shared" si="26"/>
        <v>14.960564650638162</v>
      </c>
      <c r="H283" s="10">
        <f t="shared" si="27"/>
        <v>15.597184423005743</v>
      </c>
      <c r="K283" s="11">
        <f>_xlfn.XLOOKUP(F283,Ref!$B$3:$B$12,Ref!$C$3:$C$12,"",1)</f>
        <v>1</v>
      </c>
      <c r="L283" s="11">
        <f>_xlfn.XLOOKUP(G283,Ref!$B$3:$B$12,Ref!$C$3:$C$12,"",1)</f>
        <v>1</v>
      </c>
      <c r="M283" s="11">
        <f>_xlfn.XLOOKUP(H283,Ref!$B$3:$B$12,Ref!$C$3:$C$12,"",1)</f>
        <v>1</v>
      </c>
    </row>
    <row r="284" spans="2:13" x14ac:dyDescent="0.25">
      <c r="B284" s="15" t="s">
        <v>43</v>
      </c>
      <c r="C284" s="9">
        <v>40</v>
      </c>
      <c r="D284" s="9">
        <v>46.2</v>
      </c>
      <c r="E284" s="10">
        <v>47.5</v>
      </c>
      <c r="F284" s="9">
        <f t="shared" si="25"/>
        <v>12.732395447351628</v>
      </c>
      <c r="G284" s="9">
        <f t="shared" si="26"/>
        <v>14.70591674169113</v>
      </c>
      <c r="H284" s="10">
        <f t="shared" si="27"/>
        <v>15.119719593730057</v>
      </c>
      <c r="K284" s="11">
        <f>_xlfn.XLOOKUP(F284,Ref!$B$3:$B$12,Ref!$C$3:$C$12,"",1)</f>
        <v>1</v>
      </c>
      <c r="L284" s="11">
        <f>_xlfn.XLOOKUP(G284,Ref!$B$3:$B$12,Ref!$C$3:$C$12,"",1)</f>
        <v>1</v>
      </c>
      <c r="M284" s="11">
        <f>_xlfn.XLOOKUP(H284,Ref!$B$3:$B$12,Ref!$C$3:$C$12,"",1)</f>
        <v>1</v>
      </c>
    </row>
    <row r="285" spans="2:13" x14ac:dyDescent="0.25">
      <c r="B285" s="15" t="s">
        <v>10</v>
      </c>
      <c r="C285" s="9">
        <v>35.4</v>
      </c>
      <c r="D285" s="9">
        <v>47</v>
      </c>
      <c r="E285" s="10">
        <v>45.5</v>
      </c>
      <c r="F285" s="9">
        <f t="shared" si="25"/>
        <v>11.26816997090619</v>
      </c>
      <c r="G285" s="9">
        <f t="shared" si="26"/>
        <v>14.960564650638162</v>
      </c>
      <c r="H285" s="10">
        <f t="shared" si="27"/>
        <v>14.483099821362476</v>
      </c>
      <c r="K285" s="11">
        <f>_xlfn.XLOOKUP(F285,Ref!$B$3:$B$12,Ref!$C$3:$C$12,"",1)</f>
        <v>1</v>
      </c>
      <c r="L285" s="11">
        <f>_xlfn.XLOOKUP(G285,Ref!$B$3:$B$12,Ref!$C$3:$C$12,"",1)</f>
        <v>1</v>
      </c>
      <c r="M285" s="11">
        <f>_xlfn.XLOOKUP(H285,Ref!$B$3:$B$12,Ref!$C$3:$C$12,"",1)</f>
        <v>1</v>
      </c>
    </row>
    <row r="286" spans="2:13" x14ac:dyDescent="0.25">
      <c r="B286" s="15" t="s">
        <v>7</v>
      </c>
      <c r="C286" s="9">
        <v>58.5</v>
      </c>
      <c r="D286" s="9">
        <v>58.9</v>
      </c>
      <c r="E286" s="10">
        <v>0</v>
      </c>
      <c r="F286" s="9">
        <f t="shared" si="25"/>
        <v>18.621128341751756</v>
      </c>
      <c r="G286" s="9">
        <f t="shared" si="26"/>
        <v>18.74845229622527</v>
      </c>
      <c r="H286" s="10">
        <f t="shared" si="27"/>
        <v>0</v>
      </c>
      <c r="K286" s="11">
        <f>_xlfn.XLOOKUP(F286,Ref!$B$3:$B$12,Ref!$C$3:$C$12,"",1)</f>
        <v>1</v>
      </c>
      <c r="L286" s="11">
        <f>_xlfn.XLOOKUP(G286,Ref!$B$3:$B$12,Ref!$C$3:$C$12,"",1)</f>
        <v>1</v>
      </c>
      <c r="M286" s="11" t="str">
        <f>_xlfn.XLOOKUP(H286,Ref!$B$3:$B$12,Ref!$C$3:$C$12,"",1)</f>
        <v>Morta</v>
      </c>
    </row>
    <row r="287" spans="2:13" x14ac:dyDescent="0.25">
      <c r="B287" s="15" t="s">
        <v>7</v>
      </c>
      <c r="C287" s="9">
        <v>46.3</v>
      </c>
      <c r="D287" s="9">
        <v>0</v>
      </c>
      <c r="E287" s="10">
        <v>0</v>
      </c>
      <c r="F287" s="9">
        <f t="shared" si="25"/>
        <v>14.737747730309508</v>
      </c>
      <c r="G287" s="9">
        <f t="shared" si="26"/>
        <v>0</v>
      </c>
      <c r="H287" s="10">
        <f t="shared" si="27"/>
        <v>0</v>
      </c>
      <c r="K287" s="11">
        <f>_xlfn.XLOOKUP(F287,Ref!$B$3:$B$12,Ref!$C$3:$C$12,"",1)</f>
        <v>1</v>
      </c>
      <c r="L287" s="11" t="str">
        <f>_xlfn.XLOOKUP(G287,Ref!$B$3:$B$12,Ref!$C$3:$C$12,"",1)</f>
        <v>Morta</v>
      </c>
      <c r="M287" s="11" t="str">
        <f>_xlfn.XLOOKUP(H287,Ref!$B$3:$B$12,Ref!$C$3:$C$12,"",1)</f>
        <v>Morta</v>
      </c>
    </row>
    <row r="288" spans="2:13" x14ac:dyDescent="0.25">
      <c r="B288" s="15" t="s">
        <v>11</v>
      </c>
      <c r="C288" s="9">
        <v>32.6</v>
      </c>
      <c r="D288" s="9">
        <v>33</v>
      </c>
      <c r="E288" s="10">
        <v>0</v>
      </c>
      <c r="F288" s="9">
        <f t="shared" si="25"/>
        <v>10.376902289591577</v>
      </c>
      <c r="G288" s="9">
        <f t="shared" si="26"/>
        <v>10.504226244065093</v>
      </c>
      <c r="H288" s="10">
        <f t="shared" si="27"/>
        <v>0</v>
      </c>
      <c r="K288" s="11">
        <f>_xlfn.XLOOKUP(F288,Ref!$B$3:$B$12,Ref!$C$3:$C$12,"",1)</f>
        <v>1</v>
      </c>
      <c r="L288" s="11">
        <f>_xlfn.XLOOKUP(G288,Ref!$B$3:$B$12,Ref!$C$3:$C$12,"",1)</f>
        <v>1</v>
      </c>
      <c r="M288" s="11" t="str">
        <f>_xlfn.XLOOKUP(H288,Ref!$B$3:$B$12,Ref!$C$3:$C$12,"",1)</f>
        <v>Morta</v>
      </c>
    </row>
    <row r="289" spans="2:13" x14ac:dyDescent="0.25">
      <c r="B289" s="15" t="s">
        <v>7</v>
      </c>
      <c r="C289" s="9">
        <v>95.1</v>
      </c>
      <c r="D289" s="9">
        <v>98.6</v>
      </c>
      <c r="E289" s="10">
        <v>105.2</v>
      </c>
      <c r="F289" s="9">
        <f t="shared" si="25"/>
        <v>30.271270176078492</v>
      </c>
      <c r="G289" s="9">
        <f t="shared" si="26"/>
        <v>31.385354777721759</v>
      </c>
      <c r="H289" s="10">
        <f t="shared" si="27"/>
        <v>33.486200026534782</v>
      </c>
      <c r="K289" s="11">
        <f>_xlfn.XLOOKUP(F289,Ref!$B$3:$B$12,Ref!$C$3:$C$12,"",1)</f>
        <v>3</v>
      </c>
      <c r="L289" s="11">
        <f>_xlfn.XLOOKUP(G289,Ref!$B$3:$B$12,Ref!$C$3:$C$12,"",1)</f>
        <v>3</v>
      </c>
      <c r="M289" s="11">
        <f>_xlfn.XLOOKUP(H289,Ref!$B$3:$B$12,Ref!$C$3:$C$12,"",1)</f>
        <v>3</v>
      </c>
    </row>
    <row r="290" spans="2:13" x14ac:dyDescent="0.25">
      <c r="B290" s="15" t="s">
        <v>7</v>
      </c>
      <c r="C290" s="9">
        <v>104</v>
      </c>
      <c r="D290" s="9">
        <v>114</v>
      </c>
      <c r="E290" s="10">
        <v>126.8</v>
      </c>
      <c r="F290" s="9">
        <f t="shared" si="25"/>
        <v>33.104228163114229</v>
      </c>
      <c r="G290" s="9">
        <f t="shared" si="26"/>
        <v>36.287327024952141</v>
      </c>
      <c r="H290" s="10">
        <f t="shared" si="27"/>
        <v>40.361693568104656</v>
      </c>
      <c r="K290" s="11">
        <f>_xlfn.XLOOKUP(F290,Ref!$B$3:$B$12,Ref!$C$3:$C$12,"",1)</f>
        <v>3</v>
      </c>
      <c r="L290" s="11">
        <f>_xlfn.XLOOKUP(G290,Ref!$B$3:$B$12,Ref!$C$3:$C$12,"",1)</f>
        <v>3</v>
      </c>
      <c r="M290" s="11">
        <f>_xlfn.XLOOKUP(H290,Ref!$B$3:$B$12,Ref!$C$3:$C$12,"",1)</f>
        <v>4</v>
      </c>
    </row>
    <row r="291" spans="2:13" x14ac:dyDescent="0.25">
      <c r="B291" s="15" t="s">
        <v>7</v>
      </c>
      <c r="C291" s="9">
        <v>70.8</v>
      </c>
      <c r="D291" s="9">
        <v>77.2</v>
      </c>
      <c r="E291" s="10">
        <v>81.900000000000006</v>
      </c>
      <c r="F291" s="9">
        <f t="shared" si="25"/>
        <v>22.536339941812379</v>
      </c>
      <c r="G291" s="9">
        <f t="shared" si="26"/>
        <v>24.573523213388643</v>
      </c>
      <c r="H291" s="10">
        <f t="shared" si="27"/>
        <v>26.06957967845246</v>
      </c>
      <c r="K291" s="11">
        <f>_xlfn.XLOOKUP(F291,Ref!$B$3:$B$12,Ref!$C$3:$C$12,"",1)</f>
        <v>2</v>
      </c>
      <c r="L291" s="11">
        <f>_xlfn.XLOOKUP(G291,Ref!$B$3:$B$12,Ref!$C$3:$C$12,"",1)</f>
        <v>2</v>
      </c>
      <c r="M291" s="11">
        <f>_xlfn.XLOOKUP(H291,Ref!$B$3:$B$12,Ref!$C$3:$C$12,"",1)</f>
        <v>2</v>
      </c>
    </row>
    <row r="292" spans="2:13" x14ac:dyDescent="0.25">
      <c r="B292" s="15" t="s">
        <v>8</v>
      </c>
      <c r="C292" s="9">
        <v>59.9</v>
      </c>
      <c r="D292" s="9">
        <v>65.8</v>
      </c>
      <c r="E292" s="10">
        <v>71.400000000000006</v>
      </c>
      <c r="F292" s="9">
        <f t="shared" si="25"/>
        <v>19.066762182409061</v>
      </c>
      <c r="G292" s="9">
        <f t="shared" si="26"/>
        <v>20.944790510893426</v>
      </c>
      <c r="H292" s="10">
        <f t="shared" si="27"/>
        <v>22.727325873522656</v>
      </c>
      <c r="K292" s="11">
        <f>_xlfn.XLOOKUP(F292,Ref!$B$3:$B$12,Ref!$C$3:$C$12,"",1)</f>
        <v>1</v>
      </c>
      <c r="L292" s="11">
        <f>_xlfn.XLOOKUP(G292,Ref!$B$3:$B$12,Ref!$C$3:$C$12,"",1)</f>
        <v>2</v>
      </c>
      <c r="M292" s="11">
        <f>_xlfn.XLOOKUP(H292,Ref!$B$3:$B$12,Ref!$C$3:$C$12,"",1)</f>
        <v>2</v>
      </c>
    </row>
    <row r="293" spans="2:13" x14ac:dyDescent="0.25">
      <c r="B293" s="15" t="s">
        <v>7</v>
      </c>
      <c r="C293" s="9">
        <v>66.099999999999994</v>
      </c>
      <c r="D293" s="9">
        <v>75.900000000000006</v>
      </c>
      <c r="E293" s="10">
        <v>82.2</v>
      </c>
      <c r="F293" s="9">
        <f t="shared" si="25"/>
        <v>21.040283476748563</v>
      </c>
      <c r="G293" s="9">
        <f t="shared" si="26"/>
        <v>24.159720361349716</v>
      </c>
      <c r="H293" s="10">
        <f t="shared" si="27"/>
        <v>26.165072644307596</v>
      </c>
      <c r="K293" s="11">
        <f>_xlfn.XLOOKUP(F293,Ref!$B$3:$B$12,Ref!$C$3:$C$12,"",1)</f>
        <v>2</v>
      </c>
      <c r="L293" s="11">
        <f>_xlfn.XLOOKUP(G293,Ref!$B$3:$B$12,Ref!$C$3:$C$12,"",1)</f>
        <v>2</v>
      </c>
      <c r="M293" s="11">
        <f>_xlfn.XLOOKUP(H293,Ref!$B$3:$B$12,Ref!$C$3:$C$12,"",1)</f>
        <v>2</v>
      </c>
    </row>
    <row r="294" spans="2:13" x14ac:dyDescent="0.25">
      <c r="B294" s="15" t="s">
        <v>5</v>
      </c>
      <c r="C294" s="9">
        <v>36.5</v>
      </c>
      <c r="D294" s="9">
        <v>37.5</v>
      </c>
      <c r="E294" s="10">
        <v>38.799999999999997</v>
      </c>
      <c r="F294" s="9">
        <f t="shared" si="25"/>
        <v>11.618310845708359</v>
      </c>
      <c r="G294" s="9">
        <f t="shared" si="26"/>
        <v>11.93662073189215</v>
      </c>
      <c r="H294" s="10">
        <f t="shared" si="27"/>
        <v>12.350423583931077</v>
      </c>
      <c r="K294" s="11">
        <f>_xlfn.XLOOKUP(F294,Ref!$B$3:$B$12,Ref!$C$3:$C$12,"",1)</f>
        <v>1</v>
      </c>
      <c r="L294" s="11">
        <f>_xlfn.XLOOKUP(G294,Ref!$B$3:$B$12,Ref!$C$3:$C$12,"",1)</f>
        <v>1</v>
      </c>
      <c r="M294" s="11">
        <f>_xlfn.XLOOKUP(H294,Ref!$B$3:$B$12,Ref!$C$3:$C$12,"",1)</f>
        <v>1</v>
      </c>
    </row>
    <row r="295" spans="2:13" x14ac:dyDescent="0.25">
      <c r="B295" s="15" t="s">
        <v>39</v>
      </c>
      <c r="C295" s="9"/>
      <c r="D295" s="9">
        <v>32.9</v>
      </c>
      <c r="E295" s="10">
        <v>39.700000000000003</v>
      </c>
      <c r="F295" s="9" t="str">
        <f t="shared" si="25"/>
        <v/>
      </c>
      <c r="G295" s="9">
        <f t="shared" si="26"/>
        <v>10.472395255446713</v>
      </c>
      <c r="H295" s="10">
        <f t="shared" si="27"/>
        <v>12.636902481496492</v>
      </c>
      <c r="K295" s="11" t="str">
        <f>_xlfn.XLOOKUP(F295,Ref!$B$3:$B$12,Ref!$C$3:$C$12,"",1)</f>
        <v/>
      </c>
      <c r="L295" s="11">
        <f>_xlfn.XLOOKUP(G295,Ref!$B$3:$B$12,Ref!$C$3:$C$12,"",1)</f>
        <v>1</v>
      </c>
      <c r="M295" s="11">
        <f>_xlfn.XLOOKUP(H295,Ref!$B$3:$B$12,Ref!$C$3:$C$12,"",1)</f>
        <v>1</v>
      </c>
    </row>
    <row r="296" spans="2:13" x14ac:dyDescent="0.25">
      <c r="B296" s="15" t="s">
        <v>44</v>
      </c>
      <c r="C296" s="9"/>
      <c r="D296" s="9">
        <v>31.7</v>
      </c>
      <c r="E296" s="10">
        <v>31.7</v>
      </c>
      <c r="F296" s="9" t="str">
        <f t="shared" si="25"/>
        <v/>
      </c>
      <c r="G296" s="9">
        <f t="shared" si="26"/>
        <v>10.090423392026164</v>
      </c>
      <c r="H296" s="10">
        <f t="shared" si="27"/>
        <v>10.090423392026164</v>
      </c>
      <c r="K296" s="11" t="str">
        <f>_xlfn.XLOOKUP(F296,Ref!$B$3:$B$12,Ref!$C$3:$C$12,"",1)</f>
        <v/>
      </c>
      <c r="L296" s="11">
        <f>_xlfn.XLOOKUP(G296,Ref!$B$3:$B$12,Ref!$C$3:$C$12,"",1)</f>
        <v>1</v>
      </c>
      <c r="M296" s="11">
        <f>_xlfn.XLOOKUP(H296,Ref!$B$3:$B$12,Ref!$C$3:$C$12,"",1)</f>
        <v>1</v>
      </c>
    </row>
    <row r="297" spans="2:13" x14ac:dyDescent="0.25">
      <c r="B297" s="15" t="s">
        <v>45</v>
      </c>
      <c r="C297" s="9"/>
      <c r="D297" s="9">
        <v>32</v>
      </c>
      <c r="E297" s="10">
        <v>33</v>
      </c>
      <c r="F297" s="9" t="str">
        <f t="shared" si="25"/>
        <v/>
      </c>
      <c r="G297" s="9">
        <f t="shared" si="26"/>
        <v>10.185916357881302</v>
      </c>
      <c r="H297" s="10">
        <f t="shared" si="27"/>
        <v>10.504226244065093</v>
      </c>
      <c r="K297" s="11" t="str">
        <f>_xlfn.XLOOKUP(F297,Ref!$B$3:$B$12,Ref!$C$3:$C$12,"",1)</f>
        <v/>
      </c>
      <c r="L297" s="11">
        <f>_xlfn.XLOOKUP(G297,Ref!$B$3:$B$12,Ref!$C$3:$C$12,"",1)</f>
        <v>1</v>
      </c>
      <c r="M297" s="11">
        <f>_xlfn.XLOOKUP(H297,Ref!$B$3:$B$12,Ref!$C$3:$C$12,"",1)</f>
        <v>1</v>
      </c>
    </row>
    <row r="298" spans="2:13" x14ac:dyDescent="0.25">
      <c r="B298" s="15" t="s">
        <v>30</v>
      </c>
      <c r="C298" s="9"/>
      <c r="D298" s="9"/>
      <c r="E298" s="10">
        <v>33.9</v>
      </c>
      <c r="F298" s="9" t="str">
        <f t="shared" si="25"/>
        <v/>
      </c>
      <c r="G298" s="9" t="str">
        <f t="shared" si="26"/>
        <v/>
      </c>
      <c r="H298" s="10">
        <f t="shared" si="27"/>
        <v>10.790705141630504</v>
      </c>
      <c r="K298" s="11" t="str">
        <f>_xlfn.XLOOKUP(F298,Ref!$B$3:$B$12,Ref!$C$3:$C$12,"",1)</f>
        <v/>
      </c>
      <c r="L298" s="11" t="str">
        <f>_xlfn.XLOOKUP(G298,Ref!$B$3:$B$12,Ref!$C$3:$C$12,"",1)</f>
        <v/>
      </c>
      <c r="M298" s="11">
        <f>_xlfn.XLOOKUP(H298,Ref!$B$3:$B$12,Ref!$C$3:$C$12,"",1)</f>
        <v>1</v>
      </c>
    </row>
    <row r="299" spans="2:13" x14ac:dyDescent="0.25">
      <c r="B299" s="15" t="s">
        <v>5</v>
      </c>
      <c r="C299" s="9">
        <v>49.1</v>
      </c>
      <c r="D299" s="9">
        <v>49.5</v>
      </c>
      <c r="E299" s="10">
        <v>49.2</v>
      </c>
      <c r="F299" s="9">
        <f t="shared" si="25"/>
        <v>15.629015411624122</v>
      </c>
      <c r="G299" s="9">
        <f t="shared" si="26"/>
        <v>15.756339366097638</v>
      </c>
      <c r="H299" s="10">
        <f t="shared" si="27"/>
        <v>15.660846400242503</v>
      </c>
      <c r="K299" s="11">
        <f>_xlfn.XLOOKUP(F299,Ref!$B$3:$B$12,Ref!$C$3:$C$12,"",1)</f>
        <v>1</v>
      </c>
      <c r="L299" s="11">
        <f>_xlfn.XLOOKUP(G299,Ref!$B$3:$B$12,Ref!$C$3:$C$12,"",1)</f>
        <v>1</v>
      </c>
      <c r="M299" s="11">
        <f>_xlfn.XLOOKUP(H299,Ref!$B$3:$B$12,Ref!$C$3:$C$12,"",1)</f>
        <v>1</v>
      </c>
    </row>
    <row r="300" spans="2:13" x14ac:dyDescent="0.25">
      <c r="B300" s="15" t="s">
        <v>5</v>
      </c>
      <c r="C300" s="9">
        <v>41.9</v>
      </c>
      <c r="D300" s="9">
        <v>43.2</v>
      </c>
      <c r="E300" s="10">
        <v>43.3</v>
      </c>
      <c r="F300" s="9">
        <f t="shared" si="25"/>
        <v>13.33718423110083</v>
      </c>
      <c r="G300" s="9">
        <f t="shared" si="26"/>
        <v>13.750987083139758</v>
      </c>
      <c r="H300" s="10">
        <f t="shared" si="27"/>
        <v>13.782818071758136</v>
      </c>
      <c r="K300" s="11">
        <f>_xlfn.XLOOKUP(F300,Ref!$B$3:$B$12,Ref!$C$3:$C$12,"",1)</f>
        <v>1</v>
      </c>
      <c r="L300" s="11">
        <f>_xlfn.XLOOKUP(G300,Ref!$B$3:$B$12,Ref!$C$3:$C$12,"",1)</f>
        <v>1</v>
      </c>
      <c r="M300" s="11">
        <f>_xlfn.XLOOKUP(H300,Ref!$B$3:$B$12,Ref!$C$3:$C$12,"",1)</f>
        <v>1</v>
      </c>
    </row>
    <row r="301" spans="2:13" x14ac:dyDescent="0.25">
      <c r="B301" s="15" t="s">
        <v>46</v>
      </c>
      <c r="C301" s="9">
        <v>63.4</v>
      </c>
      <c r="D301" s="9">
        <v>69.2</v>
      </c>
      <c r="E301" s="10">
        <v>73.3</v>
      </c>
      <c r="F301" s="9">
        <f t="shared" si="25"/>
        <v>20.180846784052328</v>
      </c>
      <c r="G301" s="9">
        <f t="shared" si="26"/>
        <v>22.027044123918316</v>
      </c>
      <c r="H301" s="10">
        <f t="shared" si="27"/>
        <v>23.332114657271855</v>
      </c>
      <c r="K301" s="11">
        <f>_xlfn.XLOOKUP(F301,Ref!$B$3:$B$12,Ref!$C$3:$C$12,"",1)</f>
        <v>2</v>
      </c>
      <c r="L301" s="11">
        <f>_xlfn.XLOOKUP(G301,Ref!$B$3:$B$12,Ref!$C$3:$C$12,"",1)</f>
        <v>2</v>
      </c>
      <c r="M301" s="11">
        <f>_xlfn.XLOOKUP(H301,Ref!$B$3:$B$12,Ref!$C$3:$C$12,"",1)</f>
        <v>2</v>
      </c>
    </row>
    <row r="302" spans="2:13" x14ac:dyDescent="0.25">
      <c r="B302" s="15" t="s">
        <v>19</v>
      </c>
      <c r="C302" s="9">
        <v>39.799999999999997</v>
      </c>
      <c r="D302" s="9">
        <v>39.9</v>
      </c>
      <c r="E302" s="10">
        <v>0</v>
      </c>
      <c r="F302" s="9">
        <f t="shared" si="25"/>
        <v>12.668733470114868</v>
      </c>
      <c r="G302" s="9">
        <f t="shared" si="26"/>
        <v>12.700564458733249</v>
      </c>
      <c r="H302" s="10">
        <f t="shared" si="27"/>
        <v>0</v>
      </c>
      <c r="K302" s="11">
        <f>_xlfn.XLOOKUP(F302,Ref!$B$3:$B$12,Ref!$C$3:$C$12,"",1)</f>
        <v>1</v>
      </c>
      <c r="L302" s="11">
        <f>_xlfn.XLOOKUP(G302,Ref!$B$3:$B$12,Ref!$C$3:$C$12,"",1)</f>
        <v>1</v>
      </c>
      <c r="M302" s="11" t="str">
        <f>_xlfn.XLOOKUP(H302,Ref!$B$3:$B$12,Ref!$C$3:$C$12,"",1)</f>
        <v>Morta</v>
      </c>
    </row>
    <row r="303" spans="2:13" x14ac:dyDescent="0.25">
      <c r="B303" s="15" t="s">
        <v>10</v>
      </c>
      <c r="C303" s="9">
        <v>32.700000000000003</v>
      </c>
      <c r="D303" s="9">
        <v>35.5</v>
      </c>
      <c r="E303" s="10">
        <v>38.1</v>
      </c>
      <c r="F303" s="9">
        <f t="shared" si="25"/>
        <v>10.408733278209956</v>
      </c>
      <c r="G303" s="9">
        <f t="shared" si="26"/>
        <v>11.300000959524569</v>
      </c>
      <c r="H303" s="10">
        <f t="shared" si="27"/>
        <v>12.127606663602425</v>
      </c>
      <c r="K303" s="11">
        <f>_xlfn.XLOOKUP(F303,Ref!$B$3:$B$12,Ref!$C$3:$C$12,"",1)</f>
        <v>1</v>
      </c>
      <c r="L303" s="11">
        <f>_xlfn.XLOOKUP(G303,Ref!$B$3:$B$12,Ref!$C$3:$C$12,"",1)</f>
        <v>1</v>
      </c>
      <c r="M303" s="11">
        <f>_xlfn.XLOOKUP(H303,Ref!$B$3:$B$12,Ref!$C$3:$C$12,"",1)</f>
        <v>1</v>
      </c>
    </row>
    <row r="304" spans="2:13" x14ac:dyDescent="0.25">
      <c r="B304" s="15" t="s">
        <v>23</v>
      </c>
      <c r="C304" s="9">
        <v>40</v>
      </c>
      <c r="D304" s="9">
        <v>44.4</v>
      </c>
      <c r="E304" s="10">
        <v>47</v>
      </c>
      <c r="F304" s="9">
        <f t="shared" si="25"/>
        <v>12.732395447351628</v>
      </c>
      <c r="G304" s="9">
        <f t="shared" si="26"/>
        <v>14.132958946560306</v>
      </c>
      <c r="H304" s="10">
        <f t="shared" si="27"/>
        <v>14.960564650638162</v>
      </c>
      <c r="K304" s="11">
        <f>_xlfn.XLOOKUP(F304,Ref!$B$3:$B$12,Ref!$C$3:$C$12,"",1)</f>
        <v>1</v>
      </c>
      <c r="L304" s="11">
        <f>_xlfn.XLOOKUP(G304,Ref!$B$3:$B$12,Ref!$C$3:$C$12,"",1)</f>
        <v>1</v>
      </c>
      <c r="M304" s="11">
        <f>_xlfn.XLOOKUP(H304,Ref!$B$3:$B$12,Ref!$C$3:$C$12,"",1)</f>
        <v>1</v>
      </c>
    </row>
    <row r="305" spans="2:13" x14ac:dyDescent="0.25">
      <c r="B305" s="15" t="s">
        <v>23</v>
      </c>
      <c r="C305" s="9">
        <v>44.5</v>
      </c>
      <c r="D305" s="9">
        <v>46.9</v>
      </c>
      <c r="E305" s="10">
        <v>49</v>
      </c>
      <c r="F305" s="9">
        <f t="shared" si="25"/>
        <v>14.164789935178685</v>
      </c>
      <c r="G305" s="9">
        <f t="shared" si="26"/>
        <v>14.928733662019782</v>
      </c>
      <c r="H305" s="10">
        <f t="shared" si="27"/>
        <v>15.597184423005743</v>
      </c>
      <c r="K305" s="11">
        <f>_xlfn.XLOOKUP(F305,Ref!$B$3:$B$12,Ref!$C$3:$C$12,"",1)</f>
        <v>1</v>
      </c>
      <c r="L305" s="11">
        <f>_xlfn.XLOOKUP(G305,Ref!$B$3:$B$12,Ref!$C$3:$C$12,"",1)</f>
        <v>1</v>
      </c>
      <c r="M305" s="11">
        <f>_xlfn.XLOOKUP(H305,Ref!$B$3:$B$12,Ref!$C$3:$C$12,"",1)</f>
        <v>1</v>
      </c>
    </row>
    <row r="306" spans="2:13" x14ac:dyDescent="0.25">
      <c r="B306" s="15" t="s">
        <v>5</v>
      </c>
      <c r="C306" s="9">
        <v>50.1</v>
      </c>
      <c r="D306" s="9">
        <v>51.3</v>
      </c>
      <c r="E306" s="10">
        <v>51.9</v>
      </c>
      <c r="F306" s="9">
        <f t="shared" si="25"/>
        <v>15.947325297807915</v>
      </c>
      <c r="G306" s="9">
        <f t="shared" si="26"/>
        <v>16.32929716122846</v>
      </c>
      <c r="H306" s="10">
        <f t="shared" si="27"/>
        <v>16.520283092938737</v>
      </c>
      <c r="K306" s="11">
        <f>_xlfn.XLOOKUP(F306,Ref!$B$3:$B$12,Ref!$C$3:$C$12,"",1)</f>
        <v>1</v>
      </c>
      <c r="L306" s="11">
        <f>_xlfn.XLOOKUP(G306,Ref!$B$3:$B$12,Ref!$C$3:$C$12,"",1)</f>
        <v>1</v>
      </c>
      <c r="M306" s="11">
        <f>_xlfn.XLOOKUP(H306,Ref!$B$3:$B$12,Ref!$C$3:$C$12,"",1)</f>
        <v>1</v>
      </c>
    </row>
    <row r="307" spans="2:13" x14ac:dyDescent="0.25">
      <c r="B307" s="15" t="s">
        <v>25</v>
      </c>
      <c r="C307" s="9">
        <v>64.7</v>
      </c>
      <c r="D307" s="9">
        <v>66.400000000000006</v>
      </c>
      <c r="E307" s="10">
        <v>66.400000000000006</v>
      </c>
      <c r="F307" s="9">
        <f t="shared" si="25"/>
        <v>20.594649636091258</v>
      </c>
      <c r="G307" s="9">
        <f t="shared" si="26"/>
        <v>21.135776442603703</v>
      </c>
      <c r="H307" s="10">
        <f t="shared" si="27"/>
        <v>21.135776442603703</v>
      </c>
      <c r="K307" s="11">
        <f>_xlfn.XLOOKUP(F307,Ref!$B$3:$B$12,Ref!$C$3:$C$12,"",1)</f>
        <v>2</v>
      </c>
      <c r="L307" s="11">
        <f>_xlfn.XLOOKUP(G307,Ref!$B$3:$B$12,Ref!$C$3:$C$12,"",1)</f>
        <v>2</v>
      </c>
      <c r="M307" s="11">
        <f>_xlfn.XLOOKUP(H307,Ref!$B$3:$B$12,Ref!$C$3:$C$12,"",1)</f>
        <v>2</v>
      </c>
    </row>
    <row r="308" spans="2:13" x14ac:dyDescent="0.25">
      <c r="B308" s="15" t="s">
        <v>7</v>
      </c>
      <c r="C308" s="9">
        <v>70.099999999999994</v>
      </c>
      <c r="D308" s="9">
        <v>75</v>
      </c>
      <c r="E308" s="10">
        <v>81.599999999999994</v>
      </c>
      <c r="F308" s="9">
        <f t="shared" si="25"/>
        <v>22.313523021483725</v>
      </c>
      <c r="G308" s="9">
        <f t="shared" si="26"/>
        <v>23.8732414637843</v>
      </c>
      <c r="H308" s="10">
        <f t="shared" si="27"/>
        <v>25.97408671259732</v>
      </c>
      <c r="K308" s="11">
        <f>_xlfn.XLOOKUP(F308,Ref!$B$3:$B$12,Ref!$C$3:$C$12,"",1)</f>
        <v>2</v>
      </c>
      <c r="L308" s="11">
        <f>_xlfn.XLOOKUP(G308,Ref!$B$3:$B$12,Ref!$C$3:$C$12,"",1)</f>
        <v>2</v>
      </c>
      <c r="M308" s="11">
        <f>_xlfn.XLOOKUP(H308,Ref!$B$3:$B$12,Ref!$C$3:$C$12,"",1)</f>
        <v>2</v>
      </c>
    </row>
    <row r="309" spans="2:13" x14ac:dyDescent="0.25">
      <c r="B309" s="15" t="s">
        <v>7</v>
      </c>
      <c r="C309" s="9">
        <v>39.9</v>
      </c>
      <c r="D309" s="9">
        <v>40.5</v>
      </c>
      <c r="E309" s="10">
        <v>41.2</v>
      </c>
      <c r="F309" s="9">
        <f t="shared" si="25"/>
        <v>12.700564458733249</v>
      </c>
      <c r="G309" s="9">
        <f t="shared" si="26"/>
        <v>12.891550390443523</v>
      </c>
      <c r="H309" s="10">
        <f t="shared" si="27"/>
        <v>13.114367310772177</v>
      </c>
      <c r="K309" s="11">
        <f>_xlfn.XLOOKUP(F309,Ref!$B$3:$B$12,Ref!$C$3:$C$12,"",1)</f>
        <v>1</v>
      </c>
      <c r="L309" s="11">
        <f>_xlfn.XLOOKUP(G309,Ref!$B$3:$B$12,Ref!$C$3:$C$12,"",1)</f>
        <v>1</v>
      </c>
      <c r="M309" s="11">
        <f>_xlfn.XLOOKUP(H309,Ref!$B$3:$B$12,Ref!$C$3:$C$12,"",1)</f>
        <v>1</v>
      </c>
    </row>
    <row r="310" spans="2:13" x14ac:dyDescent="0.25">
      <c r="B310" s="15" t="s">
        <v>30</v>
      </c>
      <c r="C310" s="9">
        <v>41.7</v>
      </c>
      <c r="D310" s="9">
        <v>48.2</v>
      </c>
      <c r="E310" s="10">
        <v>54.3</v>
      </c>
      <c r="F310" s="9">
        <f t="shared" si="25"/>
        <v>13.273522253864073</v>
      </c>
      <c r="G310" s="9">
        <f t="shared" si="26"/>
        <v>15.342536514058711</v>
      </c>
      <c r="H310" s="10">
        <f t="shared" si="27"/>
        <v>17.284226819779832</v>
      </c>
      <c r="K310" s="11">
        <f>_xlfn.XLOOKUP(F310,Ref!$B$3:$B$12,Ref!$C$3:$C$12,"",1)</f>
        <v>1</v>
      </c>
      <c r="L310" s="11">
        <f>_xlfn.XLOOKUP(G310,Ref!$B$3:$B$12,Ref!$C$3:$C$12,"",1)</f>
        <v>1</v>
      </c>
      <c r="M310" s="11">
        <f>_xlfn.XLOOKUP(H310,Ref!$B$3:$B$12,Ref!$C$3:$C$12,"",1)</f>
        <v>1</v>
      </c>
    </row>
    <row r="311" spans="2:13" x14ac:dyDescent="0.25">
      <c r="B311" s="15" t="s">
        <v>14</v>
      </c>
      <c r="C311" s="9">
        <v>43.2</v>
      </c>
      <c r="D311" s="9">
        <v>49.5</v>
      </c>
      <c r="E311" s="10">
        <v>55.7</v>
      </c>
      <c r="F311" s="9">
        <f t="shared" si="25"/>
        <v>13.750987083139758</v>
      </c>
      <c r="G311" s="9">
        <f t="shared" si="26"/>
        <v>15.756339366097638</v>
      </c>
      <c r="H311" s="10">
        <f t="shared" si="27"/>
        <v>17.729860660437144</v>
      </c>
      <c r="K311" s="11">
        <f>_xlfn.XLOOKUP(F311,Ref!$B$3:$B$12,Ref!$C$3:$C$12,"",1)</f>
        <v>1</v>
      </c>
      <c r="L311" s="11">
        <f>_xlfn.XLOOKUP(G311,Ref!$B$3:$B$12,Ref!$C$3:$C$12,"",1)</f>
        <v>1</v>
      </c>
      <c r="M311" s="11">
        <f>_xlfn.XLOOKUP(H311,Ref!$B$3:$B$12,Ref!$C$3:$C$12,"",1)</f>
        <v>1</v>
      </c>
    </row>
    <row r="312" spans="2:13" x14ac:dyDescent="0.25">
      <c r="B312" s="15" t="s">
        <v>14</v>
      </c>
      <c r="C312" s="9">
        <v>44.9</v>
      </c>
      <c r="D312" s="9">
        <v>49.2</v>
      </c>
      <c r="E312" s="10">
        <v>52</v>
      </c>
      <c r="F312" s="9">
        <f t="shared" si="25"/>
        <v>14.292113889652201</v>
      </c>
      <c r="G312" s="9">
        <f t="shared" si="26"/>
        <v>15.660846400242503</v>
      </c>
      <c r="H312" s="10">
        <f t="shared" si="27"/>
        <v>16.552114081557114</v>
      </c>
      <c r="K312" s="11">
        <f>_xlfn.XLOOKUP(F312,Ref!$B$3:$B$12,Ref!$C$3:$C$12,"",1)</f>
        <v>1</v>
      </c>
      <c r="L312" s="11">
        <f>_xlfn.XLOOKUP(G312,Ref!$B$3:$B$12,Ref!$C$3:$C$12,"",1)</f>
        <v>1</v>
      </c>
      <c r="M312" s="11">
        <f>_xlfn.XLOOKUP(H312,Ref!$B$3:$B$12,Ref!$C$3:$C$12,"",1)</f>
        <v>1</v>
      </c>
    </row>
    <row r="313" spans="2:13" x14ac:dyDescent="0.25">
      <c r="B313" s="15" t="s">
        <v>34</v>
      </c>
      <c r="C313" s="9">
        <v>64.8</v>
      </c>
      <c r="D313" s="9">
        <v>65.400000000000006</v>
      </c>
      <c r="E313" s="10">
        <v>66</v>
      </c>
      <c r="F313" s="9">
        <f t="shared" si="25"/>
        <v>20.626480624709636</v>
      </c>
      <c r="G313" s="9">
        <f t="shared" si="26"/>
        <v>20.817466556419912</v>
      </c>
      <c r="H313" s="10">
        <f t="shared" si="27"/>
        <v>21.008452488130185</v>
      </c>
      <c r="K313" s="11">
        <f>_xlfn.XLOOKUP(F313,Ref!$B$3:$B$12,Ref!$C$3:$C$12,"",1)</f>
        <v>2</v>
      </c>
      <c r="L313" s="11">
        <f>_xlfn.XLOOKUP(G313,Ref!$B$3:$B$12,Ref!$C$3:$C$12,"",1)</f>
        <v>2</v>
      </c>
      <c r="M313" s="11">
        <f>_xlfn.XLOOKUP(H313,Ref!$B$3:$B$12,Ref!$C$3:$C$12,"",1)</f>
        <v>2</v>
      </c>
    </row>
    <row r="314" spans="2:13" x14ac:dyDescent="0.25">
      <c r="B314" s="15" t="s">
        <v>47</v>
      </c>
      <c r="C314" s="9">
        <v>85.9</v>
      </c>
      <c r="D314" s="9">
        <v>97</v>
      </c>
      <c r="E314" s="10">
        <v>106.2</v>
      </c>
      <c r="F314" s="9">
        <f t="shared" ref="F314:F371" si="28">IF(C314="", "", C314/PI())</f>
        <v>27.342819223187622</v>
      </c>
      <c r="G314" s="9">
        <f t="shared" ref="G314:G371" si="29">IF(D314="", "", D314/PI())</f>
        <v>30.876058959827695</v>
      </c>
      <c r="H314" s="10">
        <f t="shared" ref="H314:H371" si="30">IF(E314="", "", E314/PI())</f>
        <v>33.804509912718572</v>
      </c>
      <c r="K314" s="11">
        <f>_xlfn.XLOOKUP(F314,Ref!$B$3:$B$12,Ref!$C$3:$C$12,"",1)</f>
        <v>2</v>
      </c>
      <c r="L314" s="11">
        <f>_xlfn.XLOOKUP(G314,Ref!$B$3:$B$12,Ref!$C$3:$C$12,"",1)</f>
        <v>3</v>
      </c>
      <c r="M314" s="11">
        <f>_xlfn.XLOOKUP(H314,Ref!$B$3:$B$12,Ref!$C$3:$C$12,"",1)</f>
        <v>3</v>
      </c>
    </row>
    <row r="315" spans="2:13" x14ac:dyDescent="0.25">
      <c r="B315" s="15" t="s">
        <v>25</v>
      </c>
      <c r="C315" s="9">
        <v>52.9</v>
      </c>
      <c r="D315" s="9">
        <v>57.4</v>
      </c>
      <c r="E315" s="10">
        <v>59</v>
      </c>
      <c r="F315" s="9">
        <f t="shared" si="28"/>
        <v>16.838592979122527</v>
      </c>
      <c r="G315" s="9">
        <f t="shared" si="29"/>
        <v>18.270987466949585</v>
      </c>
      <c r="H315" s="10">
        <f t="shared" si="30"/>
        <v>18.780283284843652</v>
      </c>
      <c r="K315" s="11">
        <f>_xlfn.XLOOKUP(F315,Ref!$B$3:$B$12,Ref!$C$3:$C$12,"",1)</f>
        <v>1</v>
      </c>
      <c r="L315" s="11">
        <f>_xlfn.XLOOKUP(G315,Ref!$B$3:$B$12,Ref!$C$3:$C$12,"",1)</f>
        <v>1</v>
      </c>
      <c r="M315" s="11">
        <f>_xlfn.XLOOKUP(H315,Ref!$B$3:$B$12,Ref!$C$3:$C$12,"",1)</f>
        <v>1</v>
      </c>
    </row>
    <row r="316" spans="2:13" x14ac:dyDescent="0.25">
      <c r="B316" s="15" t="s">
        <v>47</v>
      </c>
      <c r="C316" s="9">
        <v>72.2</v>
      </c>
      <c r="D316" s="9">
        <v>78.400000000000006</v>
      </c>
      <c r="E316" s="10">
        <v>82.1</v>
      </c>
      <c r="F316" s="9">
        <f t="shared" si="28"/>
        <v>22.981973782469687</v>
      </c>
      <c r="G316" s="9">
        <f t="shared" si="29"/>
        <v>24.955495076809193</v>
      </c>
      <c r="H316" s="10">
        <f t="shared" si="30"/>
        <v>26.133241655689215</v>
      </c>
      <c r="K316" s="11">
        <f>_xlfn.XLOOKUP(F316,Ref!$B$3:$B$12,Ref!$C$3:$C$12,"",1)</f>
        <v>2</v>
      </c>
      <c r="L316" s="11">
        <f>_xlfn.XLOOKUP(G316,Ref!$B$3:$B$12,Ref!$C$3:$C$12,"",1)</f>
        <v>2</v>
      </c>
      <c r="M316" s="11">
        <f>_xlfn.XLOOKUP(H316,Ref!$B$3:$B$12,Ref!$C$3:$C$12,"",1)</f>
        <v>2</v>
      </c>
    </row>
    <row r="317" spans="2:13" x14ac:dyDescent="0.25">
      <c r="B317" s="15" t="s">
        <v>12</v>
      </c>
      <c r="C317" s="9">
        <v>82.2</v>
      </c>
      <c r="D317" s="9">
        <v>86.9</v>
      </c>
      <c r="E317" s="10">
        <v>91.5</v>
      </c>
      <c r="F317" s="9">
        <f t="shared" si="28"/>
        <v>26.165072644307596</v>
      </c>
      <c r="G317" s="9">
        <f t="shared" si="29"/>
        <v>27.661129109371412</v>
      </c>
      <c r="H317" s="10">
        <f t="shared" si="30"/>
        <v>29.125354585816847</v>
      </c>
      <c r="K317" s="11">
        <f>_xlfn.XLOOKUP(F317,Ref!$B$3:$B$12,Ref!$C$3:$C$12,"",1)</f>
        <v>2</v>
      </c>
      <c r="L317" s="11">
        <f>_xlfn.XLOOKUP(G317,Ref!$B$3:$B$12,Ref!$C$3:$C$12,"",1)</f>
        <v>2</v>
      </c>
      <c r="M317" s="11">
        <f>_xlfn.XLOOKUP(H317,Ref!$B$3:$B$12,Ref!$C$3:$C$12,"",1)</f>
        <v>2</v>
      </c>
    </row>
    <row r="318" spans="2:13" x14ac:dyDescent="0.25">
      <c r="B318" s="15" t="s">
        <v>14</v>
      </c>
      <c r="C318" s="9">
        <v>34.700000000000003</v>
      </c>
      <c r="D318" s="9">
        <v>36.5</v>
      </c>
      <c r="E318" s="10">
        <v>36.5</v>
      </c>
      <c r="F318" s="9">
        <f t="shared" si="28"/>
        <v>11.045353050577537</v>
      </c>
      <c r="G318" s="9">
        <f t="shared" si="29"/>
        <v>11.618310845708359</v>
      </c>
      <c r="H318" s="10">
        <f t="shared" si="30"/>
        <v>11.618310845708359</v>
      </c>
      <c r="K318" s="11">
        <f>_xlfn.XLOOKUP(F318,Ref!$B$3:$B$12,Ref!$C$3:$C$12,"",1)</f>
        <v>1</v>
      </c>
      <c r="L318" s="11">
        <f>_xlfn.XLOOKUP(G318,Ref!$B$3:$B$12,Ref!$C$3:$C$12,"",1)</f>
        <v>1</v>
      </c>
      <c r="M318" s="11">
        <f>_xlfn.XLOOKUP(H318,Ref!$B$3:$B$12,Ref!$C$3:$C$12,"",1)</f>
        <v>1</v>
      </c>
    </row>
    <row r="319" spans="2:13" x14ac:dyDescent="0.25">
      <c r="B319" s="15" t="s">
        <v>13</v>
      </c>
      <c r="C319" s="9">
        <v>72.2</v>
      </c>
      <c r="D319" s="9">
        <v>72.2</v>
      </c>
      <c r="E319" s="10">
        <v>72.2</v>
      </c>
      <c r="F319" s="9">
        <f t="shared" si="28"/>
        <v>22.981973782469687</v>
      </c>
      <c r="G319" s="9">
        <f t="shared" si="29"/>
        <v>22.981973782469687</v>
      </c>
      <c r="H319" s="10">
        <f t="shared" si="30"/>
        <v>22.981973782469687</v>
      </c>
      <c r="K319" s="11">
        <f>_xlfn.XLOOKUP(F319,Ref!$B$3:$B$12,Ref!$C$3:$C$12,"",1)</f>
        <v>2</v>
      </c>
      <c r="L319" s="11">
        <f>_xlfn.XLOOKUP(G319,Ref!$B$3:$B$12,Ref!$C$3:$C$12,"",1)</f>
        <v>2</v>
      </c>
      <c r="M319" s="11">
        <f>_xlfn.XLOOKUP(H319,Ref!$B$3:$B$12,Ref!$C$3:$C$12,"",1)</f>
        <v>2</v>
      </c>
    </row>
    <row r="320" spans="2:13" x14ac:dyDescent="0.25">
      <c r="B320" s="15" t="s">
        <v>7</v>
      </c>
      <c r="C320" s="9">
        <v>70.099999999999994</v>
      </c>
      <c r="D320" s="9">
        <v>78.900000000000006</v>
      </c>
      <c r="E320" s="10">
        <v>87</v>
      </c>
      <c r="F320" s="9">
        <f t="shared" si="28"/>
        <v>22.313523021483725</v>
      </c>
      <c r="G320" s="9">
        <f t="shared" si="29"/>
        <v>25.114650019901088</v>
      </c>
      <c r="H320" s="10">
        <f t="shared" si="30"/>
        <v>27.69296009798979</v>
      </c>
      <c r="K320" s="11">
        <f>_xlfn.XLOOKUP(F320,Ref!$B$3:$B$12,Ref!$C$3:$C$12,"",1)</f>
        <v>2</v>
      </c>
      <c r="L320" s="11">
        <f>_xlfn.XLOOKUP(G320,Ref!$B$3:$B$12,Ref!$C$3:$C$12,"",1)</f>
        <v>2</v>
      </c>
      <c r="M320" s="11">
        <f>_xlfn.XLOOKUP(H320,Ref!$B$3:$B$12,Ref!$C$3:$C$12,"",1)</f>
        <v>2</v>
      </c>
    </row>
    <row r="321" spans="2:13" x14ac:dyDescent="0.25">
      <c r="B321" s="15" t="s">
        <v>8</v>
      </c>
      <c r="C321" s="9">
        <v>82</v>
      </c>
      <c r="D321" s="9">
        <v>86</v>
      </c>
      <c r="E321" s="10">
        <v>87.5</v>
      </c>
      <c r="F321" s="9">
        <f t="shared" si="28"/>
        <v>26.101410667070837</v>
      </c>
      <c r="G321" s="9">
        <f t="shared" si="29"/>
        <v>27.374650211805999</v>
      </c>
      <c r="H321" s="10">
        <f t="shared" si="30"/>
        <v>27.852115041081685</v>
      </c>
      <c r="K321" s="11">
        <f>_xlfn.XLOOKUP(F321,Ref!$B$3:$B$12,Ref!$C$3:$C$12,"",1)</f>
        <v>2</v>
      </c>
      <c r="L321" s="11">
        <f>_xlfn.XLOOKUP(G321,Ref!$B$3:$B$12,Ref!$C$3:$C$12,"",1)</f>
        <v>2</v>
      </c>
      <c r="M321" s="11">
        <f>_xlfn.XLOOKUP(H321,Ref!$B$3:$B$12,Ref!$C$3:$C$12,"",1)</f>
        <v>2</v>
      </c>
    </row>
    <row r="322" spans="2:13" x14ac:dyDescent="0.25">
      <c r="B322" s="15" t="s">
        <v>12</v>
      </c>
      <c r="C322" s="9">
        <v>38.5</v>
      </c>
      <c r="D322" s="9">
        <v>41</v>
      </c>
      <c r="E322" s="10">
        <v>42.2</v>
      </c>
      <c r="F322" s="9">
        <f t="shared" si="28"/>
        <v>12.254930618075941</v>
      </c>
      <c r="G322" s="9">
        <f t="shared" si="29"/>
        <v>13.050705333535419</v>
      </c>
      <c r="H322" s="10">
        <f t="shared" si="30"/>
        <v>13.432677196955968</v>
      </c>
      <c r="K322" s="11">
        <f>_xlfn.XLOOKUP(F322,Ref!$B$3:$B$12,Ref!$C$3:$C$12,"",1)</f>
        <v>1</v>
      </c>
      <c r="L322" s="11">
        <f>_xlfn.XLOOKUP(G322,Ref!$B$3:$B$12,Ref!$C$3:$C$12,"",1)</f>
        <v>1</v>
      </c>
      <c r="M322" s="11">
        <f>_xlfn.XLOOKUP(H322,Ref!$B$3:$B$12,Ref!$C$3:$C$12,"",1)</f>
        <v>1</v>
      </c>
    </row>
    <row r="323" spans="2:13" x14ac:dyDescent="0.25">
      <c r="B323" s="15" t="s">
        <v>24</v>
      </c>
      <c r="C323" s="9">
        <v>97.7</v>
      </c>
      <c r="D323" s="9">
        <v>112</v>
      </c>
      <c r="E323" s="10">
        <v>121.3</v>
      </c>
      <c r="F323" s="9">
        <f t="shared" si="28"/>
        <v>31.098875880156349</v>
      </c>
      <c r="G323" s="9">
        <f t="shared" si="29"/>
        <v>35.65070725258456</v>
      </c>
      <c r="H323" s="10">
        <f t="shared" si="30"/>
        <v>38.610989194093811</v>
      </c>
      <c r="K323" s="11">
        <f>_xlfn.XLOOKUP(F323,Ref!$B$3:$B$12,Ref!$C$3:$C$12,"",1)</f>
        <v>3</v>
      </c>
      <c r="L323" s="11">
        <f>_xlfn.XLOOKUP(G323,Ref!$B$3:$B$12,Ref!$C$3:$C$12,"",1)</f>
        <v>3</v>
      </c>
      <c r="M323" s="11">
        <f>_xlfn.XLOOKUP(H323,Ref!$B$3:$B$12,Ref!$C$3:$C$12,"",1)</f>
        <v>3</v>
      </c>
    </row>
    <row r="324" spans="2:13" x14ac:dyDescent="0.25">
      <c r="B324" s="15" t="s">
        <v>48</v>
      </c>
      <c r="C324" s="9">
        <v>43.6</v>
      </c>
      <c r="D324" s="9">
        <v>45.6</v>
      </c>
      <c r="E324" s="10">
        <v>45.6</v>
      </c>
      <c r="F324" s="9">
        <f t="shared" si="28"/>
        <v>13.878311037613274</v>
      </c>
      <c r="G324" s="9">
        <f t="shared" si="29"/>
        <v>14.514930809980855</v>
      </c>
      <c r="H324" s="10">
        <f t="shared" si="30"/>
        <v>14.514930809980855</v>
      </c>
      <c r="K324" s="11">
        <f>_xlfn.XLOOKUP(F324,Ref!$B$3:$B$12,Ref!$C$3:$C$12,"",1)</f>
        <v>1</v>
      </c>
      <c r="L324" s="11">
        <f>_xlfn.XLOOKUP(G324,Ref!$B$3:$B$12,Ref!$C$3:$C$12,"",1)</f>
        <v>1</v>
      </c>
      <c r="M324" s="11">
        <f>_xlfn.XLOOKUP(H324,Ref!$B$3:$B$12,Ref!$C$3:$C$12,"",1)</f>
        <v>1</v>
      </c>
    </row>
    <row r="325" spans="2:13" x14ac:dyDescent="0.25">
      <c r="B325" s="15" t="s">
        <v>8</v>
      </c>
      <c r="C325" s="9">
        <v>50.4</v>
      </c>
      <c r="D325" s="9">
        <v>51</v>
      </c>
      <c r="E325" s="10">
        <v>51.7</v>
      </c>
      <c r="F325" s="9">
        <f t="shared" si="28"/>
        <v>16.042818263663051</v>
      </c>
      <c r="G325" s="9">
        <f t="shared" si="29"/>
        <v>16.233804195373324</v>
      </c>
      <c r="H325" s="10">
        <f t="shared" si="30"/>
        <v>16.456621115701978</v>
      </c>
      <c r="K325" s="11">
        <f>_xlfn.XLOOKUP(F325,Ref!$B$3:$B$12,Ref!$C$3:$C$12,"",1)</f>
        <v>1</v>
      </c>
      <c r="L325" s="11">
        <f>_xlfn.XLOOKUP(G325,Ref!$B$3:$B$12,Ref!$C$3:$C$12,"",1)</f>
        <v>1</v>
      </c>
      <c r="M325" s="11">
        <f>_xlfn.XLOOKUP(H325,Ref!$B$3:$B$12,Ref!$C$3:$C$12,"",1)</f>
        <v>1</v>
      </c>
    </row>
    <row r="326" spans="2:13" x14ac:dyDescent="0.25">
      <c r="B326" s="15" t="s">
        <v>26</v>
      </c>
      <c r="C326" s="9">
        <v>219</v>
      </c>
      <c r="D326" s="9">
        <v>225</v>
      </c>
      <c r="E326" s="10">
        <v>230</v>
      </c>
      <c r="F326" s="9">
        <f t="shared" si="28"/>
        <v>69.70986507425016</v>
      </c>
      <c r="G326" s="9">
        <f t="shared" si="29"/>
        <v>71.619724391352904</v>
      </c>
      <c r="H326" s="10">
        <f t="shared" si="30"/>
        <v>73.211273822271863</v>
      </c>
      <c r="K326" s="11">
        <f>_xlfn.XLOOKUP(F326,Ref!$B$3:$B$12,Ref!$C$3:$C$12,"",1)</f>
        <v>6</v>
      </c>
      <c r="L326" s="11">
        <f>_xlfn.XLOOKUP(G326,Ref!$B$3:$B$12,Ref!$C$3:$C$12,"",1)</f>
        <v>7</v>
      </c>
      <c r="M326" s="11">
        <f>_xlfn.XLOOKUP(H326,Ref!$B$3:$B$12,Ref!$C$3:$C$12,"",1)</f>
        <v>7</v>
      </c>
    </row>
    <row r="327" spans="2:13" x14ac:dyDescent="0.25">
      <c r="B327" s="15" t="s">
        <v>12</v>
      </c>
      <c r="C327" s="9">
        <v>41.7</v>
      </c>
      <c r="D327" s="9">
        <v>43.9</v>
      </c>
      <c r="E327" s="10">
        <v>44.3</v>
      </c>
      <c r="F327" s="9">
        <f t="shared" si="28"/>
        <v>13.273522253864073</v>
      </c>
      <c r="G327" s="9">
        <f t="shared" si="29"/>
        <v>13.973804003468411</v>
      </c>
      <c r="H327" s="10">
        <f t="shared" si="30"/>
        <v>14.101127957941927</v>
      </c>
      <c r="K327" s="11">
        <f>_xlfn.XLOOKUP(F327,Ref!$B$3:$B$12,Ref!$C$3:$C$12,"",1)</f>
        <v>1</v>
      </c>
      <c r="L327" s="11">
        <f>_xlfn.XLOOKUP(G327,Ref!$B$3:$B$12,Ref!$C$3:$C$12,"",1)</f>
        <v>1</v>
      </c>
      <c r="M327" s="11">
        <f>_xlfn.XLOOKUP(H327,Ref!$B$3:$B$12,Ref!$C$3:$C$12,"",1)</f>
        <v>1</v>
      </c>
    </row>
    <row r="328" spans="2:13" x14ac:dyDescent="0.25">
      <c r="B328" s="15" t="s">
        <v>12</v>
      </c>
      <c r="C328" s="9">
        <v>54.9</v>
      </c>
      <c r="D328" s="9">
        <v>57.6</v>
      </c>
      <c r="E328" s="10">
        <v>58.9</v>
      </c>
      <c r="F328" s="9">
        <f t="shared" si="28"/>
        <v>17.475212751490108</v>
      </c>
      <c r="G328" s="9">
        <f t="shared" si="29"/>
        <v>18.334649444186343</v>
      </c>
      <c r="H328" s="10">
        <f t="shared" si="30"/>
        <v>18.74845229622527</v>
      </c>
      <c r="K328" s="11">
        <f>_xlfn.XLOOKUP(F328,Ref!$B$3:$B$12,Ref!$C$3:$C$12,"",1)</f>
        <v>1</v>
      </c>
      <c r="L328" s="11">
        <f>_xlfn.XLOOKUP(G328,Ref!$B$3:$B$12,Ref!$C$3:$C$12,"",1)</f>
        <v>1</v>
      </c>
      <c r="M328" s="11">
        <f>_xlfn.XLOOKUP(H328,Ref!$B$3:$B$12,Ref!$C$3:$C$12,"",1)</f>
        <v>1</v>
      </c>
    </row>
    <row r="329" spans="2:13" x14ac:dyDescent="0.25">
      <c r="B329" s="15" t="s">
        <v>39</v>
      </c>
      <c r="C329" s="9">
        <v>43.4</v>
      </c>
      <c r="D329" s="9">
        <v>51.2</v>
      </c>
      <c r="E329" s="10">
        <v>60.1</v>
      </c>
      <c r="F329" s="9">
        <f t="shared" si="28"/>
        <v>13.814649060376516</v>
      </c>
      <c r="G329" s="9">
        <f t="shared" si="29"/>
        <v>16.297466172610083</v>
      </c>
      <c r="H329" s="10">
        <f t="shared" si="30"/>
        <v>19.13042415964582</v>
      </c>
      <c r="K329" s="11">
        <f>_xlfn.XLOOKUP(F329,Ref!$B$3:$B$12,Ref!$C$3:$C$12,"",1)</f>
        <v>1</v>
      </c>
      <c r="L329" s="11">
        <f>_xlfn.XLOOKUP(G329,Ref!$B$3:$B$12,Ref!$C$3:$C$12,"",1)</f>
        <v>1</v>
      </c>
      <c r="M329" s="11">
        <f>_xlfn.XLOOKUP(H329,Ref!$B$3:$B$12,Ref!$C$3:$C$12,"",1)</f>
        <v>1</v>
      </c>
    </row>
    <row r="330" spans="2:13" x14ac:dyDescent="0.25">
      <c r="B330" s="15" t="s">
        <v>49</v>
      </c>
      <c r="C330" s="9">
        <v>74.2</v>
      </c>
      <c r="D330" s="9">
        <v>77.8</v>
      </c>
      <c r="E330" s="10">
        <v>78.7</v>
      </c>
      <c r="F330" s="9">
        <f t="shared" si="28"/>
        <v>23.618593554837268</v>
      </c>
      <c r="G330" s="9">
        <f t="shared" si="29"/>
        <v>24.764509145098913</v>
      </c>
      <c r="H330" s="10">
        <f t="shared" si="30"/>
        <v>25.050988042664329</v>
      </c>
      <c r="K330" s="11">
        <f>_xlfn.XLOOKUP(F330,Ref!$B$3:$B$12,Ref!$C$3:$C$12,"",1)</f>
        <v>2</v>
      </c>
      <c r="L330" s="11">
        <f>_xlfn.XLOOKUP(G330,Ref!$B$3:$B$12,Ref!$C$3:$C$12,"",1)</f>
        <v>2</v>
      </c>
      <c r="M330" s="11">
        <f>_xlfn.XLOOKUP(H330,Ref!$B$3:$B$12,Ref!$C$3:$C$12,"",1)</f>
        <v>2</v>
      </c>
    </row>
    <row r="331" spans="2:13" x14ac:dyDescent="0.25">
      <c r="B331" s="15" t="s">
        <v>7</v>
      </c>
      <c r="C331" s="9"/>
      <c r="D331" s="9">
        <v>39.4</v>
      </c>
      <c r="E331" s="10">
        <v>43.5</v>
      </c>
      <c r="F331" s="9" t="str">
        <f t="shared" si="28"/>
        <v/>
      </c>
      <c r="G331" s="9">
        <f t="shared" si="29"/>
        <v>12.541409515641352</v>
      </c>
      <c r="H331" s="10">
        <f t="shared" si="30"/>
        <v>13.846480048994895</v>
      </c>
      <c r="K331" s="11" t="str">
        <f>_xlfn.XLOOKUP(F331,Ref!$B$3:$B$12,Ref!$C$3:$C$12,"",1)</f>
        <v/>
      </c>
      <c r="L331" s="11">
        <f>_xlfn.XLOOKUP(G331,Ref!$B$3:$B$12,Ref!$C$3:$C$12,"",1)</f>
        <v>1</v>
      </c>
      <c r="M331" s="11">
        <f>_xlfn.XLOOKUP(H331,Ref!$B$3:$B$12,Ref!$C$3:$C$12,"",1)</f>
        <v>1</v>
      </c>
    </row>
    <row r="332" spans="2:13" x14ac:dyDescent="0.25">
      <c r="B332" s="15" t="s">
        <v>5</v>
      </c>
      <c r="C332" s="9"/>
      <c r="D332" s="9"/>
      <c r="E332" s="10">
        <v>34.1</v>
      </c>
      <c r="F332" s="9" t="str">
        <f t="shared" si="28"/>
        <v/>
      </c>
      <c r="G332" s="9" t="str">
        <f t="shared" si="29"/>
        <v/>
      </c>
      <c r="H332" s="10">
        <f t="shared" si="30"/>
        <v>10.854367118867263</v>
      </c>
      <c r="K332" s="11" t="str">
        <f>_xlfn.XLOOKUP(F332,Ref!$B$3:$B$12,Ref!$C$3:$C$12,"",1)</f>
        <v/>
      </c>
      <c r="L332" s="11" t="str">
        <f>_xlfn.XLOOKUP(G332,Ref!$B$3:$B$12,Ref!$C$3:$C$12,"",1)</f>
        <v/>
      </c>
      <c r="M332" s="11">
        <f>_xlfn.XLOOKUP(H332,Ref!$B$3:$B$12,Ref!$C$3:$C$12,"",1)</f>
        <v>1</v>
      </c>
    </row>
    <row r="333" spans="2:13" x14ac:dyDescent="0.25">
      <c r="B333" s="15" t="s">
        <v>10</v>
      </c>
      <c r="C333" s="9">
        <v>34.5</v>
      </c>
      <c r="D333" s="9">
        <v>39.5</v>
      </c>
      <c r="E333" s="10">
        <v>44</v>
      </c>
      <c r="F333" s="9">
        <f t="shared" si="28"/>
        <v>10.981691073340778</v>
      </c>
      <c r="G333" s="9">
        <f t="shared" si="29"/>
        <v>12.573240504259733</v>
      </c>
      <c r="H333" s="10">
        <f t="shared" si="30"/>
        <v>14.00563499208679</v>
      </c>
      <c r="K333" s="11">
        <f>_xlfn.XLOOKUP(F333,Ref!$B$3:$B$12,Ref!$C$3:$C$12,"",1)</f>
        <v>1</v>
      </c>
      <c r="L333" s="11">
        <f>_xlfn.XLOOKUP(G333,Ref!$B$3:$B$12,Ref!$C$3:$C$12,"",1)</f>
        <v>1</v>
      </c>
      <c r="M333" s="11">
        <f>_xlfn.XLOOKUP(H333,Ref!$B$3:$B$12,Ref!$C$3:$C$12,"",1)</f>
        <v>1</v>
      </c>
    </row>
    <row r="334" spans="2:13" x14ac:dyDescent="0.25">
      <c r="B334" s="15" t="s">
        <v>14</v>
      </c>
      <c r="C334" s="9">
        <v>40.799999999999997</v>
      </c>
      <c r="D334" s="9">
        <v>46.6</v>
      </c>
      <c r="E334" s="10">
        <v>49.1</v>
      </c>
      <c r="F334" s="9">
        <f t="shared" si="28"/>
        <v>12.98704335629866</v>
      </c>
      <c r="G334" s="9">
        <f t="shared" si="29"/>
        <v>14.833240696164646</v>
      </c>
      <c r="H334" s="10">
        <f t="shared" si="30"/>
        <v>15.629015411624122</v>
      </c>
      <c r="K334" s="11">
        <f>_xlfn.XLOOKUP(F334,Ref!$B$3:$B$12,Ref!$C$3:$C$12,"",1)</f>
        <v>1</v>
      </c>
      <c r="L334" s="11">
        <f>_xlfn.XLOOKUP(G334,Ref!$B$3:$B$12,Ref!$C$3:$C$12,"",1)</f>
        <v>1</v>
      </c>
      <c r="M334" s="11">
        <f>_xlfn.XLOOKUP(H334,Ref!$B$3:$B$12,Ref!$C$3:$C$12,"",1)</f>
        <v>1</v>
      </c>
    </row>
    <row r="335" spans="2:13" x14ac:dyDescent="0.25">
      <c r="B335" s="15" t="s">
        <v>50</v>
      </c>
      <c r="C335" s="9">
        <v>71.7</v>
      </c>
      <c r="D335" s="9">
        <v>72.2</v>
      </c>
      <c r="E335" s="10">
        <v>72.5</v>
      </c>
      <c r="F335" s="9">
        <f t="shared" si="28"/>
        <v>22.822818839377792</v>
      </c>
      <c r="G335" s="9">
        <f t="shared" si="29"/>
        <v>22.981973782469687</v>
      </c>
      <c r="H335" s="10">
        <f t="shared" si="30"/>
        <v>23.077466748324824</v>
      </c>
      <c r="K335" s="11">
        <f>_xlfn.XLOOKUP(F335,Ref!$B$3:$B$12,Ref!$C$3:$C$12,"",1)</f>
        <v>2</v>
      </c>
      <c r="L335" s="11">
        <f>_xlfn.XLOOKUP(G335,Ref!$B$3:$B$12,Ref!$C$3:$C$12,"",1)</f>
        <v>2</v>
      </c>
      <c r="M335" s="11">
        <f>_xlfn.XLOOKUP(H335,Ref!$B$3:$B$12,Ref!$C$3:$C$12,"",1)</f>
        <v>2</v>
      </c>
    </row>
    <row r="336" spans="2:13" x14ac:dyDescent="0.25">
      <c r="B336" s="15" t="s">
        <v>26</v>
      </c>
      <c r="C336" s="9">
        <v>160.69999999999999</v>
      </c>
      <c r="D336" s="9">
        <v>167</v>
      </c>
      <c r="E336" s="10">
        <v>174.5</v>
      </c>
      <c r="F336" s="9">
        <f t="shared" si="28"/>
        <v>51.152398709735159</v>
      </c>
      <c r="G336" s="9">
        <f t="shared" si="29"/>
        <v>53.157750992693046</v>
      </c>
      <c r="H336" s="10">
        <f t="shared" si="30"/>
        <v>55.545075139071471</v>
      </c>
      <c r="K336" s="11">
        <f>_xlfn.XLOOKUP(F336,Ref!$B$3:$B$12,Ref!$C$3:$C$12,"",1)</f>
        <v>5</v>
      </c>
      <c r="L336" s="11">
        <f>_xlfn.XLOOKUP(G336,Ref!$B$3:$B$12,Ref!$C$3:$C$12,"",1)</f>
        <v>5</v>
      </c>
      <c r="M336" s="11">
        <f>_xlfn.XLOOKUP(H336,Ref!$B$3:$B$12,Ref!$C$3:$C$12,"",1)</f>
        <v>5</v>
      </c>
    </row>
    <row r="337" spans="2:13" x14ac:dyDescent="0.25">
      <c r="B337" s="15" t="s">
        <v>44</v>
      </c>
      <c r="C337" s="9">
        <v>40</v>
      </c>
      <c r="D337" s="9">
        <v>41.3</v>
      </c>
      <c r="E337" s="10">
        <v>42.4</v>
      </c>
      <c r="F337" s="9">
        <f t="shared" si="28"/>
        <v>12.732395447351628</v>
      </c>
      <c r="G337" s="9">
        <f t="shared" si="29"/>
        <v>13.146198299390555</v>
      </c>
      <c r="H337" s="10">
        <f t="shared" si="30"/>
        <v>13.496339174192725</v>
      </c>
      <c r="K337" s="11">
        <f>_xlfn.XLOOKUP(F337,Ref!$B$3:$B$12,Ref!$C$3:$C$12,"",1)</f>
        <v>1</v>
      </c>
      <c r="L337" s="11">
        <f>_xlfn.XLOOKUP(G337,Ref!$B$3:$B$12,Ref!$C$3:$C$12,"",1)</f>
        <v>1</v>
      </c>
      <c r="M337" s="11">
        <f>_xlfn.XLOOKUP(H337,Ref!$B$3:$B$12,Ref!$C$3:$C$12,"",1)</f>
        <v>1</v>
      </c>
    </row>
    <row r="338" spans="2:13" x14ac:dyDescent="0.25">
      <c r="B338" s="15" t="s">
        <v>12</v>
      </c>
      <c r="C338" s="9">
        <v>57</v>
      </c>
      <c r="D338" s="9">
        <v>64</v>
      </c>
      <c r="E338" s="10">
        <v>67.8</v>
      </c>
      <c r="F338" s="9">
        <f t="shared" si="28"/>
        <v>18.143663512476071</v>
      </c>
      <c r="G338" s="9">
        <f t="shared" si="29"/>
        <v>20.371832715762604</v>
      </c>
      <c r="H338" s="10">
        <f t="shared" si="30"/>
        <v>21.581410283261008</v>
      </c>
      <c r="K338" s="11">
        <f>_xlfn.XLOOKUP(F338,Ref!$B$3:$B$12,Ref!$C$3:$C$12,"",1)</f>
        <v>1</v>
      </c>
      <c r="L338" s="11">
        <f>_xlfn.XLOOKUP(G338,Ref!$B$3:$B$12,Ref!$C$3:$C$12,"",1)</f>
        <v>2</v>
      </c>
      <c r="M338" s="11">
        <f>_xlfn.XLOOKUP(H338,Ref!$B$3:$B$12,Ref!$C$3:$C$12,"",1)</f>
        <v>2</v>
      </c>
    </row>
    <row r="339" spans="2:13" x14ac:dyDescent="0.25">
      <c r="B339" s="15" t="s">
        <v>44</v>
      </c>
      <c r="C339" s="9">
        <v>36.5</v>
      </c>
      <c r="D339" s="9">
        <v>36.5</v>
      </c>
      <c r="E339" s="10">
        <v>36.700000000000003</v>
      </c>
      <c r="F339" s="9">
        <f t="shared" si="28"/>
        <v>11.618310845708359</v>
      </c>
      <c r="G339" s="9">
        <f t="shared" si="29"/>
        <v>11.618310845708359</v>
      </c>
      <c r="H339" s="10">
        <f t="shared" si="30"/>
        <v>11.681972822945118</v>
      </c>
      <c r="K339" s="11">
        <f>_xlfn.XLOOKUP(F339,Ref!$B$3:$B$12,Ref!$C$3:$C$12,"",1)</f>
        <v>1</v>
      </c>
      <c r="L339" s="11">
        <f>_xlfn.XLOOKUP(G339,Ref!$B$3:$B$12,Ref!$C$3:$C$12,"",1)</f>
        <v>1</v>
      </c>
      <c r="M339" s="11">
        <f>_xlfn.XLOOKUP(H339,Ref!$B$3:$B$12,Ref!$C$3:$C$12,"",1)</f>
        <v>1</v>
      </c>
    </row>
    <row r="340" spans="2:13" x14ac:dyDescent="0.25">
      <c r="B340" s="15" t="s">
        <v>11</v>
      </c>
      <c r="C340" s="9">
        <v>35.5</v>
      </c>
      <c r="D340" s="9">
        <v>37.6</v>
      </c>
      <c r="E340" s="10">
        <v>38.6</v>
      </c>
      <c r="F340" s="9">
        <f t="shared" si="28"/>
        <v>11.300000959524569</v>
      </c>
      <c r="G340" s="9">
        <f t="shared" si="29"/>
        <v>11.968451720510529</v>
      </c>
      <c r="H340" s="10">
        <f t="shared" si="30"/>
        <v>12.286761606694322</v>
      </c>
      <c r="K340" s="11">
        <f>_xlfn.XLOOKUP(F340,Ref!$B$3:$B$12,Ref!$C$3:$C$12,"",1)</f>
        <v>1</v>
      </c>
      <c r="L340" s="11">
        <f>_xlfn.XLOOKUP(G340,Ref!$B$3:$B$12,Ref!$C$3:$C$12,"",1)</f>
        <v>1</v>
      </c>
      <c r="M340" s="11">
        <f>_xlfn.XLOOKUP(H340,Ref!$B$3:$B$12,Ref!$C$3:$C$12,"",1)</f>
        <v>1</v>
      </c>
    </row>
    <row r="341" spans="2:13" x14ac:dyDescent="0.25">
      <c r="B341" s="15" t="s">
        <v>14</v>
      </c>
      <c r="C341" s="9">
        <v>34.6</v>
      </c>
      <c r="D341" s="9">
        <v>37.6</v>
      </c>
      <c r="E341" s="10">
        <v>38</v>
      </c>
      <c r="F341" s="9">
        <f t="shared" si="28"/>
        <v>11.013522061959158</v>
      </c>
      <c r="G341" s="9">
        <f t="shared" si="29"/>
        <v>11.968451720510529</v>
      </c>
      <c r="H341" s="10">
        <f t="shared" si="30"/>
        <v>12.095775674984045</v>
      </c>
      <c r="K341" s="11">
        <f>_xlfn.XLOOKUP(F341,Ref!$B$3:$B$12,Ref!$C$3:$C$12,"",1)</f>
        <v>1</v>
      </c>
      <c r="L341" s="11">
        <f>_xlfn.XLOOKUP(G341,Ref!$B$3:$B$12,Ref!$C$3:$C$12,"",1)</f>
        <v>1</v>
      </c>
      <c r="M341" s="11">
        <f>_xlfn.XLOOKUP(H341,Ref!$B$3:$B$12,Ref!$C$3:$C$12,"",1)</f>
        <v>1</v>
      </c>
    </row>
    <row r="342" spans="2:13" x14ac:dyDescent="0.25">
      <c r="B342" s="15" t="s">
        <v>51</v>
      </c>
      <c r="C342" s="9">
        <v>48.5</v>
      </c>
      <c r="D342" s="9">
        <v>50.8</v>
      </c>
      <c r="E342" s="10">
        <v>52.6</v>
      </c>
      <c r="F342" s="9">
        <f t="shared" si="28"/>
        <v>15.438029479913848</v>
      </c>
      <c r="G342" s="9">
        <f t="shared" si="29"/>
        <v>16.170142218136565</v>
      </c>
      <c r="H342" s="10">
        <f t="shared" si="30"/>
        <v>16.743100013267391</v>
      </c>
      <c r="K342" s="11">
        <f>_xlfn.XLOOKUP(F342,Ref!$B$3:$B$12,Ref!$C$3:$C$12,"",1)</f>
        <v>1</v>
      </c>
      <c r="L342" s="11">
        <f>_xlfn.XLOOKUP(G342,Ref!$B$3:$B$12,Ref!$C$3:$C$12,"",1)</f>
        <v>1</v>
      </c>
      <c r="M342" s="11">
        <f>_xlfn.XLOOKUP(H342,Ref!$B$3:$B$12,Ref!$C$3:$C$12,"",1)</f>
        <v>1</v>
      </c>
    </row>
    <row r="343" spans="2:13" x14ac:dyDescent="0.25">
      <c r="B343" s="15" t="s">
        <v>8</v>
      </c>
      <c r="C343" s="9">
        <v>59.4</v>
      </c>
      <c r="D343" s="9">
        <v>70</v>
      </c>
      <c r="E343" s="10">
        <v>67.3</v>
      </c>
      <c r="F343" s="9">
        <f t="shared" si="28"/>
        <v>18.907607239317166</v>
      </c>
      <c r="G343" s="9">
        <f t="shared" si="29"/>
        <v>22.281692032865347</v>
      </c>
      <c r="H343" s="10">
        <f t="shared" si="30"/>
        <v>21.422255340169112</v>
      </c>
      <c r="K343" s="11">
        <f>_xlfn.XLOOKUP(F343,Ref!$B$3:$B$12,Ref!$C$3:$C$12,"",1)</f>
        <v>1</v>
      </c>
      <c r="L343" s="11">
        <f>_xlfn.XLOOKUP(G343,Ref!$B$3:$B$12,Ref!$C$3:$C$12,"",1)</f>
        <v>2</v>
      </c>
      <c r="M343" s="11">
        <f>_xlfn.XLOOKUP(H343,Ref!$B$3:$B$12,Ref!$C$3:$C$12,"",1)</f>
        <v>2</v>
      </c>
    </row>
    <row r="344" spans="2:13" x14ac:dyDescent="0.25">
      <c r="B344" s="15" t="s">
        <v>49</v>
      </c>
      <c r="C344" s="9">
        <v>40</v>
      </c>
      <c r="D344" s="9">
        <v>40</v>
      </c>
      <c r="E344" s="10">
        <v>0</v>
      </c>
      <c r="F344" s="9">
        <f t="shared" si="28"/>
        <v>12.732395447351628</v>
      </c>
      <c r="G344" s="9">
        <f t="shared" si="29"/>
        <v>12.732395447351628</v>
      </c>
      <c r="H344" s="10">
        <f t="shared" si="30"/>
        <v>0</v>
      </c>
      <c r="K344" s="11">
        <f>_xlfn.XLOOKUP(F344,Ref!$B$3:$B$12,Ref!$C$3:$C$12,"",1)</f>
        <v>1</v>
      </c>
      <c r="L344" s="11">
        <f>_xlfn.XLOOKUP(G344,Ref!$B$3:$B$12,Ref!$C$3:$C$12,"",1)</f>
        <v>1</v>
      </c>
      <c r="M344" s="11" t="str">
        <f>_xlfn.XLOOKUP(H344,Ref!$B$3:$B$12,Ref!$C$3:$C$12,"",1)</f>
        <v>Morta</v>
      </c>
    </row>
    <row r="345" spans="2:13" x14ac:dyDescent="0.25">
      <c r="B345" s="15" t="s">
        <v>49</v>
      </c>
      <c r="C345" s="9">
        <v>44.5</v>
      </c>
      <c r="D345" s="9">
        <v>44.6</v>
      </c>
      <c r="E345" s="10">
        <v>0</v>
      </c>
      <c r="F345" s="9">
        <f t="shared" si="28"/>
        <v>14.164789935178685</v>
      </c>
      <c r="G345" s="9">
        <f t="shared" si="29"/>
        <v>14.196620923797065</v>
      </c>
      <c r="H345" s="10">
        <f t="shared" si="30"/>
        <v>0</v>
      </c>
      <c r="K345" s="11">
        <f>_xlfn.XLOOKUP(F345,Ref!$B$3:$B$12,Ref!$C$3:$C$12,"",1)</f>
        <v>1</v>
      </c>
      <c r="L345" s="11">
        <f>_xlfn.XLOOKUP(G345,Ref!$B$3:$B$12,Ref!$C$3:$C$12,"",1)</f>
        <v>1</v>
      </c>
      <c r="M345" s="11" t="str">
        <f>_xlfn.XLOOKUP(H345,Ref!$B$3:$B$12,Ref!$C$3:$C$12,"",1)</f>
        <v>Morta</v>
      </c>
    </row>
    <row r="346" spans="2:13" x14ac:dyDescent="0.25">
      <c r="B346" s="15" t="s">
        <v>40</v>
      </c>
      <c r="C346" s="9">
        <v>38.9</v>
      </c>
      <c r="D346" s="9">
        <v>40.6</v>
      </c>
      <c r="E346" s="10">
        <v>42</v>
      </c>
      <c r="F346" s="9">
        <f t="shared" si="28"/>
        <v>12.382254572549456</v>
      </c>
      <c r="G346" s="9">
        <f t="shared" si="29"/>
        <v>12.923381379061903</v>
      </c>
      <c r="H346" s="10">
        <f t="shared" si="30"/>
        <v>13.369015219719209</v>
      </c>
      <c r="K346" s="11">
        <f>_xlfn.XLOOKUP(F346,Ref!$B$3:$B$12,Ref!$C$3:$C$12,"",1)</f>
        <v>1</v>
      </c>
      <c r="L346" s="11">
        <f>_xlfn.XLOOKUP(G346,Ref!$B$3:$B$12,Ref!$C$3:$C$12,"",1)</f>
        <v>1</v>
      </c>
      <c r="M346" s="11">
        <f>_xlfn.XLOOKUP(H346,Ref!$B$3:$B$12,Ref!$C$3:$C$12,"",1)</f>
        <v>1</v>
      </c>
    </row>
    <row r="347" spans="2:13" x14ac:dyDescent="0.25">
      <c r="B347" s="15" t="s">
        <v>26</v>
      </c>
      <c r="C347" s="9">
        <v>205.8</v>
      </c>
      <c r="D347" s="9">
        <v>211</v>
      </c>
      <c r="E347" s="10">
        <v>220.5</v>
      </c>
      <c r="F347" s="9">
        <f t="shared" si="28"/>
        <v>65.508174576624128</v>
      </c>
      <c r="G347" s="9">
        <f t="shared" si="29"/>
        <v>67.163385984779836</v>
      </c>
      <c r="H347" s="10">
        <f t="shared" si="30"/>
        <v>70.18732990352585</v>
      </c>
      <c r="K347" s="11">
        <f>_xlfn.XLOOKUP(F347,Ref!$B$3:$B$12,Ref!$C$3:$C$12,"",1)</f>
        <v>6</v>
      </c>
      <c r="L347" s="11">
        <f>_xlfn.XLOOKUP(G347,Ref!$B$3:$B$12,Ref!$C$3:$C$12,"",1)</f>
        <v>6</v>
      </c>
      <c r="M347" s="11">
        <f>_xlfn.XLOOKUP(H347,Ref!$B$3:$B$12,Ref!$C$3:$C$12,"",1)</f>
        <v>7</v>
      </c>
    </row>
    <row r="348" spans="2:13" x14ac:dyDescent="0.25">
      <c r="B348" s="15" t="s">
        <v>41</v>
      </c>
      <c r="C348" s="9">
        <v>52.4</v>
      </c>
      <c r="D348" s="9">
        <v>55.8</v>
      </c>
      <c r="E348" s="10">
        <v>56.5</v>
      </c>
      <c r="F348" s="9">
        <f t="shared" si="28"/>
        <v>16.679438036030632</v>
      </c>
      <c r="G348" s="9">
        <f t="shared" si="29"/>
        <v>17.761691649055518</v>
      </c>
      <c r="H348" s="10">
        <f t="shared" si="30"/>
        <v>17.984508569384175</v>
      </c>
      <c r="K348" s="11">
        <f>_xlfn.XLOOKUP(F348,Ref!$B$3:$B$12,Ref!$C$3:$C$12,"",1)</f>
        <v>1</v>
      </c>
      <c r="L348" s="11">
        <f>_xlfn.XLOOKUP(G348,Ref!$B$3:$B$12,Ref!$C$3:$C$12,"",1)</f>
        <v>1</v>
      </c>
      <c r="M348" s="11">
        <f>_xlfn.XLOOKUP(H348,Ref!$B$3:$B$12,Ref!$C$3:$C$12,"",1)</f>
        <v>1</v>
      </c>
    </row>
    <row r="349" spans="2:13" x14ac:dyDescent="0.25">
      <c r="B349" s="15" t="s">
        <v>12</v>
      </c>
      <c r="C349" s="9">
        <v>52.8</v>
      </c>
      <c r="D349" s="9">
        <v>57.8</v>
      </c>
      <c r="E349" s="10">
        <v>59</v>
      </c>
      <c r="F349" s="9">
        <f t="shared" si="28"/>
        <v>16.806761990504146</v>
      </c>
      <c r="G349" s="9">
        <f t="shared" si="29"/>
        <v>18.398311421423102</v>
      </c>
      <c r="H349" s="10">
        <f t="shared" si="30"/>
        <v>18.780283284843652</v>
      </c>
      <c r="K349" s="11">
        <f>_xlfn.XLOOKUP(F349,Ref!$B$3:$B$12,Ref!$C$3:$C$12,"",1)</f>
        <v>1</v>
      </c>
      <c r="L349" s="11">
        <f>_xlfn.XLOOKUP(G349,Ref!$B$3:$B$12,Ref!$C$3:$C$12,"",1)</f>
        <v>1</v>
      </c>
      <c r="M349" s="11">
        <f>_xlfn.XLOOKUP(H349,Ref!$B$3:$B$12,Ref!$C$3:$C$12,"",1)</f>
        <v>1</v>
      </c>
    </row>
    <row r="350" spans="2:13" x14ac:dyDescent="0.25">
      <c r="B350" s="15" t="s">
        <v>25</v>
      </c>
      <c r="C350" s="9">
        <v>43.7</v>
      </c>
      <c r="D350" s="9">
        <v>45</v>
      </c>
      <c r="E350" s="10">
        <v>45.4</v>
      </c>
      <c r="F350" s="9">
        <f t="shared" si="28"/>
        <v>13.910142026231654</v>
      </c>
      <c r="G350" s="9">
        <f t="shared" si="29"/>
        <v>14.323944878270581</v>
      </c>
      <c r="H350" s="10">
        <f t="shared" si="30"/>
        <v>14.451268832744097</v>
      </c>
      <c r="K350" s="11">
        <f>_xlfn.XLOOKUP(F350,Ref!$B$3:$B$12,Ref!$C$3:$C$12,"",1)</f>
        <v>1</v>
      </c>
      <c r="L350" s="11">
        <f>_xlfn.XLOOKUP(G350,Ref!$B$3:$B$12,Ref!$C$3:$C$12,"",1)</f>
        <v>1</v>
      </c>
      <c r="M350" s="11">
        <f>_xlfn.XLOOKUP(H350,Ref!$B$3:$B$12,Ref!$C$3:$C$12,"",1)</f>
        <v>1</v>
      </c>
    </row>
    <row r="351" spans="2:13" x14ac:dyDescent="0.25">
      <c r="B351" s="15" t="s">
        <v>33</v>
      </c>
      <c r="C351" s="9">
        <v>118</v>
      </c>
      <c r="D351" s="9">
        <v>120.2</v>
      </c>
      <c r="E351" s="10">
        <v>125</v>
      </c>
      <c r="F351" s="9">
        <f t="shared" si="28"/>
        <v>37.560566569687303</v>
      </c>
      <c r="G351" s="9">
        <f t="shared" si="29"/>
        <v>38.26084831929164</v>
      </c>
      <c r="H351" s="10">
        <f t="shared" si="30"/>
        <v>39.788735772973837</v>
      </c>
      <c r="K351" s="11">
        <f>_xlfn.XLOOKUP(F351,Ref!$B$3:$B$12,Ref!$C$3:$C$12,"",1)</f>
        <v>3</v>
      </c>
      <c r="L351" s="11">
        <f>_xlfn.XLOOKUP(G351,Ref!$B$3:$B$12,Ref!$C$3:$C$12,"",1)</f>
        <v>3</v>
      </c>
      <c r="M351" s="11">
        <f>_xlfn.XLOOKUP(H351,Ref!$B$3:$B$12,Ref!$C$3:$C$12,"",1)</f>
        <v>3</v>
      </c>
    </row>
    <row r="352" spans="2:13" x14ac:dyDescent="0.25">
      <c r="B352" s="15" t="s">
        <v>26</v>
      </c>
      <c r="C352" s="9">
        <v>205.5</v>
      </c>
      <c r="D352" s="9">
        <v>213</v>
      </c>
      <c r="E352" s="10">
        <v>218.5</v>
      </c>
      <c r="F352" s="9">
        <f t="shared" si="28"/>
        <v>65.412681610768985</v>
      </c>
      <c r="G352" s="9">
        <f t="shared" si="29"/>
        <v>67.800005757147417</v>
      </c>
      <c r="H352" s="10">
        <f t="shared" si="30"/>
        <v>69.550710131158269</v>
      </c>
      <c r="K352" s="11">
        <f>_xlfn.XLOOKUP(F352,Ref!$B$3:$B$12,Ref!$C$3:$C$12,"",1)</f>
        <v>6</v>
      </c>
      <c r="L352" s="11">
        <f>_xlfn.XLOOKUP(G352,Ref!$B$3:$B$12,Ref!$C$3:$C$12,"",1)</f>
        <v>6</v>
      </c>
      <c r="M352" s="11">
        <f>_xlfn.XLOOKUP(H352,Ref!$B$3:$B$12,Ref!$C$3:$C$12,"",1)</f>
        <v>6</v>
      </c>
    </row>
    <row r="353" spans="2:13" x14ac:dyDescent="0.25">
      <c r="B353" s="15" t="s">
        <v>48</v>
      </c>
      <c r="C353" s="9">
        <v>48.7</v>
      </c>
      <c r="D353" s="9">
        <v>49.9</v>
      </c>
      <c r="E353" s="10">
        <v>50.4</v>
      </c>
      <c r="F353" s="9">
        <f t="shared" si="28"/>
        <v>15.501691457150606</v>
      </c>
      <c r="G353" s="9">
        <f t="shared" si="29"/>
        <v>15.883663320571154</v>
      </c>
      <c r="H353" s="10">
        <f t="shared" si="30"/>
        <v>16.042818263663051</v>
      </c>
      <c r="K353" s="11">
        <f>_xlfn.XLOOKUP(F353,Ref!$B$3:$B$12,Ref!$C$3:$C$12,"",1)</f>
        <v>1</v>
      </c>
      <c r="L353" s="11">
        <f>_xlfn.XLOOKUP(G353,Ref!$B$3:$B$12,Ref!$C$3:$C$12,"",1)</f>
        <v>1</v>
      </c>
      <c r="M353" s="11">
        <f>_xlfn.XLOOKUP(H353,Ref!$B$3:$B$12,Ref!$C$3:$C$12,"",1)</f>
        <v>1</v>
      </c>
    </row>
    <row r="354" spans="2:13" x14ac:dyDescent="0.25">
      <c r="B354" s="15" t="s">
        <v>12</v>
      </c>
      <c r="C354" s="9">
        <v>44</v>
      </c>
      <c r="D354" s="9">
        <v>43.8</v>
      </c>
      <c r="E354" s="10">
        <v>0</v>
      </c>
      <c r="F354" s="9">
        <f t="shared" si="28"/>
        <v>14.00563499208679</v>
      </c>
      <c r="G354" s="9">
        <f t="shared" si="29"/>
        <v>13.941973014850031</v>
      </c>
      <c r="H354" s="10">
        <f t="shared" si="30"/>
        <v>0</v>
      </c>
      <c r="K354" s="11">
        <f>_xlfn.XLOOKUP(F354,Ref!$B$3:$B$12,Ref!$C$3:$C$12,"",1)</f>
        <v>1</v>
      </c>
      <c r="L354" s="11">
        <f>_xlfn.XLOOKUP(G354,Ref!$B$3:$B$12,Ref!$C$3:$C$12,"",1)</f>
        <v>1</v>
      </c>
      <c r="M354" s="11" t="str">
        <f>_xlfn.XLOOKUP(H354,Ref!$B$3:$B$12,Ref!$C$3:$C$12,"",1)</f>
        <v>Morta</v>
      </c>
    </row>
    <row r="355" spans="2:13" x14ac:dyDescent="0.25">
      <c r="B355" s="15" t="s">
        <v>28</v>
      </c>
      <c r="C355" s="9">
        <v>57.8</v>
      </c>
      <c r="D355" s="9">
        <v>59.5</v>
      </c>
      <c r="E355" s="10">
        <v>59.6</v>
      </c>
      <c r="F355" s="9">
        <f t="shared" si="28"/>
        <v>18.398311421423102</v>
      </c>
      <c r="G355" s="9">
        <f t="shared" si="29"/>
        <v>18.939438227935547</v>
      </c>
      <c r="H355" s="10">
        <f t="shared" si="30"/>
        <v>18.971269216553925</v>
      </c>
      <c r="K355" s="11">
        <f>_xlfn.XLOOKUP(F355,Ref!$B$3:$B$12,Ref!$C$3:$C$12,"",1)</f>
        <v>1</v>
      </c>
      <c r="L355" s="11">
        <f>_xlfn.XLOOKUP(G355,Ref!$B$3:$B$12,Ref!$C$3:$C$12,"",1)</f>
        <v>1</v>
      </c>
      <c r="M355" s="11">
        <f>_xlfn.XLOOKUP(H355,Ref!$B$3:$B$12,Ref!$C$3:$C$12,"",1)</f>
        <v>1</v>
      </c>
    </row>
    <row r="356" spans="2:13" x14ac:dyDescent="0.25">
      <c r="B356" s="15" t="s">
        <v>34</v>
      </c>
      <c r="C356" s="9">
        <v>61.8</v>
      </c>
      <c r="D356" s="9">
        <v>61.7</v>
      </c>
      <c r="E356" s="10">
        <v>61.8</v>
      </c>
      <c r="F356" s="9">
        <f t="shared" si="28"/>
        <v>19.671550966158264</v>
      </c>
      <c r="G356" s="9">
        <f t="shared" si="29"/>
        <v>19.639719977539887</v>
      </c>
      <c r="H356" s="10">
        <f t="shared" si="30"/>
        <v>19.671550966158264</v>
      </c>
      <c r="K356" s="11">
        <f>_xlfn.XLOOKUP(F356,Ref!$B$3:$B$12,Ref!$C$3:$C$12,"",1)</f>
        <v>1</v>
      </c>
      <c r="L356" s="11">
        <f>_xlfn.XLOOKUP(G356,Ref!$B$3:$B$12,Ref!$C$3:$C$12,"",1)</f>
        <v>1</v>
      </c>
      <c r="M356" s="11">
        <f>_xlfn.XLOOKUP(H356,Ref!$B$3:$B$12,Ref!$C$3:$C$12,"",1)</f>
        <v>1</v>
      </c>
    </row>
    <row r="357" spans="2:13" x14ac:dyDescent="0.25">
      <c r="B357" s="15" t="s">
        <v>34</v>
      </c>
      <c r="C357" s="9">
        <v>85.5</v>
      </c>
      <c r="D357" s="9">
        <v>87.7</v>
      </c>
      <c r="E357" s="10">
        <v>87.9</v>
      </c>
      <c r="F357" s="9">
        <f t="shared" si="28"/>
        <v>27.215495268714104</v>
      </c>
      <c r="G357" s="9">
        <f t="shared" si="29"/>
        <v>27.915777018318444</v>
      </c>
      <c r="H357" s="10">
        <f t="shared" si="30"/>
        <v>27.979438995555203</v>
      </c>
      <c r="K357" s="11">
        <f>_xlfn.XLOOKUP(F357,Ref!$B$3:$B$12,Ref!$C$3:$C$12,"",1)</f>
        <v>2</v>
      </c>
      <c r="L357" s="11">
        <f>_xlfn.XLOOKUP(G357,Ref!$B$3:$B$12,Ref!$C$3:$C$12,"",1)</f>
        <v>2</v>
      </c>
      <c r="M357" s="11">
        <f>_xlfn.XLOOKUP(H357,Ref!$B$3:$B$12,Ref!$C$3:$C$12,"",1)</f>
        <v>2</v>
      </c>
    </row>
    <row r="358" spans="2:13" x14ac:dyDescent="0.25">
      <c r="B358" s="15" t="s">
        <v>52</v>
      </c>
      <c r="C358" s="9">
        <v>86.5</v>
      </c>
      <c r="D358" s="9">
        <v>86.4</v>
      </c>
      <c r="E358" s="10">
        <v>86.8</v>
      </c>
      <c r="F358" s="9">
        <f t="shared" si="28"/>
        <v>27.533805154897895</v>
      </c>
      <c r="G358" s="9">
        <f t="shared" si="29"/>
        <v>27.501974166279517</v>
      </c>
      <c r="H358" s="10">
        <f t="shared" si="30"/>
        <v>27.629298120753031</v>
      </c>
      <c r="K358" s="11">
        <f>_xlfn.XLOOKUP(F358,Ref!$B$3:$B$12,Ref!$C$3:$C$12,"",1)</f>
        <v>2</v>
      </c>
      <c r="L358" s="11">
        <f>_xlfn.XLOOKUP(G358,Ref!$B$3:$B$12,Ref!$C$3:$C$12,"",1)</f>
        <v>2</v>
      </c>
      <c r="M358" s="11">
        <f>_xlfn.XLOOKUP(H358,Ref!$B$3:$B$12,Ref!$C$3:$C$12,"",1)</f>
        <v>2</v>
      </c>
    </row>
    <row r="359" spans="2:13" x14ac:dyDescent="0.25">
      <c r="B359" s="15" t="s">
        <v>14</v>
      </c>
      <c r="C359" s="9">
        <v>38.200000000000003</v>
      </c>
      <c r="D359" s="9">
        <v>0</v>
      </c>
      <c r="E359" s="10">
        <v>0</v>
      </c>
      <c r="F359" s="9">
        <f t="shared" si="28"/>
        <v>12.159437652220806</v>
      </c>
      <c r="G359" s="9">
        <f t="shared" si="29"/>
        <v>0</v>
      </c>
      <c r="H359" s="10">
        <f t="shared" si="30"/>
        <v>0</v>
      </c>
      <c r="K359" s="11">
        <f>_xlfn.XLOOKUP(F359,Ref!$B$3:$B$12,Ref!$C$3:$C$12,"",1)</f>
        <v>1</v>
      </c>
      <c r="L359" s="11" t="str">
        <f>_xlfn.XLOOKUP(G359,Ref!$B$3:$B$12,Ref!$C$3:$C$12,"",1)</f>
        <v>Morta</v>
      </c>
      <c r="M359" s="11" t="str">
        <f>_xlfn.XLOOKUP(H359,Ref!$B$3:$B$12,Ref!$C$3:$C$12,"",1)</f>
        <v>Morta</v>
      </c>
    </row>
    <row r="360" spans="2:13" x14ac:dyDescent="0.25">
      <c r="B360" s="15" t="s">
        <v>7</v>
      </c>
      <c r="C360" s="9">
        <v>49.4</v>
      </c>
      <c r="D360" s="9">
        <v>54.5</v>
      </c>
      <c r="E360" s="10">
        <v>54.5</v>
      </c>
      <c r="F360" s="9">
        <f t="shared" si="28"/>
        <v>15.724508377479259</v>
      </c>
      <c r="G360" s="9">
        <f t="shared" si="29"/>
        <v>17.347888797016591</v>
      </c>
      <c r="H360" s="10">
        <f t="shared" si="30"/>
        <v>17.347888797016591</v>
      </c>
      <c r="K360" s="11">
        <f>_xlfn.XLOOKUP(F360,Ref!$B$3:$B$12,Ref!$C$3:$C$12,"",1)</f>
        <v>1</v>
      </c>
      <c r="L360" s="11">
        <f>_xlfn.XLOOKUP(G360,Ref!$B$3:$B$12,Ref!$C$3:$C$12,"",1)</f>
        <v>1</v>
      </c>
      <c r="M360" s="11">
        <f>_xlfn.XLOOKUP(H360,Ref!$B$3:$B$12,Ref!$C$3:$C$12,"",1)</f>
        <v>1</v>
      </c>
    </row>
    <row r="361" spans="2:13" x14ac:dyDescent="0.25">
      <c r="B361" s="15" t="s">
        <v>12</v>
      </c>
      <c r="C361" s="9">
        <v>48.7</v>
      </c>
      <c r="D361" s="9">
        <v>53.4</v>
      </c>
      <c r="E361" s="10">
        <v>56</v>
      </c>
      <c r="F361" s="9">
        <f t="shared" si="28"/>
        <v>15.501691457150606</v>
      </c>
      <c r="G361" s="9">
        <f t="shared" si="29"/>
        <v>16.997747922214423</v>
      </c>
      <c r="H361" s="10">
        <f t="shared" si="30"/>
        <v>17.82535362629228</v>
      </c>
      <c r="K361" s="11">
        <f>_xlfn.XLOOKUP(F361,Ref!$B$3:$B$12,Ref!$C$3:$C$12,"",1)</f>
        <v>1</v>
      </c>
      <c r="L361" s="11">
        <f>_xlfn.XLOOKUP(G361,Ref!$B$3:$B$12,Ref!$C$3:$C$12,"",1)</f>
        <v>1</v>
      </c>
      <c r="M361" s="11">
        <f>_xlfn.XLOOKUP(H361,Ref!$B$3:$B$12,Ref!$C$3:$C$12,"",1)</f>
        <v>1</v>
      </c>
    </row>
    <row r="362" spans="2:13" x14ac:dyDescent="0.25">
      <c r="B362" s="15" t="s">
        <v>44</v>
      </c>
      <c r="C362" s="9">
        <v>34.5</v>
      </c>
      <c r="D362" s="9">
        <v>35.1</v>
      </c>
      <c r="E362" s="10">
        <v>35.1</v>
      </c>
      <c r="F362" s="9">
        <f t="shared" si="28"/>
        <v>10.981691073340778</v>
      </c>
      <c r="G362" s="9">
        <f t="shared" si="29"/>
        <v>11.172677005051053</v>
      </c>
      <c r="H362" s="10">
        <f t="shared" si="30"/>
        <v>11.172677005051053</v>
      </c>
      <c r="K362" s="11">
        <f>_xlfn.XLOOKUP(F362,Ref!$B$3:$B$12,Ref!$C$3:$C$12,"",1)</f>
        <v>1</v>
      </c>
      <c r="L362" s="11">
        <f>_xlfn.XLOOKUP(G362,Ref!$B$3:$B$12,Ref!$C$3:$C$12,"",1)</f>
        <v>1</v>
      </c>
      <c r="M362" s="11">
        <f>_xlfn.XLOOKUP(H362,Ref!$B$3:$B$12,Ref!$C$3:$C$12,"",1)</f>
        <v>1</v>
      </c>
    </row>
    <row r="363" spans="2:13" x14ac:dyDescent="0.25">
      <c r="B363" s="15" t="s">
        <v>23</v>
      </c>
      <c r="C363" s="9"/>
      <c r="D363" s="9">
        <v>34.4</v>
      </c>
      <c r="E363" s="10">
        <v>38.5</v>
      </c>
      <c r="F363" s="9" t="str">
        <f t="shared" si="28"/>
        <v/>
      </c>
      <c r="G363" s="9">
        <f t="shared" si="29"/>
        <v>10.949860084722399</v>
      </c>
      <c r="H363" s="10">
        <f t="shared" si="30"/>
        <v>12.254930618075941</v>
      </c>
      <c r="K363" s="11" t="str">
        <f>_xlfn.XLOOKUP(F363,Ref!$B$3:$B$12,Ref!$C$3:$C$12,"",1)</f>
        <v/>
      </c>
      <c r="L363" s="11">
        <f>_xlfn.XLOOKUP(G363,Ref!$B$3:$B$12,Ref!$C$3:$C$12,"",1)</f>
        <v>1</v>
      </c>
      <c r="M363" s="11">
        <f>_xlfn.XLOOKUP(H363,Ref!$B$3:$B$12,Ref!$C$3:$C$12,"",1)</f>
        <v>1</v>
      </c>
    </row>
    <row r="364" spans="2:13" x14ac:dyDescent="0.25">
      <c r="B364" s="15" t="s">
        <v>49</v>
      </c>
      <c r="C364" s="9"/>
      <c r="D364" s="9">
        <v>33.5</v>
      </c>
      <c r="E364" s="10">
        <v>34.6</v>
      </c>
      <c r="F364" s="9" t="str">
        <f t="shared" si="28"/>
        <v/>
      </c>
      <c r="G364" s="9">
        <f t="shared" si="29"/>
        <v>10.663381187156988</v>
      </c>
      <c r="H364" s="10">
        <f t="shared" si="30"/>
        <v>11.013522061959158</v>
      </c>
      <c r="K364" s="11" t="str">
        <f>_xlfn.XLOOKUP(F364,Ref!$B$3:$B$12,Ref!$C$3:$C$12,"",1)</f>
        <v/>
      </c>
      <c r="L364" s="11">
        <f>_xlfn.XLOOKUP(G364,Ref!$B$3:$B$12,Ref!$C$3:$C$12,"",1)</f>
        <v>1</v>
      </c>
      <c r="M364" s="11">
        <f>_xlfn.XLOOKUP(H364,Ref!$B$3:$B$12,Ref!$C$3:$C$12,"",1)</f>
        <v>1</v>
      </c>
    </row>
    <row r="365" spans="2:13" x14ac:dyDescent="0.25">
      <c r="B365" s="15" t="s">
        <v>6</v>
      </c>
      <c r="C365" s="9"/>
      <c r="D365" s="9">
        <v>33.6</v>
      </c>
      <c r="E365" s="10">
        <v>35.700000000000003</v>
      </c>
      <c r="F365" s="9" t="str">
        <f t="shared" si="28"/>
        <v/>
      </c>
      <c r="G365" s="9">
        <f t="shared" si="29"/>
        <v>10.695212175775367</v>
      </c>
      <c r="H365" s="10">
        <f t="shared" si="30"/>
        <v>11.363662936761328</v>
      </c>
      <c r="K365" s="11" t="str">
        <f>_xlfn.XLOOKUP(F365,Ref!$B$3:$B$12,Ref!$C$3:$C$12,"",1)</f>
        <v/>
      </c>
      <c r="L365" s="11">
        <f>_xlfn.XLOOKUP(G365,Ref!$B$3:$B$12,Ref!$C$3:$C$12,"",1)</f>
        <v>1</v>
      </c>
      <c r="M365" s="11">
        <f>_xlfn.XLOOKUP(H365,Ref!$B$3:$B$12,Ref!$C$3:$C$12,"",1)</f>
        <v>1</v>
      </c>
    </row>
    <row r="366" spans="2:13" x14ac:dyDescent="0.25">
      <c r="B366" s="15" t="s">
        <v>44</v>
      </c>
      <c r="C366" s="9"/>
      <c r="D366" s="9">
        <v>33.700000000000003</v>
      </c>
      <c r="E366" s="10">
        <v>36.200000000000003</v>
      </c>
      <c r="F366" s="9" t="str">
        <f t="shared" si="28"/>
        <v/>
      </c>
      <c r="G366" s="9">
        <f t="shared" si="29"/>
        <v>10.727043164393747</v>
      </c>
      <c r="H366" s="10">
        <f t="shared" si="30"/>
        <v>11.522817879853223</v>
      </c>
      <c r="K366" s="11" t="str">
        <f>_xlfn.XLOOKUP(F366,Ref!$B$3:$B$12,Ref!$C$3:$C$12,"",1)</f>
        <v/>
      </c>
      <c r="L366" s="11">
        <f>_xlfn.XLOOKUP(G366,Ref!$B$3:$B$12,Ref!$C$3:$C$12,"",1)</f>
        <v>1</v>
      </c>
      <c r="M366" s="11">
        <f>_xlfn.XLOOKUP(H366,Ref!$B$3:$B$12,Ref!$C$3:$C$12,"",1)</f>
        <v>1</v>
      </c>
    </row>
    <row r="367" spans="2:13" x14ac:dyDescent="0.25">
      <c r="B367" s="15" t="s">
        <v>53</v>
      </c>
      <c r="C367" s="9"/>
      <c r="D367" s="9">
        <v>31.9</v>
      </c>
      <c r="E367" s="10">
        <v>31.9</v>
      </c>
      <c r="F367" s="9" t="str">
        <f t="shared" si="28"/>
        <v/>
      </c>
      <c r="G367" s="9">
        <f t="shared" si="29"/>
        <v>10.154085369262923</v>
      </c>
      <c r="H367" s="10">
        <f t="shared" si="30"/>
        <v>10.154085369262923</v>
      </c>
      <c r="K367" s="11" t="str">
        <f>_xlfn.XLOOKUP(F367,Ref!$B$3:$B$12,Ref!$C$3:$C$12,"",1)</f>
        <v/>
      </c>
      <c r="L367" s="11">
        <f>_xlfn.XLOOKUP(G367,Ref!$B$3:$B$12,Ref!$C$3:$C$12,"",1)</f>
        <v>1</v>
      </c>
      <c r="M367" s="11">
        <f>_xlfn.XLOOKUP(H367,Ref!$B$3:$B$12,Ref!$C$3:$C$12,"",1)</f>
        <v>1</v>
      </c>
    </row>
    <row r="368" spans="2:13" x14ac:dyDescent="0.25">
      <c r="B368" s="15" t="s">
        <v>27</v>
      </c>
      <c r="C368" s="9"/>
      <c r="D368" s="9">
        <v>31.5</v>
      </c>
      <c r="E368" s="10">
        <v>32.5</v>
      </c>
      <c r="F368" s="9" t="str">
        <f t="shared" si="28"/>
        <v/>
      </c>
      <c r="G368" s="9">
        <f t="shared" si="29"/>
        <v>10.026761414789407</v>
      </c>
      <c r="H368" s="10">
        <f t="shared" si="30"/>
        <v>10.345071300973197</v>
      </c>
      <c r="K368" s="11" t="str">
        <f>_xlfn.XLOOKUP(F368,Ref!$B$3:$B$12,Ref!$C$3:$C$12,"",1)</f>
        <v/>
      </c>
      <c r="L368" s="11">
        <f>_xlfn.XLOOKUP(G368,Ref!$B$3:$B$12,Ref!$C$3:$C$12,"",1)</f>
        <v>1</v>
      </c>
      <c r="M368" s="11">
        <f>_xlfn.XLOOKUP(H368,Ref!$B$3:$B$12,Ref!$C$3:$C$12,"",1)</f>
        <v>1</v>
      </c>
    </row>
    <row r="369" spans="2:13" x14ac:dyDescent="0.25">
      <c r="B369" s="15" t="s">
        <v>39</v>
      </c>
      <c r="C369" s="9">
        <v>69.2</v>
      </c>
      <c r="D369" s="9">
        <v>76.400000000000006</v>
      </c>
      <c r="E369" s="10">
        <v>84.3</v>
      </c>
      <c r="F369" s="9">
        <f t="shared" si="28"/>
        <v>22.027044123918316</v>
      </c>
      <c r="G369" s="9">
        <f t="shared" si="29"/>
        <v>24.318875304441612</v>
      </c>
      <c r="H369" s="10">
        <f t="shared" si="30"/>
        <v>26.833523405293555</v>
      </c>
      <c r="K369" s="11">
        <f>_xlfn.XLOOKUP(F369,Ref!$B$3:$B$12,Ref!$C$3:$C$12,"",1)</f>
        <v>2</v>
      </c>
      <c r="L369" s="11">
        <f>_xlfn.XLOOKUP(G369,Ref!$B$3:$B$12,Ref!$C$3:$C$12,"",1)</f>
        <v>2</v>
      </c>
      <c r="M369" s="11">
        <f>_xlfn.XLOOKUP(H369,Ref!$B$3:$B$12,Ref!$C$3:$C$12,"",1)</f>
        <v>2</v>
      </c>
    </row>
    <row r="370" spans="2:13" x14ac:dyDescent="0.25">
      <c r="B370" s="15" t="s">
        <v>14</v>
      </c>
      <c r="C370" s="9">
        <v>83</v>
      </c>
      <c r="D370" s="9">
        <v>91.8</v>
      </c>
      <c r="E370" s="10">
        <v>103.4</v>
      </c>
      <c r="F370" s="9">
        <f t="shared" si="28"/>
        <v>26.419720553254628</v>
      </c>
      <c r="G370" s="9">
        <f t="shared" si="29"/>
        <v>29.220847551671984</v>
      </c>
      <c r="H370" s="10">
        <f t="shared" si="30"/>
        <v>32.913242231403956</v>
      </c>
      <c r="K370" s="11">
        <f>_xlfn.XLOOKUP(F370,Ref!$B$3:$B$12,Ref!$C$3:$C$12,"",1)</f>
        <v>2</v>
      </c>
      <c r="L370" s="11">
        <f>_xlfn.XLOOKUP(G370,Ref!$B$3:$B$12,Ref!$C$3:$C$12,"",1)</f>
        <v>2</v>
      </c>
      <c r="M370" s="11">
        <f>_xlfn.XLOOKUP(H370,Ref!$B$3:$B$12,Ref!$C$3:$C$12,"",1)</f>
        <v>3</v>
      </c>
    </row>
    <row r="371" spans="2:13" x14ac:dyDescent="0.25">
      <c r="B371" s="15" t="s">
        <v>10</v>
      </c>
      <c r="C371" s="9">
        <v>32.5</v>
      </c>
      <c r="D371" s="9">
        <v>37.1</v>
      </c>
      <c r="E371" s="10">
        <v>40.799999999999997</v>
      </c>
      <c r="F371" s="9">
        <f t="shared" si="28"/>
        <v>10.345071300973197</v>
      </c>
      <c r="G371" s="9">
        <f t="shared" si="29"/>
        <v>11.809296777418634</v>
      </c>
      <c r="H371" s="10">
        <f t="shared" si="30"/>
        <v>12.98704335629866</v>
      </c>
      <c r="K371" s="11">
        <f>_xlfn.XLOOKUP(F371,Ref!$B$3:$B$12,Ref!$C$3:$C$12,"",1)</f>
        <v>1</v>
      </c>
      <c r="L371" s="11">
        <f>_xlfn.XLOOKUP(G371,Ref!$B$3:$B$12,Ref!$C$3:$C$12,"",1)</f>
        <v>1</v>
      </c>
      <c r="M371" s="11">
        <f>_xlfn.XLOOKUP(H371,Ref!$B$3:$B$12,Ref!$C$3:$C$12,"",1)</f>
        <v>1</v>
      </c>
    </row>
    <row r="372" spans="2:13" x14ac:dyDescent="0.25">
      <c r="B372" s="15" t="s">
        <v>10</v>
      </c>
      <c r="C372" s="9">
        <v>32.5</v>
      </c>
      <c r="D372" s="9">
        <v>34.9</v>
      </c>
      <c r="E372" s="10">
        <v>34.9</v>
      </c>
      <c r="F372" s="9">
        <f t="shared" ref="F372:F432" si="31">IF(C372="", "", C372/PI())</f>
        <v>10.345071300973197</v>
      </c>
      <c r="G372" s="9">
        <f t="shared" ref="G372:G432" si="32">IF(D372="", "", D372/PI())</f>
        <v>11.109015027814294</v>
      </c>
      <c r="H372" s="10">
        <f t="shared" ref="H372:H432" si="33">IF(E372="", "", E372/PI())</f>
        <v>11.109015027814294</v>
      </c>
      <c r="K372" s="11">
        <f>_xlfn.XLOOKUP(F372,Ref!$B$3:$B$12,Ref!$C$3:$C$12,"",1)</f>
        <v>1</v>
      </c>
      <c r="L372" s="11">
        <f>_xlfn.XLOOKUP(G372,Ref!$B$3:$B$12,Ref!$C$3:$C$12,"",1)</f>
        <v>1</v>
      </c>
      <c r="M372" s="11">
        <f>_xlfn.XLOOKUP(H372,Ref!$B$3:$B$12,Ref!$C$3:$C$12,"",1)</f>
        <v>1</v>
      </c>
    </row>
    <row r="373" spans="2:13" x14ac:dyDescent="0.25">
      <c r="B373" s="15" t="s">
        <v>47</v>
      </c>
      <c r="C373" s="9">
        <v>59.5</v>
      </c>
      <c r="D373" s="9">
        <v>74</v>
      </c>
      <c r="E373" s="10">
        <v>70.5</v>
      </c>
      <c r="F373" s="9">
        <f t="shared" si="31"/>
        <v>18.939438227935547</v>
      </c>
      <c r="G373" s="9">
        <f t="shared" si="32"/>
        <v>23.554931577600509</v>
      </c>
      <c r="H373" s="10">
        <f t="shared" si="33"/>
        <v>22.440846975957243</v>
      </c>
      <c r="K373" s="11">
        <f>_xlfn.XLOOKUP(F373,Ref!$B$3:$B$12,Ref!$C$3:$C$12,"",1)</f>
        <v>1</v>
      </c>
      <c r="L373" s="11">
        <f>_xlfn.XLOOKUP(G373,Ref!$B$3:$B$12,Ref!$C$3:$C$12,"",1)</f>
        <v>2</v>
      </c>
      <c r="M373" s="11">
        <f>_xlfn.XLOOKUP(H373,Ref!$B$3:$B$12,Ref!$C$3:$C$12,"",1)</f>
        <v>2</v>
      </c>
    </row>
    <row r="374" spans="2:13" x14ac:dyDescent="0.25">
      <c r="B374" s="15" t="s">
        <v>12</v>
      </c>
      <c r="C374" s="9">
        <v>45.6</v>
      </c>
      <c r="D374" s="9">
        <v>48</v>
      </c>
      <c r="E374" s="10">
        <v>48.8</v>
      </c>
      <c r="F374" s="9">
        <f t="shared" si="31"/>
        <v>14.514930809980855</v>
      </c>
      <c r="G374" s="9">
        <f t="shared" si="32"/>
        <v>15.278874536821952</v>
      </c>
      <c r="H374" s="10">
        <f t="shared" si="33"/>
        <v>15.533522445768984</v>
      </c>
      <c r="K374" s="11">
        <f>_xlfn.XLOOKUP(F374,Ref!$B$3:$B$12,Ref!$C$3:$C$12,"",1)</f>
        <v>1</v>
      </c>
      <c r="L374" s="11">
        <f>_xlfn.XLOOKUP(G374,Ref!$B$3:$B$12,Ref!$C$3:$C$12,"",1)</f>
        <v>1</v>
      </c>
      <c r="M374" s="11">
        <f>_xlfn.XLOOKUP(H374,Ref!$B$3:$B$12,Ref!$C$3:$C$12,"",1)</f>
        <v>1</v>
      </c>
    </row>
    <row r="375" spans="2:13" x14ac:dyDescent="0.25">
      <c r="B375" s="15" t="s">
        <v>12</v>
      </c>
      <c r="C375" s="9">
        <v>40.6</v>
      </c>
      <c r="D375" s="9">
        <v>43.5</v>
      </c>
      <c r="E375" s="10">
        <v>46.8</v>
      </c>
      <c r="F375" s="9">
        <f t="shared" si="31"/>
        <v>12.923381379061903</v>
      </c>
      <c r="G375" s="9">
        <f t="shared" si="32"/>
        <v>13.846480048994895</v>
      </c>
      <c r="H375" s="10">
        <f t="shared" si="33"/>
        <v>14.896902673401403</v>
      </c>
      <c r="K375" s="11">
        <f>_xlfn.XLOOKUP(F375,Ref!$B$3:$B$12,Ref!$C$3:$C$12,"",1)</f>
        <v>1</v>
      </c>
      <c r="L375" s="11">
        <f>_xlfn.XLOOKUP(G375,Ref!$B$3:$B$12,Ref!$C$3:$C$12,"",1)</f>
        <v>1</v>
      </c>
      <c r="M375" s="11">
        <f>_xlfn.XLOOKUP(H375,Ref!$B$3:$B$12,Ref!$C$3:$C$12,"",1)</f>
        <v>1</v>
      </c>
    </row>
    <row r="376" spans="2:13" x14ac:dyDescent="0.25">
      <c r="B376" s="15" t="s">
        <v>8</v>
      </c>
      <c r="C376" s="9">
        <v>105.8</v>
      </c>
      <c r="D376" s="9">
        <v>108</v>
      </c>
      <c r="E376" s="10">
        <v>108.3</v>
      </c>
      <c r="F376" s="9">
        <f t="shared" si="31"/>
        <v>33.677185958245055</v>
      </c>
      <c r="G376" s="9">
        <f t="shared" si="32"/>
        <v>34.377467707849391</v>
      </c>
      <c r="H376" s="10">
        <f t="shared" si="33"/>
        <v>34.472960673704527</v>
      </c>
      <c r="K376" s="11">
        <f>_xlfn.XLOOKUP(F376,Ref!$B$3:$B$12,Ref!$C$3:$C$12,"",1)</f>
        <v>3</v>
      </c>
      <c r="L376" s="11">
        <f>_xlfn.XLOOKUP(G376,Ref!$B$3:$B$12,Ref!$C$3:$C$12,"",1)</f>
        <v>3</v>
      </c>
      <c r="M376" s="11">
        <f>_xlfn.XLOOKUP(H376,Ref!$B$3:$B$12,Ref!$C$3:$C$12,"",1)</f>
        <v>3</v>
      </c>
    </row>
    <row r="377" spans="2:13" x14ac:dyDescent="0.25">
      <c r="B377" s="15" t="s">
        <v>25</v>
      </c>
      <c r="C377" s="9">
        <v>37.4</v>
      </c>
      <c r="D377" s="9">
        <v>37.799999999999997</v>
      </c>
      <c r="E377" s="10">
        <v>39.5</v>
      </c>
      <c r="F377" s="9">
        <f t="shared" si="31"/>
        <v>11.904789743273771</v>
      </c>
      <c r="G377" s="9">
        <f t="shared" si="32"/>
        <v>12.032113697747286</v>
      </c>
      <c r="H377" s="10">
        <f t="shared" si="33"/>
        <v>12.573240504259733</v>
      </c>
      <c r="K377" s="11">
        <f>_xlfn.XLOOKUP(F377,Ref!$B$3:$B$12,Ref!$C$3:$C$12,"",1)</f>
        <v>1</v>
      </c>
      <c r="L377" s="11">
        <f>_xlfn.XLOOKUP(G377,Ref!$B$3:$B$12,Ref!$C$3:$C$12,"",1)</f>
        <v>1</v>
      </c>
      <c r="M377" s="11">
        <f>_xlfn.XLOOKUP(H377,Ref!$B$3:$B$12,Ref!$C$3:$C$12,"",1)</f>
        <v>1</v>
      </c>
    </row>
    <row r="378" spans="2:13" x14ac:dyDescent="0.25">
      <c r="B378" s="15" t="s">
        <v>39</v>
      </c>
      <c r="C378" s="9">
        <v>34</v>
      </c>
      <c r="D378" s="9">
        <v>37.9</v>
      </c>
      <c r="E378" s="10">
        <v>41.3</v>
      </c>
      <c r="F378" s="9">
        <f t="shared" si="31"/>
        <v>10.822536130248883</v>
      </c>
      <c r="G378" s="9">
        <f t="shared" si="32"/>
        <v>12.063944686365666</v>
      </c>
      <c r="H378" s="10">
        <f t="shared" si="33"/>
        <v>13.146198299390555</v>
      </c>
      <c r="K378" s="11">
        <f>_xlfn.XLOOKUP(F378,Ref!$B$3:$B$12,Ref!$C$3:$C$12,"",1)</f>
        <v>1</v>
      </c>
      <c r="L378" s="11">
        <f>_xlfn.XLOOKUP(G378,Ref!$B$3:$B$12,Ref!$C$3:$C$12,"",1)</f>
        <v>1</v>
      </c>
      <c r="M378" s="11">
        <f>_xlfn.XLOOKUP(H378,Ref!$B$3:$B$12,Ref!$C$3:$C$12,"",1)</f>
        <v>1</v>
      </c>
    </row>
    <row r="379" spans="2:13" x14ac:dyDescent="0.25">
      <c r="B379" s="15" t="s">
        <v>28</v>
      </c>
      <c r="C379" s="9">
        <v>58.5</v>
      </c>
      <c r="D379" s="9">
        <v>56.3</v>
      </c>
      <c r="E379" s="10">
        <v>58.5</v>
      </c>
      <c r="F379" s="9">
        <f t="shared" si="31"/>
        <v>18.621128341751756</v>
      </c>
      <c r="G379" s="9">
        <f t="shared" si="32"/>
        <v>17.920846592147413</v>
      </c>
      <c r="H379" s="10">
        <f t="shared" si="33"/>
        <v>18.621128341751756</v>
      </c>
      <c r="K379" s="11">
        <f>_xlfn.XLOOKUP(F379,Ref!$B$3:$B$12,Ref!$C$3:$C$12,"",1)</f>
        <v>1</v>
      </c>
      <c r="L379" s="11">
        <f>_xlfn.XLOOKUP(G379,Ref!$B$3:$B$12,Ref!$C$3:$C$12,"",1)</f>
        <v>1</v>
      </c>
      <c r="M379" s="11">
        <f>_xlfn.XLOOKUP(H379,Ref!$B$3:$B$12,Ref!$C$3:$C$12,"",1)</f>
        <v>1</v>
      </c>
    </row>
    <row r="380" spans="2:13" x14ac:dyDescent="0.25">
      <c r="B380" s="15" t="s">
        <v>54</v>
      </c>
      <c r="C380" s="9">
        <v>70.8</v>
      </c>
      <c r="D380" s="9">
        <v>73.8</v>
      </c>
      <c r="E380" s="10">
        <v>74.099999999999994</v>
      </c>
      <c r="F380" s="9">
        <f t="shared" si="31"/>
        <v>22.536339941812379</v>
      </c>
      <c r="G380" s="9">
        <f t="shared" si="32"/>
        <v>23.491269600363751</v>
      </c>
      <c r="H380" s="10">
        <f t="shared" si="33"/>
        <v>23.586762566218887</v>
      </c>
      <c r="K380" s="11">
        <f>_xlfn.XLOOKUP(F380,Ref!$B$3:$B$12,Ref!$C$3:$C$12,"",1)</f>
        <v>2</v>
      </c>
      <c r="L380" s="11">
        <f>_xlfn.XLOOKUP(G380,Ref!$B$3:$B$12,Ref!$C$3:$C$12,"",1)</f>
        <v>2</v>
      </c>
      <c r="M380" s="11">
        <f>_xlfn.XLOOKUP(H380,Ref!$B$3:$B$12,Ref!$C$3:$C$12,"",1)</f>
        <v>2</v>
      </c>
    </row>
    <row r="381" spans="2:13" x14ac:dyDescent="0.25">
      <c r="B381" s="15" t="s">
        <v>12</v>
      </c>
      <c r="C381" s="9">
        <v>41.2</v>
      </c>
      <c r="D381" s="9">
        <v>41.8</v>
      </c>
      <c r="E381" s="10">
        <v>43</v>
      </c>
      <c r="F381" s="9">
        <f t="shared" si="31"/>
        <v>13.114367310772177</v>
      </c>
      <c r="G381" s="9">
        <f t="shared" si="32"/>
        <v>13.30535324248245</v>
      </c>
      <c r="H381" s="10">
        <f t="shared" si="33"/>
        <v>13.687325105903</v>
      </c>
      <c r="K381" s="11">
        <f>_xlfn.XLOOKUP(F381,Ref!$B$3:$B$12,Ref!$C$3:$C$12,"",1)</f>
        <v>1</v>
      </c>
      <c r="L381" s="11">
        <f>_xlfn.XLOOKUP(G381,Ref!$B$3:$B$12,Ref!$C$3:$C$12,"",1)</f>
        <v>1</v>
      </c>
      <c r="M381" s="11">
        <f>_xlfn.XLOOKUP(H381,Ref!$B$3:$B$12,Ref!$C$3:$C$12,"",1)</f>
        <v>1</v>
      </c>
    </row>
    <row r="382" spans="2:13" x14ac:dyDescent="0.25">
      <c r="B382" s="15" t="s">
        <v>30</v>
      </c>
      <c r="C382" s="9">
        <v>55</v>
      </c>
      <c r="D382" s="9">
        <v>61</v>
      </c>
      <c r="E382" s="10">
        <v>70.2</v>
      </c>
      <c r="F382" s="9">
        <f t="shared" si="31"/>
        <v>17.507043740108486</v>
      </c>
      <c r="G382" s="9">
        <f t="shared" si="32"/>
        <v>19.416903057211233</v>
      </c>
      <c r="H382" s="10">
        <f t="shared" si="33"/>
        <v>22.345354010102106</v>
      </c>
      <c r="K382" s="11">
        <f>_xlfn.XLOOKUP(F382,Ref!$B$3:$B$12,Ref!$C$3:$C$12,"",1)</f>
        <v>1</v>
      </c>
      <c r="L382" s="11">
        <f>_xlfn.XLOOKUP(G382,Ref!$B$3:$B$12,Ref!$C$3:$C$12,"",1)</f>
        <v>1</v>
      </c>
      <c r="M382" s="11">
        <f>_xlfn.XLOOKUP(H382,Ref!$B$3:$B$12,Ref!$C$3:$C$12,"",1)</f>
        <v>2</v>
      </c>
    </row>
    <row r="383" spans="2:13" x14ac:dyDescent="0.25">
      <c r="B383" s="15" t="s">
        <v>10</v>
      </c>
      <c r="C383" s="9">
        <v>93.5</v>
      </c>
      <c r="D383" s="9">
        <v>97.9</v>
      </c>
      <c r="E383" s="10">
        <v>101.9</v>
      </c>
      <c r="F383" s="9">
        <f t="shared" si="31"/>
        <v>29.761974358184428</v>
      </c>
      <c r="G383" s="9">
        <f t="shared" si="32"/>
        <v>31.162537857393108</v>
      </c>
      <c r="H383" s="10">
        <f t="shared" si="33"/>
        <v>32.435777402128274</v>
      </c>
      <c r="K383" s="11">
        <f>_xlfn.XLOOKUP(F383,Ref!$B$3:$B$12,Ref!$C$3:$C$12,"",1)</f>
        <v>2</v>
      </c>
      <c r="L383" s="11">
        <f>_xlfn.XLOOKUP(G383,Ref!$B$3:$B$12,Ref!$C$3:$C$12,"",1)</f>
        <v>3</v>
      </c>
      <c r="M383" s="11">
        <f>_xlfn.XLOOKUP(H383,Ref!$B$3:$B$12,Ref!$C$3:$C$12,"",1)</f>
        <v>3</v>
      </c>
    </row>
    <row r="384" spans="2:13" x14ac:dyDescent="0.25">
      <c r="B384" s="15" t="s">
        <v>12</v>
      </c>
      <c r="C384" s="9">
        <v>48.8</v>
      </c>
      <c r="D384" s="9">
        <v>50.4</v>
      </c>
      <c r="E384" s="10">
        <v>50.4</v>
      </c>
      <c r="F384" s="9">
        <f t="shared" si="31"/>
        <v>15.533522445768984</v>
      </c>
      <c r="G384" s="9">
        <f t="shared" si="32"/>
        <v>16.042818263663051</v>
      </c>
      <c r="H384" s="10">
        <f t="shared" si="33"/>
        <v>16.042818263663051</v>
      </c>
      <c r="K384" s="11">
        <f>_xlfn.XLOOKUP(F384,Ref!$B$3:$B$12,Ref!$C$3:$C$12,"",1)</f>
        <v>1</v>
      </c>
      <c r="L384" s="11">
        <f>_xlfn.XLOOKUP(G384,Ref!$B$3:$B$12,Ref!$C$3:$C$12,"",1)</f>
        <v>1</v>
      </c>
      <c r="M384" s="11">
        <f>_xlfn.XLOOKUP(H384,Ref!$B$3:$B$12,Ref!$C$3:$C$12,"",1)</f>
        <v>1</v>
      </c>
    </row>
    <row r="385" spans="2:13" x14ac:dyDescent="0.25">
      <c r="B385" s="15" t="s">
        <v>48</v>
      </c>
      <c r="C385" s="9">
        <v>52</v>
      </c>
      <c r="D385" s="9">
        <v>54</v>
      </c>
      <c r="E385" s="10">
        <v>55.8</v>
      </c>
      <c r="F385" s="9">
        <f t="shared" si="31"/>
        <v>16.552114081557114</v>
      </c>
      <c r="G385" s="9">
        <f t="shared" si="32"/>
        <v>17.188733853924695</v>
      </c>
      <c r="H385" s="10">
        <f t="shared" si="33"/>
        <v>17.761691649055518</v>
      </c>
      <c r="K385" s="11">
        <f>_xlfn.XLOOKUP(F385,Ref!$B$3:$B$12,Ref!$C$3:$C$12,"",1)</f>
        <v>1</v>
      </c>
      <c r="L385" s="11">
        <f>_xlfn.XLOOKUP(G385,Ref!$B$3:$B$12,Ref!$C$3:$C$12,"",1)</f>
        <v>1</v>
      </c>
      <c r="M385" s="11">
        <f>_xlfn.XLOOKUP(H385,Ref!$B$3:$B$12,Ref!$C$3:$C$12,"",1)</f>
        <v>1</v>
      </c>
    </row>
    <row r="386" spans="2:13" x14ac:dyDescent="0.25">
      <c r="B386" s="15" t="s">
        <v>6</v>
      </c>
      <c r="C386" s="9">
        <v>46.7</v>
      </c>
      <c r="D386" s="9">
        <v>48.8</v>
      </c>
      <c r="E386" s="10">
        <v>50.5</v>
      </c>
      <c r="F386" s="9">
        <f t="shared" si="31"/>
        <v>14.865071684783025</v>
      </c>
      <c r="G386" s="9">
        <f t="shared" si="32"/>
        <v>15.533522445768984</v>
      </c>
      <c r="H386" s="10">
        <f t="shared" si="33"/>
        <v>16.074649252281429</v>
      </c>
      <c r="K386" s="11">
        <f>_xlfn.XLOOKUP(F386,Ref!$B$3:$B$12,Ref!$C$3:$C$12,"",1)</f>
        <v>1</v>
      </c>
      <c r="L386" s="11">
        <f>_xlfn.XLOOKUP(G386,Ref!$B$3:$B$12,Ref!$C$3:$C$12,"",1)</f>
        <v>1</v>
      </c>
      <c r="M386" s="11">
        <f>_xlfn.XLOOKUP(H386,Ref!$B$3:$B$12,Ref!$C$3:$C$12,"",1)</f>
        <v>1</v>
      </c>
    </row>
    <row r="387" spans="2:13" x14ac:dyDescent="0.25">
      <c r="B387" s="15" t="s">
        <v>44</v>
      </c>
      <c r="C387" s="9">
        <v>34</v>
      </c>
      <c r="D387" s="9">
        <v>34</v>
      </c>
      <c r="E387" s="10">
        <v>34.4</v>
      </c>
      <c r="F387" s="9">
        <f t="shared" si="31"/>
        <v>10.822536130248883</v>
      </c>
      <c r="G387" s="9">
        <f t="shared" si="32"/>
        <v>10.822536130248883</v>
      </c>
      <c r="H387" s="10">
        <f t="shared" si="33"/>
        <v>10.949860084722399</v>
      </c>
      <c r="K387" s="11">
        <f>_xlfn.XLOOKUP(F387,Ref!$B$3:$B$12,Ref!$C$3:$C$12,"",1)</f>
        <v>1</v>
      </c>
      <c r="L387" s="11">
        <f>_xlfn.XLOOKUP(G387,Ref!$B$3:$B$12,Ref!$C$3:$C$12,"",1)</f>
        <v>1</v>
      </c>
      <c r="M387" s="11">
        <f>_xlfn.XLOOKUP(H387,Ref!$B$3:$B$12,Ref!$C$3:$C$12,"",1)</f>
        <v>1</v>
      </c>
    </row>
    <row r="388" spans="2:13" x14ac:dyDescent="0.25">
      <c r="B388" s="15" t="s">
        <v>28</v>
      </c>
      <c r="C388" s="9">
        <v>67.2</v>
      </c>
      <c r="D388" s="9">
        <v>68.7</v>
      </c>
      <c r="E388" s="10">
        <v>69</v>
      </c>
      <c r="F388" s="9">
        <f t="shared" si="31"/>
        <v>21.390424351550735</v>
      </c>
      <c r="G388" s="9">
        <f t="shared" si="32"/>
        <v>21.86788918082642</v>
      </c>
      <c r="H388" s="10">
        <f t="shared" si="33"/>
        <v>21.963382146681557</v>
      </c>
      <c r="K388" s="11">
        <f>_xlfn.XLOOKUP(F388,Ref!$B$3:$B$12,Ref!$C$3:$C$12,"",1)</f>
        <v>2</v>
      </c>
      <c r="L388" s="11">
        <f>_xlfn.XLOOKUP(G388,Ref!$B$3:$B$12,Ref!$C$3:$C$12,"",1)</f>
        <v>2</v>
      </c>
      <c r="M388" s="11">
        <f>_xlfn.XLOOKUP(H388,Ref!$B$3:$B$12,Ref!$C$3:$C$12,"",1)</f>
        <v>2</v>
      </c>
    </row>
    <row r="389" spans="2:13" x14ac:dyDescent="0.25">
      <c r="B389" s="15" t="s">
        <v>26</v>
      </c>
      <c r="C389" s="9">
        <v>192.6</v>
      </c>
      <c r="D389" s="9">
        <v>205</v>
      </c>
      <c r="E389" s="10">
        <v>212</v>
      </c>
      <c r="F389" s="9">
        <f t="shared" si="31"/>
        <v>61.306484078998082</v>
      </c>
      <c r="G389" s="9">
        <f t="shared" si="32"/>
        <v>65.253526667677093</v>
      </c>
      <c r="H389" s="10">
        <f t="shared" si="33"/>
        <v>67.48169587096362</v>
      </c>
      <c r="K389" s="11">
        <f>_xlfn.XLOOKUP(F389,Ref!$B$3:$B$12,Ref!$C$3:$C$12,"",1)</f>
        <v>6</v>
      </c>
      <c r="L389" s="11">
        <f>_xlfn.XLOOKUP(G389,Ref!$B$3:$B$12,Ref!$C$3:$C$12,"",1)</f>
        <v>6</v>
      </c>
      <c r="M389" s="11">
        <f>_xlfn.XLOOKUP(H389,Ref!$B$3:$B$12,Ref!$C$3:$C$12,"",1)</f>
        <v>6</v>
      </c>
    </row>
    <row r="390" spans="2:13" x14ac:dyDescent="0.25">
      <c r="B390" s="15" t="s">
        <v>31</v>
      </c>
      <c r="C390" s="9">
        <v>44.3</v>
      </c>
      <c r="D390" s="9">
        <v>45.6</v>
      </c>
      <c r="E390" s="10">
        <v>46</v>
      </c>
      <c r="F390" s="9">
        <f t="shared" si="31"/>
        <v>14.101127957941927</v>
      </c>
      <c r="G390" s="9">
        <f t="shared" si="32"/>
        <v>14.514930809980855</v>
      </c>
      <c r="H390" s="10">
        <f t="shared" si="33"/>
        <v>14.642254764454371</v>
      </c>
      <c r="K390" s="11">
        <f>_xlfn.XLOOKUP(F390,Ref!$B$3:$B$12,Ref!$C$3:$C$12,"",1)</f>
        <v>1</v>
      </c>
      <c r="L390" s="11">
        <f>_xlfn.XLOOKUP(G390,Ref!$B$3:$B$12,Ref!$C$3:$C$12,"",1)</f>
        <v>1</v>
      </c>
      <c r="M390" s="11">
        <f>_xlfn.XLOOKUP(H390,Ref!$B$3:$B$12,Ref!$C$3:$C$12,"",1)</f>
        <v>1</v>
      </c>
    </row>
    <row r="391" spans="2:13" x14ac:dyDescent="0.25">
      <c r="B391" s="15" t="s">
        <v>12</v>
      </c>
      <c r="C391" s="9">
        <v>41.5</v>
      </c>
      <c r="D391" s="9">
        <v>44.7</v>
      </c>
      <c r="E391" s="10">
        <v>46</v>
      </c>
      <c r="F391" s="9">
        <f t="shared" si="31"/>
        <v>13.209860276627314</v>
      </c>
      <c r="G391" s="9">
        <f t="shared" si="32"/>
        <v>14.228451912415444</v>
      </c>
      <c r="H391" s="10">
        <f t="shared" si="33"/>
        <v>14.642254764454371</v>
      </c>
      <c r="K391" s="11">
        <f>_xlfn.XLOOKUP(F391,Ref!$B$3:$B$12,Ref!$C$3:$C$12,"",1)</f>
        <v>1</v>
      </c>
      <c r="L391" s="11">
        <f>_xlfn.XLOOKUP(G391,Ref!$B$3:$B$12,Ref!$C$3:$C$12,"",1)</f>
        <v>1</v>
      </c>
      <c r="M391" s="11">
        <f>_xlfn.XLOOKUP(H391,Ref!$B$3:$B$12,Ref!$C$3:$C$12,"",1)</f>
        <v>1</v>
      </c>
    </row>
    <row r="392" spans="2:13" x14ac:dyDescent="0.25">
      <c r="B392" s="15" t="s">
        <v>37</v>
      </c>
      <c r="C392" s="9">
        <v>40.700000000000003</v>
      </c>
      <c r="D392" s="9">
        <v>36.299999999999997</v>
      </c>
      <c r="E392" s="10">
        <v>47.7</v>
      </c>
      <c r="F392" s="9">
        <f t="shared" si="31"/>
        <v>12.955212367680282</v>
      </c>
      <c r="G392" s="9">
        <f t="shared" si="32"/>
        <v>11.554648868471601</v>
      </c>
      <c r="H392" s="10">
        <f t="shared" si="33"/>
        <v>15.183381570966816</v>
      </c>
      <c r="K392" s="11">
        <f>_xlfn.XLOOKUP(F392,Ref!$B$3:$B$12,Ref!$C$3:$C$12,"",1)</f>
        <v>1</v>
      </c>
      <c r="L392" s="11">
        <f>_xlfn.XLOOKUP(G392,Ref!$B$3:$B$12,Ref!$C$3:$C$12,"",1)</f>
        <v>1</v>
      </c>
      <c r="M392" s="11">
        <f>_xlfn.XLOOKUP(H392,Ref!$B$3:$B$12,Ref!$C$3:$C$12,"",1)</f>
        <v>1</v>
      </c>
    </row>
    <row r="393" spans="2:13" x14ac:dyDescent="0.25">
      <c r="B393" s="15" t="s">
        <v>28</v>
      </c>
      <c r="C393" s="9">
        <v>34.799999999999997</v>
      </c>
      <c r="D393" s="9">
        <v>42.4</v>
      </c>
      <c r="E393" s="10">
        <v>36.700000000000003</v>
      </c>
      <c r="F393" s="9">
        <f t="shared" si="31"/>
        <v>11.077184039195915</v>
      </c>
      <c r="G393" s="9">
        <f t="shared" si="32"/>
        <v>13.496339174192725</v>
      </c>
      <c r="H393" s="10">
        <f t="shared" si="33"/>
        <v>11.681972822945118</v>
      </c>
      <c r="K393" s="11">
        <f>_xlfn.XLOOKUP(F393,Ref!$B$3:$B$12,Ref!$C$3:$C$12,"",1)</f>
        <v>1</v>
      </c>
      <c r="L393" s="11">
        <f>_xlfn.XLOOKUP(G393,Ref!$B$3:$B$12,Ref!$C$3:$C$12,"",1)</f>
        <v>1</v>
      </c>
      <c r="M393" s="11">
        <f>_xlfn.XLOOKUP(H393,Ref!$B$3:$B$12,Ref!$C$3:$C$12,"",1)</f>
        <v>1</v>
      </c>
    </row>
    <row r="394" spans="2:13" x14ac:dyDescent="0.25">
      <c r="B394" s="15" t="s">
        <v>12</v>
      </c>
      <c r="C394" s="9">
        <v>40.200000000000003</v>
      </c>
      <c r="D394" s="9">
        <v>44.2</v>
      </c>
      <c r="E394" s="10">
        <v>44.9</v>
      </c>
      <c r="F394" s="9">
        <f t="shared" si="31"/>
        <v>12.796057424588387</v>
      </c>
      <c r="G394" s="9">
        <f t="shared" si="32"/>
        <v>14.069296969323549</v>
      </c>
      <c r="H394" s="10">
        <f t="shared" si="33"/>
        <v>14.292113889652201</v>
      </c>
      <c r="K394" s="11">
        <f>_xlfn.XLOOKUP(F394,Ref!$B$3:$B$12,Ref!$C$3:$C$12,"",1)</f>
        <v>1</v>
      </c>
      <c r="L394" s="11">
        <f>_xlfn.XLOOKUP(G394,Ref!$B$3:$B$12,Ref!$C$3:$C$12,"",1)</f>
        <v>1</v>
      </c>
      <c r="M394" s="11">
        <f>_xlfn.XLOOKUP(H394,Ref!$B$3:$B$12,Ref!$C$3:$C$12,"",1)</f>
        <v>1</v>
      </c>
    </row>
    <row r="395" spans="2:13" x14ac:dyDescent="0.25">
      <c r="B395" s="15" t="s">
        <v>25</v>
      </c>
      <c r="C395" s="9">
        <v>46.7</v>
      </c>
      <c r="D395" s="9">
        <v>46.7</v>
      </c>
      <c r="E395" s="10">
        <v>47</v>
      </c>
      <c r="F395" s="9">
        <f t="shared" si="31"/>
        <v>14.865071684783025</v>
      </c>
      <c r="G395" s="9">
        <f t="shared" si="32"/>
        <v>14.865071684783025</v>
      </c>
      <c r="H395" s="10">
        <f t="shared" si="33"/>
        <v>14.960564650638162</v>
      </c>
      <c r="K395" s="11">
        <f>_xlfn.XLOOKUP(F395,Ref!$B$3:$B$12,Ref!$C$3:$C$12,"",1)</f>
        <v>1</v>
      </c>
      <c r="L395" s="11">
        <f>_xlfn.XLOOKUP(G395,Ref!$B$3:$B$12,Ref!$C$3:$C$12,"",1)</f>
        <v>1</v>
      </c>
      <c r="M395" s="11">
        <f>_xlfn.XLOOKUP(H395,Ref!$B$3:$B$12,Ref!$C$3:$C$12,"",1)</f>
        <v>1</v>
      </c>
    </row>
    <row r="396" spans="2:13" x14ac:dyDescent="0.25">
      <c r="B396" s="15" t="s">
        <v>25</v>
      </c>
      <c r="C396" s="9">
        <v>41.4</v>
      </c>
      <c r="D396" s="9">
        <v>42.8</v>
      </c>
      <c r="E396" s="10">
        <v>42.8</v>
      </c>
      <c r="F396" s="9">
        <f t="shared" si="31"/>
        <v>13.178029288008934</v>
      </c>
      <c r="G396" s="9">
        <f t="shared" si="32"/>
        <v>13.623663128666241</v>
      </c>
      <c r="H396" s="10">
        <f t="shared" si="33"/>
        <v>13.623663128666241</v>
      </c>
      <c r="K396" s="11">
        <f>_xlfn.XLOOKUP(F396,Ref!$B$3:$B$12,Ref!$C$3:$C$12,"",1)</f>
        <v>1</v>
      </c>
      <c r="L396" s="11">
        <f>_xlfn.XLOOKUP(G396,Ref!$B$3:$B$12,Ref!$C$3:$C$12,"",1)</f>
        <v>1</v>
      </c>
      <c r="M396" s="11">
        <f>_xlfn.XLOOKUP(H396,Ref!$B$3:$B$12,Ref!$C$3:$C$12,"",1)</f>
        <v>1</v>
      </c>
    </row>
    <row r="397" spans="2:13" x14ac:dyDescent="0.25">
      <c r="B397" s="15" t="s">
        <v>20</v>
      </c>
      <c r="C397" s="9">
        <v>34.1</v>
      </c>
      <c r="D397" s="9">
        <v>0</v>
      </c>
      <c r="E397" s="10">
        <v>0</v>
      </c>
      <c r="F397" s="9">
        <f t="shared" si="31"/>
        <v>10.854367118867263</v>
      </c>
      <c r="G397" s="9">
        <f t="shared" si="32"/>
        <v>0</v>
      </c>
      <c r="H397" s="10">
        <f t="shared" si="33"/>
        <v>0</v>
      </c>
      <c r="K397" s="11">
        <f>_xlfn.XLOOKUP(F397,Ref!$B$3:$B$12,Ref!$C$3:$C$12,"",1)</f>
        <v>1</v>
      </c>
      <c r="L397" s="11" t="str">
        <f>_xlfn.XLOOKUP(G397,Ref!$B$3:$B$12,Ref!$C$3:$C$12,"",1)</f>
        <v>Morta</v>
      </c>
      <c r="M397" s="11" t="str">
        <f>_xlfn.XLOOKUP(H397,Ref!$B$3:$B$12,Ref!$C$3:$C$12,"",1)</f>
        <v>Morta</v>
      </c>
    </row>
    <row r="398" spans="2:13" x14ac:dyDescent="0.25">
      <c r="B398" s="15" t="s">
        <v>6</v>
      </c>
      <c r="C398" s="9">
        <v>34</v>
      </c>
      <c r="D398" s="9">
        <v>34.6</v>
      </c>
      <c r="E398" s="10">
        <v>35</v>
      </c>
      <c r="F398" s="9">
        <f t="shared" si="31"/>
        <v>10.822536130248883</v>
      </c>
      <c r="G398" s="9">
        <f t="shared" si="32"/>
        <v>11.013522061959158</v>
      </c>
      <c r="H398" s="10">
        <f t="shared" si="33"/>
        <v>11.140846016432674</v>
      </c>
      <c r="K398" s="11">
        <f>_xlfn.XLOOKUP(F398,Ref!$B$3:$B$12,Ref!$C$3:$C$12,"",1)</f>
        <v>1</v>
      </c>
      <c r="L398" s="11">
        <f>_xlfn.XLOOKUP(G398,Ref!$B$3:$B$12,Ref!$C$3:$C$12,"",1)</f>
        <v>1</v>
      </c>
      <c r="M398" s="11">
        <f>_xlfn.XLOOKUP(H398,Ref!$B$3:$B$12,Ref!$C$3:$C$12,"",1)</f>
        <v>1</v>
      </c>
    </row>
    <row r="399" spans="2:13" x14ac:dyDescent="0.25">
      <c r="B399" s="15" t="s">
        <v>26</v>
      </c>
      <c r="C399" s="9">
        <v>248</v>
      </c>
      <c r="D399" s="9">
        <v>259</v>
      </c>
      <c r="E399" s="10">
        <v>267</v>
      </c>
      <c r="F399" s="9">
        <f t="shared" si="31"/>
        <v>78.940851773580093</v>
      </c>
      <c r="G399" s="9">
        <f t="shared" si="32"/>
        <v>82.442260521601781</v>
      </c>
      <c r="H399" s="10">
        <f t="shared" si="33"/>
        <v>84.988739611072106</v>
      </c>
      <c r="K399" s="11">
        <f>_xlfn.XLOOKUP(F399,Ref!$B$3:$B$12,Ref!$C$3:$C$12,"",1)</f>
        <v>7</v>
      </c>
      <c r="L399" s="11">
        <f>_xlfn.XLOOKUP(G399,Ref!$B$3:$B$12,Ref!$C$3:$C$12,"",1)</f>
        <v>8</v>
      </c>
      <c r="M399" s="11">
        <f>_xlfn.XLOOKUP(H399,Ref!$B$3:$B$12,Ref!$C$3:$C$12,"",1)</f>
        <v>8</v>
      </c>
    </row>
    <row r="400" spans="2:13" x14ac:dyDescent="0.25">
      <c r="B400" s="15" t="s">
        <v>6</v>
      </c>
      <c r="C400" s="9">
        <v>33.200000000000003</v>
      </c>
      <c r="D400" s="9">
        <v>34.5</v>
      </c>
      <c r="E400" s="10">
        <v>34.5</v>
      </c>
      <c r="F400" s="9">
        <f t="shared" si="31"/>
        <v>10.567888221301851</v>
      </c>
      <c r="G400" s="9">
        <f t="shared" si="32"/>
        <v>10.981691073340778</v>
      </c>
      <c r="H400" s="10">
        <f t="shared" si="33"/>
        <v>10.981691073340778</v>
      </c>
      <c r="K400" s="11">
        <f>_xlfn.XLOOKUP(F400,Ref!$B$3:$B$12,Ref!$C$3:$C$12,"",1)</f>
        <v>1</v>
      </c>
      <c r="L400" s="11">
        <f>_xlfn.XLOOKUP(G400,Ref!$B$3:$B$12,Ref!$C$3:$C$12,"",1)</f>
        <v>1</v>
      </c>
      <c r="M400" s="11">
        <f>_xlfn.XLOOKUP(H400,Ref!$B$3:$B$12,Ref!$C$3:$C$12,"",1)</f>
        <v>1</v>
      </c>
    </row>
    <row r="401" spans="2:13" x14ac:dyDescent="0.25">
      <c r="B401" s="15" t="s">
        <v>4</v>
      </c>
      <c r="C401" s="9">
        <v>35.5</v>
      </c>
      <c r="D401" s="9">
        <v>38.6</v>
      </c>
      <c r="E401" s="10">
        <v>39.4</v>
      </c>
      <c r="F401" s="9">
        <f t="shared" si="31"/>
        <v>11.300000959524569</v>
      </c>
      <c r="G401" s="9">
        <f t="shared" si="32"/>
        <v>12.286761606694322</v>
      </c>
      <c r="H401" s="10">
        <f t="shared" si="33"/>
        <v>12.541409515641352</v>
      </c>
      <c r="K401" s="11">
        <f>_xlfn.XLOOKUP(F401,Ref!$B$3:$B$12,Ref!$C$3:$C$12,"",1)</f>
        <v>1</v>
      </c>
      <c r="L401" s="11">
        <f>_xlfn.XLOOKUP(G401,Ref!$B$3:$B$12,Ref!$C$3:$C$12,"",1)</f>
        <v>1</v>
      </c>
      <c r="M401" s="11">
        <f>_xlfn.XLOOKUP(H401,Ref!$B$3:$B$12,Ref!$C$3:$C$12,"",1)</f>
        <v>1</v>
      </c>
    </row>
    <row r="402" spans="2:13" x14ac:dyDescent="0.25">
      <c r="B402" s="15" t="s">
        <v>7</v>
      </c>
      <c r="C402" s="9">
        <v>87</v>
      </c>
      <c r="D402" s="9">
        <v>97.1</v>
      </c>
      <c r="E402" s="10">
        <v>102</v>
      </c>
      <c r="F402" s="9">
        <f t="shared" si="31"/>
        <v>27.69296009798979</v>
      </c>
      <c r="G402" s="9">
        <f t="shared" si="32"/>
        <v>30.907889948446073</v>
      </c>
      <c r="H402" s="10">
        <f t="shared" si="33"/>
        <v>32.467608390746648</v>
      </c>
      <c r="K402" s="11">
        <f>_xlfn.XLOOKUP(F402,Ref!$B$3:$B$12,Ref!$C$3:$C$12,"",1)</f>
        <v>2</v>
      </c>
      <c r="L402" s="11">
        <f>_xlfn.XLOOKUP(G402,Ref!$B$3:$B$12,Ref!$C$3:$C$12,"",1)</f>
        <v>3</v>
      </c>
      <c r="M402" s="11">
        <f>_xlfn.XLOOKUP(H402,Ref!$B$3:$B$12,Ref!$C$3:$C$12,"",1)</f>
        <v>3</v>
      </c>
    </row>
    <row r="403" spans="2:13" x14ac:dyDescent="0.25">
      <c r="B403" s="15" t="s">
        <v>55</v>
      </c>
      <c r="C403" s="9">
        <v>62</v>
      </c>
      <c r="D403" s="9">
        <v>63.8</v>
      </c>
      <c r="E403" s="10">
        <v>0</v>
      </c>
      <c r="F403" s="9">
        <f t="shared" si="31"/>
        <v>19.735212943395023</v>
      </c>
      <c r="G403" s="9">
        <f t="shared" si="32"/>
        <v>20.308170738525845</v>
      </c>
      <c r="H403" s="10">
        <f t="shared" si="33"/>
        <v>0</v>
      </c>
      <c r="K403" s="11">
        <f>_xlfn.XLOOKUP(F403,Ref!$B$3:$B$12,Ref!$C$3:$C$12,"",1)</f>
        <v>1</v>
      </c>
      <c r="L403" s="11">
        <f>_xlfn.XLOOKUP(G403,Ref!$B$3:$B$12,Ref!$C$3:$C$12,"",1)</f>
        <v>2</v>
      </c>
      <c r="M403" s="11" t="str">
        <f>_xlfn.XLOOKUP(H403,Ref!$B$3:$B$12,Ref!$C$3:$C$12,"",1)</f>
        <v>Morta</v>
      </c>
    </row>
    <row r="404" spans="2:13" x14ac:dyDescent="0.25">
      <c r="B404" s="15" t="s">
        <v>47</v>
      </c>
      <c r="C404" s="9">
        <v>31.6</v>
      </c>
      <c r="D404" s="9">
        <v>0</v>
      </c>
      <c r="E404" s="10">
        <v>0</v>
      </c>
      <c r="F404" s="9">
        <f t="shared" si="31"/>
        <v>10.058592403407786</v>
      </c>
      <c r="G404" s="9">
        <f t="shared" si="32"/>
        <v>0</v>
      </c>
      <c r="H404" s="10">
        <f t="shared" si="33"/>
        <v>0</v>
      </c>
      <c r="K404" s="11">
        <f>_xlfn.XLOOKUP(F404,Ref!$B$3:$B$12,Ref!$C$3:$C$12,"",1)</f>
        <v>1</v>
      </c>
      <c r="L404" s="11" t="str">
        <f>_xlfn.XLOOKUP(G404,Ref!$B$3:$B$12,Ref!$C$3:$C$12,"",1)</f>
        <v>Morta</v>
      </c>
      <c r="M404" s="11" t="str">
        <f>_xlfn.XLOOKUP(H404,Ref!$B$3:$B$12,Ref!$C$3:$C$12,"",1)</f>
        <v>Morta</v>
      </c>
    </row>
    <row r="405" spans="2:13" x14ac:dyDescent="0.25">
      <c r="B405" s="15" t="s">
        <v>39</v>
      </c>
      <c r="C405" s="9"/>
      <c r="D405" s="9">
        <v>32.4</v>
      </c>
      <c r="E405" s="10">
        <v>38.700000000000003</v>
      </c>
      <c r="F405" s="9" t="str">
        <f t="shared" si="31"/>
        <v/>
      </c>
      <c r="G405" s="9">
        <f t="shared" si="32"/>
        <v>10.313240312354818</v>
      </c>
      <c r="H405" s="10">
        <f t="shared" si="33"/>
        <v>12.318592595312701</v>
      </c>
      <c r="K405" s="11" t="str">
        <f>_xlfn.XLOOKUP(F405,Ref!$B$3:$B$12,Ref!$C$3:$C$12,"",1)</f>
        <v/>
      </c>
      <c r="L405" s="11">
        <f>_xlfn.XLOOKUP(G405,Ref!$B$3:$B$12,Ref!$C$3:$C$12,"",1)</f>
        <v>1</v>
      </c>
      <c r="M405" s="11">
        <f>_xlfn.XLOOKUP(H405,Ref!$B$3:$B$12,Ref!$C$3:$C$12,"",1)</f>
        <v>1</v>
      </c>
    </row>
    <row r="406" spans="2:13" x14ac:dyDescent="0.25">
      <c r="B406" s="15" t="s">
        <v>39</v>
      </c>
      <c r="C406" s="9">
        <v>66.599999999999994</v>
      </c>
      <c r="D406" s="9">
        <v>76.8</v>
      </c>
      <c r="E406" s="10">
        <v>82.8</v>
      </c>
      <c r="F406" s="9">
        <f t="shared" si="31"/>
        <v>21.199438419840458</v>
      </c>
      <c r="G406" s="9">
        <f t="shared" si="32"/>
        <v>24.446199258915122</v>
      </c>
      <c r="H406" s="10">
        <f t="shared" si="33"/>
        <v>26.356058576017869</v>
      </c>
      <c r="K406" s="11">
        <f>_xlfn.XLOOKUP(F406,Ref!$B$3:$B$12,Ref!$C$3:$C$12,"",1)</f>
        <v>2</v>
      </c>
      <c r="L406" s="11">
        <f>_xlfn.XLOOKUP(G406,Ref!$B$3:$B$12,Ref!$C$3:$C$12,"",1)</f>
        <v>2</v>
      </c>
      <c r="M406" s="11">
        <f>_xlfn.XLOOKUP(H406,Ref!$B$3:$B$12,Ref!$C$3:$C$12,"",1)</f>
        <v>2</v>
      </c>
    </row>
    <row r="407" spans="2:13" x14ac:dyDescent="0.25">
      <c r="B407" s="15" t="s">
        <v>39</v>
      </c>
      <c r="C407" s="9">
        <v>39.799999999999997</v>
      </c>
      <c r="D407" s="9">
        <v>45.9</v>
      </c>
      <c r="E407" s="10">
        <v>52.5</v>
      </c>
      <c r="F407" s="9">
        <f t="shared" si="31"/>
        <v>12.668733470114868</v>
      </c>
      <c r="G407" s="9">
        <f t="shared" si="32"/>
        <v>14.610423775835992</v>
      </c>
      <c r="H407" s="10">
        <f t="shared" si="33"/>
        <v>16.71126902464901</v>
      </c>
      <c r="K407" s="11">
        <f>_xlfn.XLOOKUP(F407,Ref!$B$3:$B$12,Ref!$C$3:$C$12,"",1)</f>
        <v>1</v>
      </c>
      <c r="L407" s="11">
        <f>_xlfn.XLOOKUP(G407,Ref!$B$3:$B$12,Ref!$C$3:$C$12,"",1)</f>
        <v>1</v>
      </c>
      <c r="M407" s="11">
        <f>_xlfn.XLOOKUP(H407,Ref!$B$3:$B$12,Ref!$C$3:$C$12,"",1)</f>
        <v>1</v>
      </c>
    </row>
    <row r="408" spans="2:13" x14ac:dyDescent="0.25">
      <c r="B408" s="15" t="s">
        <v>12</v>
      </c>
      <c r="C408" s="9"/>
      <c r="D408" s="9">
        <v>31.5</v>
      </c>
      <c r="E408" s="10">
        <v>32.9</v>
      </c>
      <c r="F408" s="9" t="str">
        <f t="shared" si="31"/>
        <v/>
      </c>
      <c r="G408" s="9">
        <f t="shared" si="32"/>
        <v>10.026761414789407</v>
      </c>
      <c r="H408" s="10">
        <f t="shared" si="33"/>
        <v>10.472395255446713</v>
      </c>
      <c r="K408" s="11" t="str">
        <f>_xlfn.XLOOKUP(F408,Ref!$B$3:$B$12,Ref!$C$3:$C$12,"",1)</f>
        <v/>
      </c>
      <c r="L408" s="11">
        <f>_xlfn.XLOOKUP(G408,Ref!$B$3:$B$12,Ref!$C$3:$C$12,"",1)</f>
        <v>1</v>
      </c>
      <c r="M408" s="11">
        <f>_xlfn.XLOOKUP(H408,Ref!$B$3:$B$12,Ref!$C$3:$C$12,"",1)</f>
        <v>1</v>
      </c>
    </row>
    <row r="409" spans="2:13" x14ac:dyDescent="0.25">
      <c r="B409" s="15" t="s">
        <v>39</v>
      </c>
      <c r="C409" s="9"/>
      <c r="D409" s="9">
        <v>33.200000000000003</v>
      </c>
      <c r="E409" s="10">
        <v>37.1</v>
      </c>
      <c r="F409" s="9" t="str">
        <f t="shared" si="31"/>
        <v/>
      </c>
      <c r="G409" s="9">
        <f t="shared" si="32"/>
        <v>10.567888221301851</v>
      </c>
      <c r="H409" s="10">
        <f t="shared" si="33"/>
        <v>11.809296777418634</v>
      </c>
      <c r="K409" s="11" t="str">
        <f>_xlfn.XLOOKUP(F409,Ref!$B$3:$B$12,Ref!$C$3:$C$12,"",1)</f>
        <v/>
      </c>
      <c r="L409" s="11">
        <f>_xlfn.XLOOKUP(G409,Ref!$B$3:$B$12,Ref!$C$3:$C$12,"",1)</f>
        <v>1</v>
      </c>
      <c r="M409" s="11">
        <f>_xlfn.XLOOKUP(H409,Ref!$B$3:$B$12,Ref!$C$3:$C$12,"",1)</f>
        <v>1</v>
      </c>
    </row>
    <row r="410" spans="2:13" x14ac:dyDescent="0.25">
      <c r="B410" s="15" t="s">
        <v>39</v>
      </c>
      <c r="C410" s="9"/>
      <c r="D410" s="9">
        <v>32</v>
      </c>
      <c r="E410" s="10">
        <v>35</v>
      </c>
      <c r="F410" s="9" t="str">
        <f t="shared" si="31"/>
        <v/>
      </c>
      <c r="G410" s="9">
        <f t="shared" si="32"/>
        <v>10.185916357881302</v>
      </c>
      <c r="H410" s="10">
        <f t="shared" si="33"/>
        <v>11.140846016432674</v>
      </c>
      <c r="K410" s="11" t="str">
        <f>_xlfn.XLOOKUP(F410,Ref!$B$3:$B$12,Ref!$C$3:$C$12,"",1)</f>
        <v/>
      </c>
      <c r="L410" s="11">
        <f>_xlfn.XLOOKUP(G410,Ref!$B$3:$B$12,Ref!$C$3:$C$12,"",1)</f>
        <v>1</v>
      </c>
      <c r="M410" s="11">
        <f>_xlfn.XLOOKUP(H410,Ref!$B$3:$B$12,Ref!$C$3:$C$12,"",1)</f>
        <v>1</v>
      </c>
    </row>
    <row r="411" spans="2:13" x14ac:dyDescent="0.25">
      <c r="B411" s="15" t="s">
        <v>51</v>
      </c>
      <c r="C411" s="9"/>
      <c r="D411" s="9"/>
      <c r="E411" s="10">
        <v>32.299999999999997</v>
      </c>
      <c r="F411" s="9" t="str">
        <f t="shared" si="31"/>
        <v/>
      </c>
      <c r="G411" s="9" t="str">
        <f t="shared" si="32"/>
        <v/>
      </c>
      <c r="H411" s="10">
        <f t="shared" si="33"/>
        <v>10.281409323736439</v>
      </c>
      <c r="K411" s="11" t="str">
        <f>_xlfn.XLOOKUP(F411,Ref!$B$3:$B$12,Ref!$C$3:$C$12,"",1)</f>
        <v/>
      </c>
      <c r="L411" s="11" t="str">
        <f>_xlfn.XLOOKUP(G411,Ref!$B$3:$B$12,Ref!$C$3:$C$12,"",1)</f>
        <v/>
      </c>
      <c r="M411" s="11">
        <f>_xlfn.XLOOKUP(H411,Ref!$B$3:$B$12,Ref!$C$3:$C$12,"",1)</f>
        <v>1</v>
      </c>
    </row>
    <row r="412" spans="2:13" x14ac:dyDescent="0.25">
      <c r="B412" s="15" t="s">
        <v>12</v>
      </c>
      <c r="C412" s="9">
        <v>55.4</v>
      </c>
      <c r="D412" s="9">
        <v>58.8</v>
      </c>
      <c r="E412" s="10">
        <v>60</v>
      </c>
      <c r="F412" s="9">
        <f t="shared" si="31"/>
        <v>17.634367694582004</v>
      </c>
      <c r="G412" s="9">
        <f t="shared" si="32"/>
        <v>18.716621307606893</v>
      </c>
      <c r="H412" s="10">
        <f t="shared" si="33"/>
        <v>19.098593171027442</v>
      </c>
      <c r="K412" s="11">
        <f>_xlfn.XLOOKUP(F412,Ref!$B$3:$B$12,Ref!$C$3:$C$12,"",1)</f>
        <v>1</v>
      </c>
      <c r="L412" s="11">
        <f>_xlfn.XLOOKUP(G412,Ref!$B$3:$B$12,Ref!$C$3:$C$12,"",1)</f>
        <v>1</v>
      </c>
      <c r="M412" s="11">
        <f>_xlfn.XLOOKUP(H412,Ref!$B$3:$B$12,Ref!$C$3:$C$12,"",1)</f>
        <v>1</v>
      </c>
    </row>
    <row r="413" spans="2:13" x14ac:dyDescent="0.25">
      <c r="B413" s="15" t="s">
        <v>50</v>
      </c>
      <c r="C413" s="9">
        <v>74</v>
      </c>
      <c r="D413" s="9">
        <v>75.400000000000006</v>
      </c>
      <c r="E413" s="10">
        <v>75.900000000000006</v>
      </c>
      <c r="F413" s="9">
        <f t="shared" si="31"/>
        <v>23.554931577600509</v>
      </c>
      <c r="G413" s="9">
        <f t="shared" si="32"/>
        <v>24.000565418257818</v>
      </c>
      <c r="H413" s="10">
        <f t="shared" si="33"/>
        <v>24.159720361349716</v>
      </c>
      <c r="K413" s="11">
        <f>_xlfn.XLOOKUP(F413,Ref!$B$3:$B$12,Ref!$C$3:$C$12,"",1)</f>
        <v>2</v>
      </c>
      <c r="L413" s="11">
        <f>_xlfn.XLOOKUP(G413,Ref!$B$3:$B$12,Ref!$C$3:$C$12,"",1)</f>
        <v>2</v>
      </c>
      <c r="M413" s="11">
        <f>_xlfn.XLOOKUP(H413,Ref!$B$3:$B$12,Ref!$C$3:$C$12,"",1)</f>
        <v>2</v>
      </c>
    </row>
    <row r="414" spans="2:13" x14ac:dyDescent="0.25">
      <c r="B414" s="15" t="s">
        <v>7</v>
      </c>
      <c r="C414" s="9">
        <v>69.5</v>
      </c>
      <c r="D414" s="9">
        <v>72.7</v>
      </c>
      <c r="E414" s="10">
        <v>84</v>
      </c>
      <c r="F414" s="9">
        <f t="shared" si="31"/>
        <v>22.122537089773452</v>
      </c>
      <c r="G414" s="9">
        <f t="shared" si="32"/>
        <v>23.141128725561583</v>
      </c>
      <c r="H414" s="10">
        <f t="shared" si="33"/>
        <v>26.738030439438418</v>
      </c>
      <c r="K414" s="11">
        <f>_xlfn.XLOOKUP(F414,Ref!$B$3:$B$12,Ref!$C$3:$C$12,"",1)</f>
        <v>2</v>
      </c>
      <c r="L414" s="11">
        <f>_xlfn.XLOOKUP(G414,Ref!$B$3:$B$12,Ref!$C$3:$C$12,"",1)</f>
        <v>2</v>
      </c>
      <c r="M414" s="11">
        <f>_xlfn.XLOOKUP(H414,Ref!$B$3:$B$12,Ref!$C$3:$C$12,"",1)</f>
        <v>2</v>
      </c>
    </row>
    <row r="415" spans="2:13" x14ac:dyDescent="0.25">
      <c r="B415" s="15" t="s">
        <v>11</v>
      </c>
      <c r="C415" s="9">
        <v>52.8</v>
      </c>
      <c r="D415" s="9">
        <v>56.4</v>
      </c>
      <c r="E415" s="10">
        <v>56.7</v>
      </c>
      <c r="F415" s="9">
        <f t="shared" si="31"/>
        <v>16.806761990504146</v>
      </c>
      <c r="G415" s="9">
        <f t="shared" si="32"/>
        <v>17.952677580765794</v>
      </c>
      <c r="H415" s="10">
        <f t="shared" si="33"/>
        <v>18.048170546620934</v>
      </c>
      <c r="K415" s="11">
        <f>_xlfn.XLOOKUP(F415,Ref!$B$3:$B$12,Ref!$C$3:$C$12,"",1)</f>
        <v>1</v>
      </c>
      <c r="L415" s="11">
        <f>_xlfn.XLOOKUP(G415,Ref!$B$3:$B$12,Ref!$C$3:$C$12,"",1)</f>
        <v>1</v>
      </c>
      <c r="M415" s="11">
        <f>_xlfn.XLOOKUP(H415,Ref!$B$3:$B$12,Ref!$C$3:$C$12,"",1)</f>
        <v>1</v>
      </c>
    </row>
    <row r="416" spans="2:13" x14ac:dyDescent="0.25">
      <c r="B416" s="15" t="s">
        <v>49</v>
      </c>
      <c r="C416" s="9">
        <v>42.5</v>
      </c>
      <c r="D416" s="9">
        <v>44.5</v>
      </c>
      <c r="E416" s="10">
        <v>47</v>
      </c>
      <c r="F416" s="9">
        <f t="shared" si="31"/>
        <v>13.528170162811104</v>
      </c>
      <c r="G416" s="9">
        <f t="shared" si="32"/>
        <v>14.164789935178685</v>
      </c>
      <c r="H416" s="10">
        <f t="shared" si="33"/>
        <v>14.960564650638162</v>
      </c>
      <c r="K416" s="11">
        <f>_xlfn.XLOOKUP(F416,Ref!$B$3:$B$12,Ref!$C$3:$C$12,"",1)</f>
        <v>1</v>
      </c>
      <c r="L416" s="11">
        <f>_xlfn.XLOOKUP(G416,Ref!$B$3:$B$12,Ref!$C$3:$C$12,"",1)</f>
        <v>1</v>
      </c>
      <c r="M416" s="11">
        <f>_xlfn.XLOOKUP(H416,Ref!$B$3:$B$12,Ref!$C$3:$C$12,"",1)</f>
        <v>1</v>
      </c>
    </row>
    <row r="417" spans="2:13" x14ac:dyDescent="0.25">
      <c r="B417" s="15" t="s">
        <v>30</v>
      </c>
      <c r="C417" s="9">
        <v>41.8</v>
      </c>
      <c r="D417" s="9">
        <v>43.3</v>
      </c>
      <c r="E417" s="10">
        <v>43.4</v>
      </c>
      <c r="F417" s="9">
        <f t="shared" si="31"/>
        <v>13.30535324248245</v>
      </c>
      <c r="G417" s="9">
        <f t="shared" si="32"/>
        <v>13.782818071758136</v>
      </c>
      <c r="H417" s="10">
        <f t="shared" si="33"/>
        <v>13.814649060376516</v>
      </c>
      <c r="K417" s="11">
        <f>_xlfn.XLOOKUP(F417,Ref!$B$3:$B$12,Ref!$C$3:$C$12,"",1)</f>
        <v>1</v>
      </c>
      <c r="L417" s="11">
        <f>_xlfn.XLOOKUP(G417,Ref!$B$3:$B$12,Ref!$C$3:$C$12,"",1)</f>
        <v>1</v>
      </c>
      <c r="M417" s="11">
        <f>_xlfn.XLOOKUP(H417,Ref!$B$3:$B$12,Ref!$C$3:$C$12,"",1)</f>
        <v>1</v>
      </c>
    </row>
    <row r="418" spans="2:13" x14ac:dyDescent="0.25">
      <c r="B418" s="15" t="s">
        <v>15</v>
      </c>
      <c r="C418" s="9">
        <v>56.2</v>
      </c>
      <c r="D418" s="9">
        <v>56.2</v>
      </c>
      <c r="E418" s="10">
        <v>57.2</v>
      </c>
      <c r="F418" s="9">
        <f t="shared" si="31"/>
        <v>17.889015603529039</v>
      </c>
      <c r="G418" s="9">
        <f t="shared" si="32"/>
        <v>17.889015603529039</v>
      </c>
      <c r="H418" s="10">
        <f t="shared" si="33"/>
        <v>18.207325489712829</v>
      </c>
      <c r="K418" s="11">
        <f>_xlfn.XLOOKUP(F418,Ref!$B$3:$B$12,Ref!$C$3:$C$12,"",1)</f>
        <v>1</v>
      </c>
      <c r="L418" s="11">
        <f>_xlfn.XLOOKUP(G418,Ref!$B$3:$B$12,Ref!$C$3:$C$12,"",1)</f>
        <v>1</v>
      </c>
      <c r="M418" s="11">
        <f>_xlfn.XLOOKUP(H418,Ref!$B$3:$B$12,Ref!$C$3:$C$12,"",1)</f>
        <v>1</v>
      </c>
    </row>
    <row r="419" spans="2:13" x14ac:dyDescent="0.25">
      <c r="B419" s="15" t="s">
        <v>6</v>
      </c>
      <c r="C419" s="9">
        <v>32.5</v>
      </c>
      <c r="D419" s="9">
        <v>0</v>
      </c>
      <c r="E419" s="10">
        <v>0</v>
      </c>
      <c r="F419" s="9">
        <f t="shared" si="31"/>
        <v>10.345071300973197</v>
      </c>
      <c r="G419" s="9">
        <f t="shared" si="32"/>
        <v>0</v>
      </c>
      <c r="H419" s="10">
        <f t="shared" si="33"/>
        <v>0</v>
      </c>
      <c r="K419" s="11">
        <f>_xlfn.XLOOKUP(F419,Ref!$B$3:$B$12,Ref!$C$3:$C$12,"",1)</f>
        <v>1</v>
      </c>
      <c r="L419" s="11" t="str">
        <f>_xlfn.XLOOKUP(G419,Ref!$B$3:$B$12,Ref!$C$3:$C$12,"",1)</f>
        <v>Morta</v>
      </c>
      <c r="M419" s="11" t="str">
        <f>_xlfn.XLOOKUP(H419,Ref!$B$3:$B$12,Ref!$C$3:$C$12,"",1)</f>
        <v>Morta</v>
      </c>
    </row>
    <row r="420" spans="2:13" x14ac:dyDescent="0.25">
      <c r="B420" s="15" t="s">
        <v>28</v>
      </c>
      <c r="C420" s="9">
        <v>45</v>
      </c>
      <c r="D420" s="9">
        <v>46</v>
      </c>
      <c r="E420" s="10">
        <v>48.5</v>
      </c>
      <c r="F420" s="9">
        <f t="shared" si="31"/>
        <v>14.323944878270581</v>
      </c>
      <c r="G420" s="9">
        <f t="shared" si="32"/>
        <v>14.642254764454371</v>
      </c>
      <c r="H420" s="10">
        <f t="shared" si="33"/>
        <v>15.438029479913848</v>
      </c>
      <c r="K420" s="11">
        <f>_xlfn.XLOOKUP(F420,Ref!$B$3:$B$12,Ref!$C$3:$C$12,"",1)</f>
        <v>1</v>
      </c>
      <c r="L420" s="11">
        <f>_xlfn.XLOOKUP(G420,Ref!$B$3:$B$12,Ref!$C$3:$C$12,"",1)</f>
        <v>1</v>
      </c>
      <c r="M420" s="11">
        <f>_xlfn.XLOOKUP(H420,Ref!$B$3:$B$12,Ref!$C$3:$C$12,"",1)</f>
        <v>1</v>
      </c>
    </row>
    <row r="421" spans="2:13" x14ac:dyDescent="0.25">
      <c r="B421" s="15" t="s">
        <v>28</v>
      </c>
      <c r="C421" s="9">
        <v>34</v>
      </c>
      <c r="D421" s="9">
        <v>34</v>
      </c>
      <c r="E421" s="10">
        <v>34</v>
      </c>
      <c r="F421" s="9">
        <f t="shared" si="31"/>
        <v>10.822536130248883</v>
      </c>
      <c r="G421" s="9">
        <f t="shared" si="32"/>
        <v>10.822536130248883</v>
      </c>
      <c r="H421" s="10">
        <f t="shared" si="33"/>
        <v>10.822536130248883</v>
      </c>
      <c r="K421" s="11">
        <f>_xlfn.XLOOKUP(F421,Ref!$B$3:$B$12,Ref!$C$3:$C$12,"",1)</f>
        <v>1</v>
      </c>
      <c r="L421" s="11">
        <f>_xlfn.XLOOKUP(G421,Ref!$B$3:$B$12,Ref!$C$3:$C$12,"",1)</f>
        <v>1</v>
      </c>
      <c r="M421" s="11">
        <f>_xlfn.XLOOKUP(H421,Ref!$B$3:$B$12,Ref!$C$3:$C$12,"",1)</f>
        <v>1</v>
      </c>
    </row>
    <row r="422" spans="2:13" x14ac:dyDescent="0.25">
      <c r="B422" s="15" t="s">
        <v>28</v>
      </c>
      <c r="C422" s="9">
        <v>106.3</v>
      </c>
      <c r="D422" s="9">
        <v>109.3</v>
      </c>
      <c r="E422" s="10">
        <v>0</v>
      </c>
      <c r="F422" s="9">
        <f t="shared" si="31"/>
        <v>33.836340901336946</v>
      </c>
      <c r="G422" s="9">
        <f t="shared" si="32"/>
        <v>34.791270559888318</v>
      </c>
      <c r="H422" s="10">
        <f t="shared" si="33"/>
        <v>0</v>
      </c>
      <c r="K422" s="11">
        <f>_xlfn.XLOOKUP(F422,Ref!$B$3:$B$12,Ref!$C$3:$C$12,"",1)</f>
        <v>3</v>
      </c>
      <c r="L422" s="11">
        <f>_xlfn.XLOOKUP(G422,Ref!$B$3:$B$12,Ref!$C$3:$C$12,"",1)</f>
        <v>3</v>
      </c>
      <c r="M422" s="11" t="str">
        <f>_xlfn.XLOOKUP(H422,Ref!$B$3:$B$12,Ref!$C$3:$C$12,"",1)</f>
        <v>Morta</v>
      </c>
    </row>
    <row r="423" spans="2:13" x14ac:dyDescent="0.25">
      <c r="B423" s="15" t="s">
        <v>8</v>
      </c>
      <c r="C423" s="9">
        <v>36.5</v>
      </c>
      <c r="D423" s="9">
        <v>36.9</v>
      </c>
      <c r="E423" s="10">
        <v>40.5</v>
      </c>
      <c r="F423" s="9">
        <f t="shared" si="31"/>
        <v>11.618310845708359</v>
      </c>
      <c r="G423" s="9">
        <f t="shared" si="32"/>
        <v>11.745634800181875</v>
      </c>
      <c r="H423" s="10">
        <f t="shared" si="33"/>
        <v>12.891550390443523</v>
      </c>
      <c r="K423" s="11">
        <f>_xlfn.XLOOKUP(F423,Ref!$B$3:$B$12,Ref!$C$3:$C$12,"",1)</f>
        <v>1</v>
      </c>
      <c r="L423" s="11">
        <f>_xlfn.XLOOKUP(G423,Ref!$B$3:$B$12,Ref!$C$3:$C$12,"",1)</f>
        <v>1</v>
      </c>
      <c r="M423" s="11">
        <f>_xlfn.XLOOKUP(H423,Ref!$B$3:$B$12,Ref!$C$3:$C$12,"",1)</f>
        <v>1</v>
      </c>
    </row>
    <row r="424" spans="2:13" x14ac:dyDescent="0.25">
      <c r="B424" s="15" t="s">
        <v>57</v>
      </c>
      <c r="C424" s="9">
        <v>44.3</v>
      </c>
      <c r="D424" s="9">
        <v>49.4</v>
      </c>
      <c r="E424" s="10">
        <v>54.8</v>
      </c>
      <c r="F424" s="9">
        <f t="shared" si="31"/>
        <v>14.101127957941927</v>
      </c>
      <c r="G424" s="9">
        <f t="shared" si="32"/>
        <v>15.724508377479259</v>
      </c>
      <c r="H424" s="10">
        <f t="shared" si="33"/>
        <v>17.443381762871727</v>
      </c>
      <c r="K424" s="11">
        <f>_xlfn.XLOOKUP(F424,Ref!$B$3:$B$12,Ref!$C$3:$C$12,"",1)</f>
        <v>1</v>
      </c>
      <c r="L424" s="11">
        <f>_xlfn.XLOOKUP(G424,Ref!$B$3:$B$12,Ref!$C$3:$C$12,"",1)</f>
        <v>1</v>
      </c>
      <c r="M424" s="11">
        <f>_xlfn.XLOOKUP(H424,Ref!$B$3:$B$12,Ref!$C$3:$C$12,"",1)</f>
        <v>1</v>
      </c>
    </row>
    <row r="425" spans="2:13" x14ac:dyDescent="0.25">
      <c r="B425" s="15" t="s">
        <v>12</v>
      </c>
      <c r="C425" s="9">
        <v>52.3</v>
      </c>
      <c r="D425" s="9">
        <v>53.9</v>
      </c>
      <c r="E425" s="10">
        <v>0</v>
      </c>
      <c r="F425" s="9">
        <f t="shared" si="31"/>
        <v>16.647607047412251</v>
      </c>
      <c r="G425" s="9">
        <f t="shared" si="32"/>
        <v>17.156902865306318</v>
      </c>
      <c r="H425" s="10">
        <f t="shared" si="33"/>
        <v>0</v>
      </c>
      <c r="K425" s="11">
        <f>_xlfn.XLOOKUP(F425,Ref!$B$3:$B$12,Ref!$C$3:$C$12,"",1)</f>
        <v>1</v>
      </c>
      <c r="L425" s="11">
        <f>_xlfn.XLOOKUP(G425,Ref!$B$3:$B$12,Ref!$C$3:$C$12,"",1)</f>
        <v>1</v>
      </c>
      <c r="M425" s="11" t="str">
        <f>_xlfn.XLOOKUP(H425,Ref!$B$3:$B$12,Ref!$C$3:$C$12,"",1)</f>
        <v>Morta</v>
      </c>
    </row>
    <row r="426" spans="2:13" x14ac:dyDescent="0.25">
      <c r="B426" s="15" t="s">
        <v>15</v>
      </c>
      <c r="C426" s="9">
        <v>57.8</v>
      </c>
      <c r="D426" s="9">
        <v>58</v>
      </c>
      <c r="E426" s="10">
        <v>59.4</v>
      </c>
      <c r="F426" s="9">
        <f t="shared" si="31"/>
        <v>18.398311421423102</v>
      </c>
      <c r="G426" s="9">
        <f t="shared" si="32"/>
        <v>18.461973398659861</v>
      </c>
      <c r="H426" s="10">
        <f t="shared" si="33"/>
        <v>18.907607239317166</v>
      </c>
      <c r="K426" s="11">
        <f>_xlfn.XLOOKUP(F426,Ref!$B$3:$B$12,Ref!$C$3:$C$12,"",1)</f>
        <v>1</v>
      </c>
      <c r="L426" s="11">
        <f>_xlfn.XLOOKUP(G426,Ref!$B$3:$B$12,Ref!$C$3:$C$12,"",1)</f>
        <v>1</v>
      </c>
      <c r="M426" s="11">
        <f>_xlfn.XLOOKUP(H426,Ref!$B$3:$B$12,Ref!$C$3:$C$12,"",1)</f>
        <v>1</v>
      </c>
    </row>
    <row r="427" spans="2:13" x14ac:dyDescent="0.25">
      <c r="B427" s="15" t="s">
        <v>28</v>
      </c>
      <c r="C427" s="9">
        <v>53</v>
      </c>
      <c r="D427" s="9">
        <v>54.5</v>
      </c>
      <c r="E427" s="10">
        <v>54.8</v>
      </c>
      <c r="F427" s="9">
        <f t="shared" si="31"/>
        <v>16.870423967740905</v>
      </c>
      <c r="G427" s="9">
        <f t="shared" si="32"/>
        <v>17.347888797016591</v>
      </c>
      <c r="H427" s="10">
        <f t="shared" si="33"/>
        <v>17.443381762871727</v>
      </c>
      <c r="K427" s="11">
        <f>_xlfn.XLOOKUP(F427,Ref!$B$3:$B$12,Ref!$C$3:$C$12,"",1)</f>
        <v>1</v>
      </c>
      <c r="L427" s="11">
        <f>_xlfn.XLOOKUP(G427,Ref!$B$3:$B$12,Ref!$C$3:$C$12,"",1)</f>
        <v>1</v>
      </c>
      <c r="M427" s="11">
        <f>_xlfn.XLOOKUP(H427,Ref!$B$3:$B$12,Ref!$C$3:$C$12,"",1)</f>
        <v>1</v>
      </c>
    </row>
    <row r="428" spans="2:13" x14ac:dyDescent="0.25">
      <c r="B428" s="15" t="s">
        <v>26</v>
      </c>
      <c r="C428" s="9">
        <v>103.2</v>
      </c>
      <c r="D428" s="9">
        <v>111.7</v>
      </c>
      <c r="E428" s="10">
        <v>114</v>
      </c>
      <c r="F428" s="9">
        <f t="shared" si="31"/>
        <v>32.849580254167201</v>
      </c>
      <c r="G428" s="9">
        <f t="shared" si="32"/>
        <v>35.555214286729424</v>
      </c>
      <c r="H428" s="10">
        <f t="shared" si="33"/>
        <v>36.287327024952141</v>
      </c>
      <c r="K428" s="11">
        <f>_xlfn.XLOOKUP(F428,Ref!$B$3:$B$12,Ref!$C$3:$C$12,"",1)</f>
        <v>3</v>
      </c>
      <c r="L428" s="11">
        <f>_xlfn.XLOOKUP(G428,Ref!$B$3:$B$12,Ref!$C$3:$C$12,"",1)</f>
        <v>3</v>
      </c>
      <c r="M428" s="11">
        <f>_xlfn.XLOOKUP(H428,Ref!$B$3:$B$12,Ref!$C$3:$C$12,"",1)</f>
        <v>3</v>
      </c>
    </row>
    <row r="429" spans="2:13" x14ac:dyDescent="0.25">
      <c r="B429" s="15" t="s">
        <v>39</v>
      </c>
      <c r="C429" s="9">
        <v>53</v>
      </c>
      <c r="D429" s="9">
        <v>56.9</v>
      </c>
      <c r="E429" s="10">
        <v>60</v>
      </c>
      <c r="F429" s="9">
        <f t="shared" si="31"/>
        <v>16.870423967740905</v>
      </c>
      <c r="G429" s="9">
        <f t="shared" si="32"/>
        <v>18.111832523857689</v>
      </c>
      <c r="H429" s="10">
        <f t="shared" si="33"/>
        <v>19.098593171027442</v>
      </c>
      <c r="K429" s="11">
        <f>_xlfn.XLOOKUP(F429,Ref!$B$3:$B$12,Ref!$C$3:$C$12,"",1)</f>
        <v>1</v>
      </c>
      <c r="L429" s="11">
        <f>_xlfn.XLOOKUP(G429,Ref!$B$3:$B$12,Ref!$C$3:$C$12,"",1)</f>
        <v>1</v>
      </c>
      <c r="M429" s="11">
        <f>_xlfn.XLOOKUP(H429,Ref!$B$3:$B$12,Ref!$C$3:$C$12,"",1)</f>
        <v>1</v>
      </c>
    </row>
    <row r="430" spans="2:13" x14ac:dyDescent="0.25">
      <c r="B430" s="15" t="s">
        <v>8</v>
      </c>
      <c r="C430" s="9">
        <v>81</v>
      </c>
      <c r="D430" s="9">
        <v>90.5</v>
      </c>
      <c r="E430" s="10">
        <v>97.5</v>
      </c>
      <c r="F430" s="9">
        <f t="shared" si="31"/>
        <v>25.783100780887047</v>
      </c>
      <c r="G430" s="9">
        <f t="shared" si="32"/>
        <v>28.807044699633057</v>
      </c>
      <c r="H430" s="10">
        <f t="shared" si="33"/>
        <v>31.03521390291959</v>
      </c>
      <c r="K430" s="11">
        <f>_xlfn.XLOOKUP(F430,Ref!$B$3:$B$12,Ref!$C$3:$C$12,"",1)</f>
        <v>2</v>
      </c>
      <c r="L430" s="11">
        <f>_xlfn.XLOOKUP(G430,Ref!$B$3:$B$12,Ref!$C$3:$C$12,"",1)</f>
        <v>2</v>
      </c>
      <c r="M430" s="11">
        <f>_xlfn.XLOOKUP(H430,Ref!$B$3:$B$12,Ref!$C$3:$C$12,"",1)</f>
        <v>3</v>
      </c>
    </row>
    <row r="431" spans="2:13" x14ac:dyDescent="0.25">
      <c r="B431" s="15" t="s">
        <v>12</v>
      </c>
      <c r="C431" s="9">
        <v>48.5</v>
      </c>
      <c r="D431" s="9">
        <v>50.8</v>
      </c>
      <c r="E431" s="10">
        <v>53.1</v>
      </c>
      <c r="F431" s="9">
        <f t="shared" si="31"/>
        <v>15.438029479913848</v>
      </c>
      <c r="G431" s="9">
        <f t="shared" si="32"/>
        <v>16.170142218136565</v>
      </c>
      <c r="H431" s="10">
        <f t="shared" si="33"/>
        <v>16.902254956359286</v>
      </c>
      <c r="K431" s="11">
        <f>_xlfn.XLOOKUP(F431,Ref!$B$3:$B$12,Ref!$C$3:$C$12,"",1)</f>
        <v>1</v>
      </c>
      <c r="L431" s="11">
        <f>_xlfn.XLOOKUP(G431,Ref!$B$3:$B$12,Ref!$C$3:$C$12,"",1)</f>
        <v>1</v>
      </c>
      <c r="M431" s="11">
        <f>_xlfn.XLOOKUP(H431,Ref!$B$3:$B$12,Ref!$C$3:$C$12,"",1)</f>
        <v>1</v>
      </c>
    </row>
    <row r="432" spans="2:13" x14ac:dyDescent="0.25">
      <c r="B432" s="15" t="s">
        <v>14</v>
      </c>
      <c r="C432" s="9">
        <v>41.5</v>
      </c>
      <c r="D432" s="9">
        <v>44.8</v>
      </c>
      <c r="E432" s="10">
        <v>53.2</v>
      </c>
      <c r="F432" s="9">
        <f t="shared" si="31"/>
        <v>13.209860276627314</v>
      </c>
      <c r="G432" s="9">
        <f t="shared" si="32"/>
        <v>14.260282901033822</v>
      </c>
      <c r="H432" s="10">
        <f t="shared" si="33"/>
        <v>16.934085944977664</v>
      </c>
      <c r="K432" s="11">
        <f>_xlfn.XLOOKUP(F432,Ref!$B$3:$B$12,Ref!$C$3:$C$12,"",1)</f>
        <v>1</v>
      </c>
      <c r="L432" s="11">
        <f>_xlfn.XLOOKUP(G432,Ref!$B$3:$B$12,Ref!$C$3:$C$12,"",1)</f>
        <v>1</v>
      </c>
      <c r="M432" s="11">
        <f>_xlfn.XLOOKUP(H432,Ref!$B$3:$B$12,Ref!$C$3:$C$12,"",1)</f>
        <v>1</v>
      </c>
    </row>
    <row r="433" spans="2:13" x14ac:dyDescent="0.25">
      <c r="B433" s="15" t="s">
        <v>12</v>
      </c>
      <c r="C433" s="9">
        <v>53.5</v>
      </c>
      <c r="D433" s="9">
        <v>58</v>
      </c>
      <c r="E433" s="10">
        <v>60.7</v>
      </c>
      <c r="F433" s="9">
        <f t="shared" ref="F433:F490" si="34">IF(C433="", "", C433/PI())</f>
        <v>17.0295789108328</v>
      </c>
      <c r="G433" s="9">
        <f t="shared" ref="G433:G490" si="35">IF(D433="", "", D433/PI())</f>
        <v>18.461973398659861</v>
      </c>
      <c r="H433" s="10">
        <f t="shared" ref="H433:H490" si="36">IF(E433="", "", E433/PI())</f>
        <v>19.321410091356096</v>
      </c>
      <c r="K433" s="11">
        <f>_xlfn.XLOOKUP(F433,Ref!$B$3:$B$12,Ref!$C$3:$C$12,"",1)</f>
        <v>1</v>
      </c>
      <c r="L433" s="11">
        <f>_xlfn.XLOOKUP(G433,Ref!$B$3:$B$12,Ref!$C$3:$C$12,"",1)</f>
        <v>1</v>
      </c>
      <c r="M433" s="11">
        <f>_xlfn.XLOOKUP(H433,Ref!$B$3:$B$12,Ref!$C$3:$C$12,"",1)</f>
        <v>1</v>
      </c>
    </row>
    <row r="434" spans="2:13" x14ac:dyDescent="0.25">
      <c r="B434" s="15" t="s">
        <v>10</v>
      </c>
      <c r="C434" s="9">
        <v>35.9</v>
      </c>
      <c r="D434" s="9">
        <v>41.7</v>
      </c>
      <c r="E434" s="10">
        <v>47</v>
      </c>
      <c r="F434" s="9">
        <f t="shared" si="34"/>
        <v>11.427324913998085</v>
      </c>
      <c r="G434" s="9">
        <f t="shared" si="35"/>
        <v>13.273522253864073</v>
      </c>
      <c r="H434" s="10">
        <f t="shared" si="36"/>
        <v>14.960564650638162</v>
      </c>
      <c r="K434" s="11">
        <f>_xlfn.XLOOKUP(F434,Ref!$B$3:$B$12,Ref!$C$3:$C$12,"",1)</f>
        <v>1</v>
      </c>
      <c r="L434" s="11">
        <f>_xlfn.XLOOKUP(G434,Ref!$B$3:$B$12,Ref!$C$3:$C$12,"",1)</f>
        <v>1</v>
      </c>
      <c r="M434" s="11">
        <f>_xlfn.XLOOKUP(H434,Ref!$B$3:$B$12,Ref!$C$3:$C$12,"",1)</f>
        <v>1</v>
      </c>
    </row>
    <row r="435" spans="2:13" x14ac:dyDescent="0.25">
      <c r="B435" s="15" t="s">
        <v>42</v>
      </c>
      <c r="C435" s="9">
        <v>71</v>
      </c>
      <c r="D435" s="9">
        <v>73.5</v>
      </c>
      <c r="E435" s="10">
        <v>74.099999999999994</v>
      </c>
      <c r="F435" s="9">
        <f t="shared" si="34"/>
        <v>22.600001919049138</v>
      </c>
      <c r="G435" s="9">
        <f t="shared" si="35"/>
        <v>23.395776634508614</v>
      </c>
      <c r="H435" s="10">
        <f t="shared" si="36"/>
        <v>23.586762566218887</v>
      </c>
      <c r="K435" s="11">
        <f>_xlfn.XLOOKUP(F435,Ref!$B$3:$B$12,Ref!$C$3:$C$12,"",1)</f>
        <v>2</v>
      </c>
      <c r="L435" s="11">
        <f>_xlfn.XLOOKUP(G435,Ref!$B$3:$B$12,Ref!$C$3:$C$12,"",1)</f>
        <v>2</v>
      </c>
      <c r="M435" s="11">
        <f>_xlfn.XLOOKUP(H435,Ref!$B$3:$B$12,Ref!$C$3:$C$12,"",1)</f>
        <v>2</v>
      </c>
    </row>
    <row r="436" spans="2:13" x14ac:dyDescent="0.25">
      <c r="B436" s="15" t="s">
        <v>47</v>
      </c>
      <c r="C436" s="9">
        <v>39</v>
      </c>
      <c r="D436" s="9">
        <v>43.4</v>
      </c>
      <c r="E436" s="10">
        <v>49.3</v>
      </c>
      <c r="F436" s="9">
        <f t="shared" si="34"/>
        <v>12.414085561167836</v>
      </c>
      <c r="G436" s="9">
        <f t="shared" si="35"/>
        <v>13.814649060376516</v>
      </c>
      <c r="H436" s="10">
        <f t="shared" si="36"/>
        <v>15.692677388860879</v>
      </c>
      <c r="K436" s="11">
        <f>_xlfn.XLOOKUP(F436,Ref!$B$3:$B$12,Ref!$C$3:$C$12,"",1)</f>
        <v>1</v>
      </c>
      <c r="L436" s="11">
        <f>_xlfn.XLOOKUP(G436,Ref!$B$3:$B$12,Ref!$C$3:$C$12,"",1)</f>
        <v>1</v>
      </c>
      <c r="M436" s="11">
        <f>_xlfn.XLOOKUP(H436,Ref!$B$3:$B$12,Ref!$C$3:$C$12,"",1)</f>
        <v>1</v>
      </c>
    </row>
    <row r="437" spans="2:13" x14ac:dyDescent="0.25">
      <c r="B437" s="15" t="s">
        <v>28</v>
      </c>
      <c r="C437" s="9">
        <v>79</v>
      </c>
      <c r="D437" s="9">
        <v>80.900000000000006</v>
      </c>
      <c r="E437" s="10">
        <v>81.3</v>
      </c>
      <c r="F437" s="9">
        <f t="shared" si="34"/>
        <v>25.146481008519466</v>
      </c>
      <c r="G437" s="9">
        <f t="shared" si="35"/>
        <v>25.751269792268669</v>
      </c>
      <c r="H437" s="10">
        <f t="shared" si="36"/>
        <v>25.878593746742183</v>
      </c>
      <c r="K437" s="11">
        <f>_xlfn.XLOOKUP(F437,Ref!$B$3:$B$12,Ref!$C$3:$C$12,"",1)</f>
        <v>2</v>
      </c>
      <c r="L437" s="11">
        <f>_xlfn.XLOOKUP(G437,Ref!$B$3:$B$12,Ref!$C$3:$C$12,"",1)</f>
        <v>2</v>
      </c>
      <c r="M437" s="11">
        <f>_xlfn.XLOOKUP(H437,Ref!$B$3:$B$12,Ref!$C$3:$C$12,"",1)</f>
        <v>2</v>
      </c>
    </row>
    <row r="438" spans="2:13" x14ac:dyDescent="0.25">
      <c r="B438" s="15" t="s">
        <v>28</v>
      </c>
      <c r="C438" s="9">
        <v>108.5</v>
      </c>
      <c r="D438" s="9">
        <v>112</v>
      </c>
      <c r="E438" s="10">
        <v>114.2</v>
      </c>
      <c r="F438" s="9">
        <f t="shared" si="34"/>
        <v>34.53662265094129</v>
      </c>
      <c r="G438" s="9">
        <f t="shared" si="35"/>
        <v>35.65070725258456</v>
      </c>
      <c r="H438" s="10">
        <f t="shared" si="36"/>
        <v>36.350989002188896</v>
      </c>
      <c r="K438" s="11">
        <f>_xlfn.XLOOKUP(F438,Ref!$B$3:$B$12,Ref!$C$3:$C$12,"",1)</f>
        <v>3</v>
      </c>
      <c r="L438" s="11">
        <f>_xlfn.XLOOKUP(G438,Ref!$B$3:$B$12,Ref!$C$3:$C$12,"",1)</f>
        <v>3</v>
      </c>
      <c r="M438" s="11">
        <f>_xlfn.XLOOKUP(H438,Ref!$B$3:$B$12,Ref!$C$3:$C$12,"",1)</f>
        <v>3</v>
      </c>
    </row>
    <row r="439" spans="2:13" x14ac:dyDescent="0.25">
      <c r="B439" s="15" t="s">
        <v>24</v>
      </c>
      <c r="C439" s="9"/>
      <c r="D439" s="9">
        <v>31.7</v>
      </c>
      <c r="E439" s="10">
        <v>31.7</v>
      </c>
      <c r="F439" s="9" t="str">
        <f t="shared" si="34"/>
        <v/>
      </c>
      <c r="G439" s="9">
        <f t="shared" si="35"/>
        <v>10.090423392026164</v>
      </c>
      <c r="H439" s="10">
        <f t="shared" si="36"/>
        <v>10.090423392026164</v>
      </c>
      <c r="K439" s="11" t="str">
        <f>_xlfn.XLOOKUP(F439,Ref!$B$3:$B$12,Ref!$C$3:$C$12,"",1)</f>
        <v/>
      </c>
      <c r="L439" s="11">
        <f>_xlfn.XLOOKUP(G439,Ref!$B$3:$B$12,Ref!$C$3:$C$12,"",1)</f>
        <v>1</v>
      </c>
      <c r="M439" s="11">
        <f>_xlfn.XLOOKUP(H439,Ref!$B$3:$B$12,Ref!$C$3:$C$12,"",1)</f>
        <v>1</v>
      </c>
    </row>
    <row r="440" spans="2:13" x14ac:dyDescent="0.25">
      <c r="B440" s="15" t="s">
        <v>51</v>
      </c>
      <c r="C440" s="9"/>
      <c r="D440" s="9">
        <v>32</v>
      </c>
      <c r="E440" s="10">
        <v>32.5</v>
      </c>
      <c r="F440" s="9" t="str">
        <f t="shared" si="34"/>
        <v/>
      </c>
      <c r="G440" s="9">
        <f t="shared" si="35"/>
        <v>10.185916357881302</v>
      </c>
      <c r="H440" s="10">
        <f t="shared" si="36"/>
        <v>10.345071300973197</v>
      </c>
      <c r="K440" s="11" t="str">
        <f>_xlfn.XLOOKUP(F440,Ref!$B$3:$B$12,Ref!$C$3:$C$12,"",1)</f>
        <v/>
      </c>
      <c r="L440" s="11">
        <f>_xlfn.XLOOKUP(G440,Ref!$B$3:$B$12,Ref!$C$3:$C$12,"",1)</f>
        <v>1</v>
      </c>
      <c r="M440" s="11">
        <f>_xlfn.XLOOKUP(H440,Ref!$B$3:$B$12,Ref!$C$3:$C$12,"",1)</f>
        <v>1</v>
      </c>
    </row>
    <row r="441" spans="2:13" x14ac:dyDescent="0.25">
      <c r="B441" s="15" t="s">
        <v>12</v>
      </c>
      <c r="C441" s="9"/>
      <c r="D441" s="9">
        <v>32.1</v>
      </c>
      <c r="E441" s="10">
        <v>32.5</v>
      </c>
      <c r="F441" s="9" t="str">
        <f t="shared" si="34"/>
        <v/>
      </c>
      <c r="G441" s="9">
        <f t="shared" si="35"/>
        <v>10.217747346499682</v>
      </c>
      <c r="H441" s="10">
        <f t="shared" si="36"/>
        <v>10.345071300973197</v>
      </c>
      <c r="K441" s="11" t="str">
        <f>_xlfn.XLOOKUP(F441,Ref!$B$3:$B$12,Ref!$C$3:$C$12,"",1)</f>
        <v/>
      </c>
      <c r="L441" s="11">
        <f>_xlfn.XLOOKUP(G441,Ref!$B$3:$B$12,Ref!$C$3:$C$12,"",1)</f>
        <v>1</v>
      </c>
      <c r="M441" s="11">
        <f>_xlfn.XLOOKUP(H441,Ref!$B$3:$B$12,Ref!$C$3:$C$12,"",1)</f>
        <v>1</v>
      </c>
    </row>
    <row r="442" spans="2:13" x14ac:dyDescent="0.25">
      <c r="B442" s="15" t="s">
        <v>39</v>
      </c>
      <c r="C442" s="9"/>
      <c r="D442" s="9"/>
      <c r="E442" s="10">
        <v>34.5</v>
      </c>
      <c r="F442" s="9" t="str">
        <f t="shared" si="34"/>
        <v/>
      </c>
      <c r="G442" s="9" t="str">
        <f t="shared" si="35"/>
        <v/>
      </c>
      <c r="H442" s="10">
        <f t="shared" si="36"/>
        <v>10.981691073340778</v>
      </c>
      <c r="K442" s="11" t="str">
        <f>_xlfn.XLOOKUP(F442,Ref!$B$3:$B$12,Ref!$C$3:$C$12,"",1)</f>
        <v/>
      </c>
      <c r="L442" s="11" t="str">
        <f>_xlfn.XLOOKUP(G442,Ref!$B$3:$B$12,Ref!$C$3:$C$12,"",1)</f>
        <v/>
      </c>
      <c r="M442" s="11">
        <f>_xlfn.XLOOKUP(H442,Ref!$B$3:$B$12,Ref!$C$3:$C$12,"",1)</f>
        <v>1</v>
      </c>
    </row>
    <row r="443" spans="2:13" x14ac:dyDescent="0.25">
      <c r="B443" s="15" t="s">
        <v>39</v>
      </c>
      <c r="C443" s="9"/>
      <c r="D443" s="9"/>
      <c r="E443" s="10">
        <v>33.299999999999997</v>
      </c>
      <c r="F443" s="9" t="str">
        <f t="shared" si="34"/>
        <v/>
      </c>
      <c r="G443" s="9" t="str">
        <f t="shared" si="35"/>
        <v/>
      </c>
      <c r="H443" s="10">
        <f t="shared" si="36"/>
        <v>10.599719209920229</v>
      </c>
      <c r="K443" s="11" t="str">
        <f>_xlfn.XLOOKUP(F443,Ref!$B$3:$B$12,Ref!$C$3:$C$12,"",1)</f>
        <v/>
      </c>
      <c r="L443" s="11" t="str">
        <f>_xlfn.XLOOKUP(G443,Ref!$B$3:$B$12,Ref!$C$3:$C$12,"",1)</f>
        <v/>
      </c>
      <c r="M443" s="11">
        <f>_xlfn.XLOOKUP(H443,Ref!$B$3:$B$12,Ref!$C$3:$C$12,"",1)</f>
        <v>1</v>
      </c>
    </row>
    <row r="444" spans="2:13" x14ac:dyDescent="0.25">
      <c r="B444" s="15" t="s">
        <v>12</v>
      </c>
      <c r="C444" s="9"/>
      <c r="D444" s="9"/>
      <c r="E444" s="10">
        <v>32</v>
      </c>
      <c r="F444" s="9" t="str">
        <f t="shared" si="34"/>
        <v/>
      </c>
      <c r="G444" s="9" t="str">
        <f t="shared" si="35"/>
        <v/>
      </c>
      <c r="H444" s="10">
        <f t="shared" si="36"/>
        <v>10.185916357881302</v>
      </c>
      <c r="K444" s="11" t="str">
        <f>_xlfn.XLOOKUP(F444,Ref!$B$3:$B$12,Ref!$C$3:$C$12,"",1)</f>
        <v/>
      </c>
      <c r="L444" s="11" t="str">
        <f>_xlfn.XLOOKUP(G444,Ref!$B$3:$B$12,Ref!$C$3:$C$12,"",1)</f>
        <v/>
      </c>
      <c r="M444" s="11">
        <f>_xlfn.XLOOKUP(H444,Ref!$B$3:$B$12,Ref!$C$3:$C$12,"",1)</f>
        <v>1</v>
      </c>
    </row>
    <row r="445" spans="2:13" x14ac:dyDescent="0.25">
      <c r="B445" s="15" t="s">
        <v>44</v>
      </c>
      <c r="C445" s="9"/>
      <c r="D445" s="9"/>
      <c r="E445" s="10">
        <v>31.7</v>
      </c>
      <c r="F445" s="9" t="str">
        <f t="shared" si="34"/>
        <v/>
      </c>
      <c r="G445" s="9" t="str">
        <f t="shared" si="35"/>
        <v/>
      </c>
      <c r="H445" s="10">
        <f t="shared" si="36"/>
        <v>10.090423392026164</v>
      </c>
      <c r="K445" s="11" t="str">
        <f>_xlfn.XLOOKUP(F445,Ref!$B$3:$B$12,Ref!$C$3:$C$12,"",1)</f>
        <v/>
      </c>
      <c r="L445" s="11" t="str">
        <f>_xlfn.XLOOKUP(G445,Ref!$B$3:$B$12,Ref!$C$3:$C$12,"",1)</f>
        <v/>
      </c>
      <c r="M445" s="11">
        <f>_xlfn.XLOOKUP(H445,Ref!$B$3:$B$12,Ref!$C$3:$C$12,"",1)</f>
        <v>1</v>
      </c>
    </row>
    <row r="446" spans="2:13" x14ac:dyDescent="0.25">
      <c r="B446" s="15" t="s">
        <v>39</v>
      </c>
      <c r="C446" s="9"/>
      <c r="D446" s="9"/>
      <c r="E446" s="10">
        <v>34.9</v>
      </c>
      <c r="F446" s="9" t="str">
        <f t="shared" si="34"/>
        <v/>
      </c>
      <c r="G446" s="9" t="str">
        <f t="shared" si="35"/>
        <v/>
      </c>
      <c r="H446" s="10">
        <f t="shared" si="36"/>
        <v>11.109015027814294</v>
      </c>
      <c r="K446" s="11" t="str">
        <f>_xlfn.XLOOKUP(F446,Ref!$B$3:$B$12,Ref!$C$3:$C$12,"",1)</f>
        <v/>
      </c>
      <c r="L446" s="11" t="str">
        <f>_xlfn.XLOOKUP(G446,Ref!$B$3:$B$12,Ref!$C$3:$C$12,"",1)</f>
        <v/>
      </c>
      <c r="M446" s="11">
        <f>_xlfn.XLOOKUP(H446,Ref!$B$3:$B$12,Ref!$C$3:$C$12,"",1)</f>
        <v>1</v>
      </c>
    </row>
    <row r="447" spans="2:13" x14ac:dyDescent="0.25">
      <c r="B447" s="15" t="s">
        <v>6</v>
      </c>
      <c r="C447" s="9"/>
      <c r="D447" s="9"/>
      <c r="E447" s="10">
        <v>32.5</v>
      </c>
      <c r="F447" s="9" t="str">
        <f t="shared" si="34"/>
        <v/>
      </c>
      <c r="G447" s="9" t="str">
        <f t="shared" si="35"/>
        <v/>
      </c>
      <c r="H447" s="10">
        <f t="shared" si="36"/>
        <v>10.345071300973197</v>
      </c>
      <c r="K447" s="11" t="str">
        <f>_xlfn.XLOOKUP(F447,Ref!$B$3:$B$12,Ref!$C$3:$C$12,"",1)</f>
        <v/>
      </c>
      <c r="L447" s="11" t="str">
        <f>_xlfn.XLOOKUP(G447,Ref!$B$3:$B$12,Ref!$C$3:$C$12,"",1)</f>
        <v/>
      </c>
      <c r="M447" s="11">
        <f>_xlfn.XLOOKUP(H447,Ref!$B$3:$B$12,Ref!$C$3:$C$12,"",1)</f>
        <v>1</v>
      </c>
    </row>
    <row r="448" spans="2:13" x14ac:dyDescent="0.25">
      <c r="B448" s="15" t="s">
        <v>12</v>
      </c>
      <c r="C448" s="9">
        <v>50.1</v>
      </c>
      <c r="D448" s="9">
        <v>57</v>
      </c>
      <c r="E448" s="10">
        <v>62.1</v>
      </c>
      <c r="F448" s="9">
        <f t="shared" si="34"/>
        <v>15.947325297807915</v>
      </c>
      <c r="G448" s="9">
        <f t="shared" si="35"/>
        <v>18.143663512476071</v>
      </c>
      <c r="H448" s="10">
        <f t="shared" si="36"/>
        <v>19.767043932013401</v>
      </c>
      <c r="K448" s="11">
        <f>_xlfn.XLOOKUP(F448,Ref!$B$3:$B$12,Ref!$C$3:$C$12,"",1)</f>
        <v>1</v>
      </c>
      <c r="L448" s="11">
        <f>_xlfn.XLOOKUP(G448,Ref!$B$3:$B$12,Ref!$C$3:$C$12,"",1)</f>
        <v>1</v>
      </c>
      <c r="M448" s="11">
        <f>_xlfn.XLOOKUP(H448,Ref!$B$3:$B$12,Ref!$C$3:$C$12,"",1)</f>
        <v>1</v>
      </c>
    </row>
    <row r="449" spans="2:13" x14ac:dyDescent="0.25">
      <c r="B449" s="15" t="s">
        <v>58</v>
      </c>
      <c r="C449" s="9">
        <v>31.7</v>
      </c>
      <c r="D449" s="9">
        <v>35.5</v>
      </c>
      <c r="E449" s="10">
        <v>38</v>
      </c>
      <c r="F449" s="9">
        <f t="shared" si="34"/>
        <v>10.090423392026164</v>
      </c>
      <c r="G449" s="9">
        <f t="shared" si="35"/>
        <v>11.300000959524569</v>
      </c>
      <c r="H449" s="10">
        <f t="shared" si="36"/>
        <v>12.095775674984045</v>
      </c>
      <c r="K449" s="11">
        <f>_xlfn.XLOOKUP(F449,Ref!$B$3:$B$12,Ref!$C$3:$C$12,"",1)</f>
        <v>1</v>
      </c>
      <c r="L449" s="11">
        <f>_xlfn.XLOOKUP(G449,Ref!$B$3:$B$12,Ref!$C$3:$C$12,"",1)</f>
        <v>1</v>
      </c>
      <c r="M449" s="11">
        <f>_xlfn.XLOOKUP(H449,Ref!$B$3:$B$12,Ref!$C$3:$C$12,"",1)</f>
        <v>1</v>
      </c>
    </row>
    <row r="450" spans="2:13" x14ac:dyDescent="0.25">
      <c r="B450" s="15" t="s">
        <v>12</v>
      </c>
      <c r="C450" s="9">
        <v>42.2</v>
      </c>
      <c r="D450" s="9">
        <v>47.2</v>
      </c>
      <c r="E450" s="10">
        <v>50.6</v>
      </c>
      <c r="F450" s="9">
        <f t="shared" si="34"/>
        <v>13.432677196955968</v>
      </c>
      <c r="G450" s="9">
        <f t="shared" si="35"/>
        <v>15.024226627874921</v>
      </c>
      <c r="H450" s="10">
        <f t="shared" si="36"/>
        <v>16.10648024089981</v>
      </c>
      <c r="K450" s="11">
        <f>_xlfn.XLOOKUP(F450,Ref!$B$3:$B$12,Ref!$C$3:$C$12,"",1)</f>
        <v>1</v>
      </c>
      <c r="L450" s="11">
        <f>_xlfn.XLOOKUP(G450,Ref!$B$3:$B$12,Ref!$C$3:$C$12,"",1)</f>
        <v>1</v>
      </c>
      <c r="M450" s="11">
        <f>_xlfn.XLOOKUP(H450,Ref!$B$3:$B$12,Ref!$C$3:$C$12,"",1)</f>
        <v>1</v>
      </c>
    </row>
    <row r="451" spans="2:13" x14ac:dyDescent="0.25">
      <c r="B451" s="15" t="s">
        <v>39</v>
      </c>
      <c r="C451" s="9">
        <v>44.3</v>
      </c>
      <c r="D451" s="9">
        <v>55.3</v>
      </c>
      <c r="E451" s="10">
        <v>62.7</v>
      </c>
      <c r="F451" s="9">
        <f t="shared" si="34"/>
        <v>14.101127957941927</v>
      </c>
      <c r="G451" s="9">
        <f t="shared" si="35"/>
        <v>17.602536705963622</v>
      </c>
      <c r="H451" s="10">
        <f t="shared" si="36"/>
        <v>19.958029863723677</v>
      </c>
      <c r="K451" s="11">
        <f>_xlfn.XLOOKUP(F451,Ref!$B$3:$B$12,Ref!$C$3:$C$12,"",1)</f>
        <v>1</v>
      </c>
      <c r="L451" s="11">
        <f>_xlfn.XLOOKUP(G451,Ref!$B$3:$B$12,Ref!$C$3:$C$12,"",1)</f>
        <v>1</v>
      </c>
      <c r="M451" s="11">
        <f>_xlfn.XLOOKUP(H451,Ref!$B$3:$B$12,Ref!$C$3:$C$12,"",1)</f>
        <v>1</v>
      </c>
    </row>
    <row r="452" spans="2:13" x14ac:dyDescent="0.25">
      <c r="B452" s="15" t="s">
        <v>32</v>
      </c>
      <c r="C452" s="9">
        <v>39</v>
      </c>
      <c r="D452" s="9">
        <v>41.7</v>
      </c>
      <c r="E452" s="10">
        <v>44</v>
      </c>
      <c r="F452" s="9">
        <f t="shared" si="34"/>
        <v>12.414085561167836</v>
      </c>
      <c r="G452" s="9">
        <f t="shared" si="35"/>
        <v>13.273522253864073</v>
      </c>
      <c r="H452" s="10">
        <f t="shared" si="36"/>
        <v>14.00563499208679</v>
      </c>
      <c r="K452" s="11">
        <f>_xlfn.XLOOKUP(F452,Ref!$B$3:$B$12,Ref!$C$3:$C$12,"",1)</f>
        <v>1</v>
      </c>
      <c r="L452" s="11">
        <f>_xlfn.XLOOKUP(G452,Ref!$B$3:$B$12,Ref!$C$3:$C$12,"",1)</f>
        <v>1</v>
      </c>
      <c r="M452" s="11">
        <f>_xlfn.XLOOKUP(H452,Ref!$B$3:$B$12,Ref!$C$3:$C$12,"",1)</f>
        <v>1</v>
      </c>
    </row>
    <row r="453" spans="2:13" x14ac:dyDescent="0.25">
      <c r="B453" s="15" t="s">
        <v>10</v>
      </c>
      <c r="C453" s="9">
        <v>49.4</v>
      </c>
      <c r="D453" s="9">
        <v>54.7</v>
      </c>
      <c r="E453" s="10">
        <v>57.4</v>
      </c>
      <c r="F453" s="9">
        <f t="shared" si="34"/>
        <v>15.724508377479259</v>
      </c>
      <c r="G453" s="9">
        <f t="shared" si="35"/>
        <v>17.411550774253353</v>
      </c>
      <c r="H453" s="10">
        <f t="shared" si="36"/>
        <v>18.270987466949585</v>
      </c>
      <c r="K453" s="11">
        <f>_xlfn.XLOOKUP(F453,Ref!$B$3:$B$12,Ref!$C$3:$C$12,"",1)</f>
        <v>1</v>
      </c>
      <c r="L453" s="11">
        <f>_xlfn.XLOOKUP(G453,Ref!$B$3:$B$12,Ref!$C$3:$C$12,"",1)</f>
        <v>1</v>
      </c>
      <c r="M453" s="11">
        <f>_xlfn.XLOOKUP(H453,Ref!$B$3:$B$12,Ref!$C$3:$C$12,"",1)</f>
        <v>1</v>
      </c>
    </row>
    <row r="454" spans="2:13" x14ac:dyDescent="0.25">
      <c r="B454" s="15" t="s">
        <v>59</v>
      </c>
      <c r="C454" s="9">
        <v>41</v>
      </c>
      <c r="D454" s="9">
        <v>41.8</v>
      </c>
      <c r="E454" s="10">
        <v>42.3</v>
      </c>
      <c r="F454" s="9">
        <f t="shared" si="34"/>
        <v>13.050705333535419</v>
      </c>
      <c r="G454" s="9">
        <f t="shared" si="35"/>
        <v>13.30535324248245</v>
      </c>
      <c r="H454" s="10">
        <f t="shared" si="36"/>
        <v>13.464508185574346</v>
      </c>
      <c r="K454" s="11">
        <f>_xlfn.XLOOKUP(F454,Ref!$B$3:$B$12,Ref!$C$3:$C$12,"",1)</f>
        <v>1</v>
      </c>
      <c r="L454" s="11">
        <f>_xlfn.XLOOKUP(G454,Ref!$B$3:$B$12,Ref!$C$3:$C$12,"",1)</f>
        <v>1</v>
      </c>
      <c r="M454" s="11">
        <f>_xlfn.XLOOKUP(H454,Ref!$B$3:$B$12,Ref!$C$3:$C$12,"",1)</f>
        <v>1</v>
      </c>
    </row>
    <row r="455" spans="2:13" x14ac:dyDescent="0.25">
      <c r="B455" s="15" t="s">
        <v>30</v>
      </c>
      <c r="C455" s="9">
        <v>47.8</v>
      </c>
      <c r="D455" s="9">
        <v>49</v>
      </c>
      <c r="E455" s="10">
        <v>44.9</v>
      </c>
      <c r="F455" s="9">
        <f t="shared" si="34"/>
        <v>15.215212559585193</v>
      </c>
      <c r="G455" s="9">
        <f t="shared" si="35"/>
        <v>15.597184423005743</v>
      </c>
      <c r="H455" s="10">
        <f t="shared" si="36"/>
        <v>14.292113889652201</v>
      </c>
      <c r="K455" s="11">
        <f>_xlfn.XLOOKUP(F455,Ref!$B$3:$B$12,Ref!$C$3:$C$12,"",1)</f>
        <v>1</v>
      </c>
      <c r="L455" s="11">
        <f>_xlfn.XLOOKUP(G455,Ref!$B$3:$B$12,Ref!$C$3:$C$12,"",1)</f>
        <v>1</v>
      </c>
      <c r="M455" s="11">
        <f>_xlfn.XLOOKUP(H455,Ref!$B$3:$B$12,Ref!$C$3:$C$12,"",1)</f>
        <v>1</v>
      </c>
    </row>
    <row r="456" spans="2:13" x14ac:dyDescent="0.25">
      <c r="B456" s="15" t="s">
        <v>39</v>
      </c>
      <c r="C456" s="9">
        <v>74</v>
      </c>
      <c r="D456" s="9">
        <v>84.7</v>
      </c>
      <c r="E456" s="10">
        <v>99</v>
      </c>
      <c r="F456" s="9">
        <f t="shared" si="34"/>
        <v>23.554931577600509</v>
      </c>
      <c r="G456" s="9">
        <f t="shared" si="35"/>
        <v>26.960847359767072</v>
      </c>
      <c r="H456" s="10">
        <f t="shared" si="36"/>
        <v>31.512678732195276</v>
      </c>
      <c r="K456" s="11">
        <f>_xlfn.XLOOKUP(F456,Ref!$B$3:$B$12,Ref!$C$3:$C$12,"",1)</f>
        <v>2</v>
      </c>
      <c r="L456" s="11">
        <f>_xlfn.XLOOKUP(G456,Ref!$B$3:$B$12,Ref!$C$3:$C$12,"",1)</f>
        <v>2</v>
      </c>
      <c r="M456" s="11">
        <f>_xlfn.XLOOKUP(H456,Ref!$B$3:$B$12,Ref!$C$3:$C$12,"",1)</f>
        <v>3</v>
      </c>
    </row>
    <row r="457" spans="2:13" x14ac:dyDescent="0.25">
      <c r="B457" s="15" t="s">
        <v>44</v>
      </c>
      <c r="C457" s="9">
        <v>41.5</v>
      </c>
      <c r="D457" s="9">
        <v>41.5</v>
      </c>
      <c r="E457" s="10">
        <v>41.5</v>
      </c>
      <c r="F457" s="9">
        <f t="shared" si="34"/>
        <v>13.209860276627314</v>
      </c>
      <c r="G457" s="9">
        <f t="shared" si="35"/>
        <v>13.209860276627314</v>
      </c>
      <c r="H457" s="10">
        <f t="shared" si="36"/>
        <v>13.209860276627314</v>
      </c>
      <c r="K457" s="11">
        <f>_xlfn.XLOOKUP(F457,Ref!$B$3:$B$12,Ref!$C$3:$C$12,"",1)</f>
        <v>1</v>
      </c>
      <c r="L457" s="11">
        <f>_xlfn.XLOOKUP(G457,Ref!$B$3:$B$12,Ref!$C$3:$C$12,"",1)</f>
        <v>1</v>
      </c>
      <c r="M457" s="11">
        <f>_xlfn.XLOOKUP(H457,Ref!$B$3:$B$12,Ref!$C$3:$C$12,"",1)</f>
        <v>1</v>
      </c>
    </row>
    <row r="458" spans="2:13" x14ac:dyDescent="0.25">
      <c r="B458" s="15" t="s">
        <v>10</v>
      </c>
      <c r="C458" s="9">
        <v>42.5</v>
      </c>
      <c r="D458" s="9">
        <v>48.4</v>
      </c>
      <c r="E458" s="10">
        <v>51.9</v>
      </c>
      <c r="F458" s="9">
        <f t="shared" si="34"/>
        <v>13.528170162811104</v>
      </c>
      <c r="G458" s="9">
        <f t="shared" si="35"/>
        <v>15.406198491295468</v>
      </c>
      <c r="H458" s="10">
        <f t="shared" si="36"/>
        <v>16.520283092938737</v>
      </c>
      <c r="K458" s="11">
        <f>_xlfn.XLOOKUP(F458,Ref!$B$3:$B$12,Ref!$C$3:$C$12,"",1)</f>
        <v>1</v>
      </c>
      <c r="L458" s="11">
        <f>_xlfn.XLOOKUP(G458,Ref!$B$3:$B$12,Ref!$C$3:$C$12,"",1)</f>
        <v>1</v>
      </c>
      <c r="M458" s="11">
        <f>_xlfn.XLOOKUP(H458,Ref!$B$3:$B$12,Ref!$C$3:$C$12,"",1)</f>
        <v>1</v>
      </c>
    </row>
    <row r="459" spans="2:13" x14ac:dyDescent="0.25">
      <c r="B459" s="15" t="s">
        <v>36</v>
      </c>
      <c r="C459" s="9">
        <v>47.7</v>
      </c>
      <c r="D459" s="9">
        <v>51.8</v>
      </c>
      <c r="E459" s="10">
        <v>52.5</v>
      </c>
      <c r="F459" s="9">
        <f t="shared" si="34"/>
        <v>15.183381570966816</v>
      </c>
      <c r="G459" s="9">
        <f t="shared" si="35"/>
        <v>16.488452104320356</v>
      </c>
      <c r="H459" s="10">
        <f t="shared" si="36"/>
        <v>16.71126902464901</v>
      </c>
      <c r="K459" s="11">
        <f>_xlfn.XLOOKUP(F459,Ref!$B$3:$B$12,Ref!$C$3:$C$12,"",1)</f>
        <v>1</v>
      </c>
      <c r="L459" s="11">
        <f>_xlfn.XLOOKUP(G459,Ref!$B$3:$B$12,Ref!$C$3:$C$12,"",1)</f>
        <v>1</v>
      </c>
      <c r="M459" s="11">
        <f>_xlfn.XLOOKUP(H459,Ref!$B$3:$B$12,Ref!$C$3:$C$12,"",1)</f>
        <v>1</v>
      </c>
    </row>
    <row r="460" spans="2:13" x14ac:dyDescent="0.25">
      <c r="B460" s="15" t="s">
        <v>10</v>
      </c>
      <c r="C460" s="9">
        <v>32.200000000000003</v>
      </c>
      <c r="D460" s="9">
        <v>37</v>
      </c>
      <c r="E460" s="10">
        <v>43</v>
      </c>
      <c r="F460" s="9">
        <f t="shared" si="34"/>
        <v>10.249578335118061</v>
      </c>
      <c r="G460" s="9">
        <f t="shared" si="35"/>
        <v>11.777465788800255</v>
      </c>
      <c r="H460" s="10">
        <f t="shared" si="36"/>
        <v>13.687325105903</v>
      </c>
      <c r="K460" s="11">
        <f>_xlfn.XLOOKUP(F460,Ref!$B$3:$B$12,Ref!$C$3:$C$12,"",1)</f>
        <v>1</v>
      </c>
      <c r="L460" s="11">
        <f>_xlfn.XLOOKUP(G460,Ref!$B$3:$B$12,Ref!$C$3:$C$12,"",1)</f>
        <v>1</v>
      </c>
      <c r="M460" s="11">
        <f>_xlfn.XLOOKUP(H460,Ref!$B$3:$B$12,Ref!$C$3:$C$12,"",1)</f>
        <v>1</v>
      </c>
    </row>
    <row r="461" spans="2:13" x14ac:dyDescent="0.25">
      <c r="B461" s="15" t="s">
        <v>49</v>
      </c>
      <c r="C461" s="9">
        <v>43</v>
      </c>
      <c r="D461" s="9">
        <v>0</v>
      </c>
      <c r="E461" s="10">
        <v>0</v>
      </c>
      <c r="F461" s="9">
        <f t="shared" si="34"/>
        <v>13.687325105903</v>
      </c>
      <c r="G461" s="9">
        <f t="shared" si="35"/>
        <v>0</v>
      </c>
      <c r="H461" s="10">
        <f t="shared" si="36"/>
        <v>0</v>
      </c>
      <c r="K461" s="11">
        <f>_xlfn.XLOOKUP(F461,Ref!$B$3:$B$12,Ref!$C$3:$C$12,"",1)</f>
        <v>1</v>
      </c>
      <c r="L461" s="11" t="str">
        <f>_xlfn.XLOOKUP(G461,Ref!$B$3:$B$12,Ref!$C$3:$C$12,"",1)</f>
        <v>Morta</v>
      </c>
      <c r="M461" s="11" t="str">
        <f>_xlfn.XLOOKUP(H461,Ref!$B$3:$B$12,Ref!$C$3:$C$12,"",1)</f>
        <v>Morta</v>
      </c>
    </row>
    <row r="462" spans="2:13" x14ac:dyDescent="0.25">
      <c r="B462" s="15" t="s">
        <v>44</v>
      </c>
      <c r="C462" s="9">
        <v>34.799999999999997</v>
      </c>
      <c r="D462" s="9">
        <v>35</v>
      </c>
      <c r="E462" s="10">
        <v>35.299999999999997</v>
      </c>
      <c r="F462" s="9">
        <f t="shared" si="34"/>
        <v>11.077184039195915</v>
      </c>
      <c r="G462" s="9">
        <f t="shared" si="35"/>
        <v>11.140846016432674</v>
      </c>
      <c r="H462" s="10">
        <f t="shared" si="36"/>
        <v>11.23633898228781</v>
      </c>
      <c r="K462" s="11">
        <f>_xlfn.XLOOKUP(F462,Ref!$B$3:$B$12,Ref!$C$3:$C$12,"",1)</f>
        <v>1</v>
      </c>
      <c r="L462" s="11">
        <f>_xlfn.XLOOKUP(G462,Ref!$B$3:$B$12,Ref!$C$3:$C$12,"",1)</f>
        <v>1</v>
      </c>
      <c r="M462" s="11">
        <f>_xlfn.XLOOKUP(H462,Ref!$B$3:$B$12,Ref!$C$3:$C$12,"",1)</f>
        <v>1</v>
      </c>
    </row>
    <row r="463" spans="2:13" x14ac:dyDescent="0.25">
      <c r="B463" s="15" t="s">
        <v>50</v>
      </c>
      <c r="C463" s="9">
        <v>117.8</v>
      </c>
      <c r="D463" s="9">
        <v>117.8</v>
      </c>
      <c r="E463" s="10">
        <v>121.8</v>
      </c>
      <c r="F463" s="9">
        <f t="shared" si="34"/>
        <v>37.496904592450541</v>
      </c>
      <c r="G463" s="9">
        <f t="shared" si="35"/>
        <v>37.496904592450541</v>
      </c>
      <c r="H463" s="10">
        <f t="shared" si="36"/>
        <v>38.770144137185703</v>
      </c>
      <c r="K463" s="11">
        <f>_xlfn.XLOOKUP(F463,Ref!$B$3:$B$12,Ref!$C$3:$C$12,"",1)</f>
        <v>3</v>
      </c>
      <c r="L463" s="11">
        <f>_xlfn.XLOOKUP(G463,Ref!$B$3:$B$12,Ref!$C$3:$C$12,"",1)</f>
        <v>3</v>
      </c>
      <c r="M463" s="11">
        <f>_xlfn.XLOOKUP(H463,Ref!$B$3:$B$12,Ref!$C$3:$C$12,"",1)</f>
        <v>3</v>
      </c>
    </row>
    <row r="464" spans="2:13" x14ac:dyDescent="0.25">
      <c r="B464" s="15" t="s">
        <v>10</v>
      </c>
      <c r="C464" s="9">
        <v>46.6</v>
      </c>
      <c r="D464" s="9">
        <v>52.5</v>
      </c>
      <c r="E464" s="10">
        <v>57.3</v>
      </c>
      <c r="F464" s="9">
        <f t="shared" si="34"/>
        <v>14.833240696164646</v>
      </c>
      <c r="G464" s="9">
        <f t="shared" si="35"/>
        <v>16.71126902464901</v>
      </c>
      <c r="H464" s="10">
        <f t="shared" si="36"/>
        <v>18.239156478331207</v>
      </c>
      <c r="K464" s="11">
        <f>_xlfn.XLOOKUP(F464,Ref!$B$3:$B$12,Ref!$C$3:$C$12,"",1)</f>
        <v>1</v>
      </c>
      <c r="L464" s="11">
        <f>_xlfn.XLOOKUP(G464,Ref!$B$3:$B$12,Ref!$C$3:$C$12,"",1)</f>
        <v>1</v>
      </c>
      <c r="M464" s="11">
        <f>_xlfn.XLOOKUP(H464,Ref!$B$3:$B$12,Ref!$C$3:$C$12,"",1)</f>
        <v>1</v>
      </c>
    </row>
    <row r="465" spans="2:13" x14ac:dyDescent="0.25">
      <c r="B465" s="15" t="s">
        <v>26</v>
      </c>
      <c r="C465" s="9">
        <v>203</v>
      </c>
      <c r="D465" s="9">
        <v>211</v>
      </c>
      <c r="E465" s="10">
        <v>213</v>
      </c>
      <c r="F465" s="9">
        <f t="shared" si="34"/>
        <v>64.616906895309512</v>
      </c>
      <c r="G465" s="9">
        <f t="shared" si="35"/>
        <v>67.163385984779836</v>
      </c>
      <c r="H465" s="10">
        <f t="shared" si="36"/>
        <v>67.800005757147417</v>
      </c>
      <c r="K465" s="11">
        <f>_xlfn.XLOOKUP(F465,Ref!$B$3:$B$12,Ref!$C$3:$C$12,"",1)</f>
        <v>6</v>
      </c>
      <c r="L465" s="11">
        <f>_xlfn.XLOOKUP(G465,Ref!$B$3:$B$12,Ref!$C$3:$C$12,"",1)</f>
        <v>6</v>
      </c>
      <c r="M465" s="11">
        <f>_xlfn.XLOOKUP(H465,Ref!$B$3:$B$12,Ref!$C$3:$C$12,"",1)</f>
        <v>6</v>
      </c>
    </row>
    <row r="466" spans="2:13" x14ac:dyDescent="0.25">
      <c r="B466" s="15" t="s">
        <v>44</v>
      </c>
      <c r="C466" s="9">
        <v>37.9</v>
      </c>
      <c r="D466" s="9">
        <v>37.9</v>
      </c>
      <c r="E466" s="10">
        <v>37.9</v>
      </c>
      <c r="F466" s="9">
        <f t="shared" si="34"/>
        <v>12.063944686365666</v>
      </c>
      <c r="G466" s="9">
        <f t="shared" si="35"/>
        <v>12.063944686365666</v>
      </c>
      <c r="H466" s="10">
        <f t="shared" si="36"/>
        <v>12.063944686365666</v>
      </c>
      <c r="K466" s="11">
        <f>_xlfn.XLOOKUP(F466,Ref!$B$3:$B$12,Ref!$C$3:$C$12,"",1)</f>
        <v>1</v>
      </c>
      <c r="L466" s="11">
        <f>_xlfn.XLOOKUP(G466,Ref!$B$3:$B$12,Ref!$C$3:$C$12,"",1)</f>
        <v>1</v>
      </c>
      <c r="M466" s="11">
        <f>_xlfn.XLOOKUP(H466,Ref!$B$3:$B$12,Ref!$C$3:$C$12,"",1)</f>
        <v>1</v>
      </c>
    </row>
    <row r="467" spans="2:13" x14ac:dyDescent="0.25">
      <c r="B467" s="15" t="s">
        <v>8</v>
      </c>
      <c r="C467" s="9">
        <v>49.3</v>
      </c>
      <c r="D467" s="9">
        <v>52.8</v>
      </c>
      <c r="E467" s="10">
        <v>55.4</v>
      </c>
      <c r="F467" s="9">
        <f t="shared" si="34"/>
        <v>15.692677388860879</v>
      </c>
      <c r="G467" s="9">
        <f t="shared" si="35"/>
        <v>16.806761990504146</v>
      </c>
      <c r="H467" s="10">
        <f t="shared" si="36"/>
        <v>17.634367694582004</v>
      </c>
      <c r="K467" s="11">
        <f>_xlfn.XLOOKUP(F467,Ref!$B$3:$B$12,Ref!$C$3:$C$12,"",1)</f>
        <v>1</v>
      </c>
      <c r="L467" s="11">
        <f>_xlfn.XLOOKUP(G467,Ref!$B$3:$B$12,Ref!$C$3:$C$12,"",1)</f>
        <v>1</v>
      </c>
      <c r="M467" s="11">
        <f>_xlfn.XLOOKUP(H467,Ref!$B$3:$B$12,Ref!$C$3:$C$12,"",1)</f>
        <v>1</v>
      </c>
    </row>
    <row r="468" spans="2:13" x14ac:dyDescent="0.25">
      <c r="B468" s="15" t="s">
        <v>42</v>
      </c>
      <c r="C468" s="9"/>
      <c r="D468" s="9">
        <v>32</v>
      </c>
      <c r="E468" s="10">
        <v>36.6</v>
      </c>
      <c r="F468" s="9" t="str">
        <f t="shared" si="34"/>
        <v/>
      </c>
      <c r="G468" s="9">
        <f t="shared" si="35"/>
        <v>10.185916357881302</v>
      </c>
      <c r="H468" s="10">
        <f t="shared" si="36"/>
        <v>11.650141834326739</v>
      </c>
      <c r="K468" s="11" t="str">
        <f>_xlfn.XLOOKUP(F468,Ref!$B$3:$B$12,Ref!$C$3:$C$12,"",1)</f>
        <v/>
      </c>
      <c r="L468" s="11">
        <f>_xlfn.XLOOKUP(G468,Ref!$B$3:$B$12,Ref!$C$3:$C$12,"",1)</f>
        <v>1</v>
      </c>
      <c r="M468" s="11">
        <f>_xlfn.XLOOKUP(H468,Ref!$B$3:$B$12,Ref!$C$3:$C$12,"",1)</f>
        <v>1</v>
      </c>
    </row>
    <row r="469" spans="2:13" x14ac:dyDescent="0.25">
      <c r="B469" s="15" t="s">
        <v>10</v>
      </c>
      <c r="C469" s="9"/>
      <c r="D469" s="9">
        <v>31.6</v>
      </c>
      <c r="E469" s="10">
        <v>32.700000000000003</v>
      </c>
      <c r="F469" s="9" t="str">
        <f t="shared" si="34"/>
        <v/>
      </c>
      <c r="G469" s="9">
        <f t="shared" si="35"/>
        <v>10.058592403407786</v>
      </c>
      <c r="H469" s="10">
        <f t="shared" si="36"/>
        <v>10.408733278209956</v>
      </c>
      <c r="K469" s="11" t="str">
        <f>_xlfn.XLOOKUP(F469,Ref!$B$3:$B$12,Ref!$C$3:$C$12,"",1)</f>
        <v/>
      </c>
      <c r="L469" s="11">
        <f>_xlfn.XLOOKUP(G469,Ref!$B$3:$B$12,Ref!$C$3:$C$12,"",1)</f>
        <v>1</v>
      </c>
      <c r="M469" s="11">
        <f>_xlfn.XLOOKUP(H469,Ref!$B$3:$B$12,Ref!$C$3:$C$12,"",1)</f>
        <v>1</v>
      </c>
    </row>
    <row r="470" spans="2:13" x14ac:dyDescent="0.25">
      <c r="B470" s="15" t="s">
        <v>10</v>
      </c>
      <c r="C470" s="9"/>
      <c r="D470" s="9">
        <v>32.799999999999997</v>
      </c>
      <c r="E470" s="10">
        <v>33.799999999999997</v>
      </c>
      <c r="F470" s="9" t="str">
        <f t="shared" si="34"/>
        <v/>
      </c>
      <c r="G470" s="9">
        <f t="shared" si="35"/>
        <v>10.440564266828334</v>
      </c>
      <c r="H470" s="10">
        <f t="shared" si="36"/>
        <v>10.758874153012124</v>
      </c>
      <c r="K470" s="11" t="str">
        <f>_xlfn.XLOOKUP(F470,Ref!$B$3:$B$12,Ref!$C$3:$C$12,"",1)</f>
        <v/>
      </c>
      <c r="L470" s="11">
        <f>_xlfn.XLOOKUP(G470,Ref!$B$3:$B$12,Ref!$C$3:$C$12,"",1)</f>
        <v>1</v>
      </c>
      <c r="M470" s="11">
        <f>_xlfn.XLOOKUP(H470,Ref!$B$3:$B$12,Ref!$C$3:$C$12,"",1)</f>
        <v>1</v>
      </c>
    </row>
    <row r="471" spans="2:13" x14ac:dyDescent="0.25">
      <c r="B471" s="15" t="s">
        <v>14</v>
      </c>
      <c r="C471" s="9">
        <v>59.2</v>
      </c>
      <c r="D471" s="9">
        <v>61.5</v>
      </c>
      <c r="E471" s="10">
        <v>62.4</v>
      </c>
      <c r="F471" s="9">
        <f t="shared" si="34"/>
        <v>18.84394526208041</v>
      </c>
      <c r="G471" s="9">
        <f t="shared" si="35"/>
        <v>19.576058000303128</v>
      </c>
      <c r="H471" s="10">
        <f t="shared" si="36"/>
        <v>19.862536897868537</v>
      </c>
      <c r="K471" s="11">
        <f>_xlfn.XLOOKUP(F471,Ref!$B$3:$B$12,Ref!$C$3:$C$12,"",1)</f>
        <v>1</v>
      </c>
      <c r="L471" s="11">
        <f>_xlfn.XLOOKUP(G471,Ref!$B$3:$B$12,Ref!$C$3:$C$12,"",1)</f>
        <v>1</v>
      </c>
      <c r="M471" s="11">
        <f>_xlfn.XLOOKUP(H471,Ref!$B$3:$B$12,Ref!$C$3:$C$12,"",1)</f>
        <v>1</v>
      </c>
    </row>
    <row r="472" spans="2:13" x14ac:dyDescent="0.25">
      <c r="B472" s="15" t="s">
        <v>51</v>
      </c>
      <c r="C472" s="9"/>
      <c r="D472" s="9">
        <v>31.8</v>
      </c>
      <c r="E472" s="10">
        <v>31.8</v>
      </c>
      <c r="F472" s="9" t="str">
        <f t="shared" si="34"/>
        <v/>
      </c>
      <c r="G472" s="9">
        <f t="shared" si="35"/>
        <v>10.122254380644543</v>
      </c>
      <c r="H472" s="10">
        <f t="shared" si="36"/>
        <v>10.122254380644543</v>
      </c>
      <c r="K472" s="11" t="str">
        <f>_xlfn.XLOOKUP(F472,Ref!$B$3:$B$12,Ref!$C$3:$C$12,"",1)</f>
        <v/>
      </c>
      <c r="L472" s="11">
        <f>_xlfn.XLOOKUP(G472,Ref!$B$3:$B$12,Ref!$C$3:$C$12,"",1)</f>
        <v>1</v>
      </c>
      <c r="M472" s="11">
        <f>_xlfn.XLOOKUP(H472,Ref!$B$3:$B$12,Ref!$C$3:$C$12,"",1)</f>
        <v>1</v>
      </c>
    </row>
    <row r="473" spans="2:13" x14ac:dyDescent="0.25">
      <c r="B473" s="15" t="s">
        <v>24</v>
      </c>
      <c r="C473" s="9"/>
      <c r="D473" s="9">
        <v>70</v>
      </c>
      <c r="E473" s="10">
        <v>79</v>
      </c>
      <c r="F473" s="9" t="str">
        <f t="shared" si="34"/>
        <v/>
      </c>
      <c r="G473" s="9">
        <f t="shared" si="35"/>
        <v>22.281692032865347</v>
      </c>
      <c r="H473" s="10">
        <f t="shared" si="36"/>
        <v>25.146481008519466</v>
      </c>
      <c r="K473" s="11" t="str">
        <f>_xlfn.XLOOKUP(F473,Ref!$B$3:$B$12,Ref!$C$3:$C$12,"",1)</f>
        <v/>
      </c>
      <c r="L473" s="11">
        <f>_xlfn.XLOOKUP(G473,Ref!$B$3:$B$12,Ref!$C$3:$C$12,"",1)</f>
        <v>2</v>
      </c>
      <c r="M473" s="11">
        <f>_xlfn.XLOOKUP(H473,Ref!$B$3:$B$12,Ref!$C$3:$C$12,"",1)</f>
        <v>2</v>
      </c>
    </row>
    <row r="474" spans="2:13" x14ac:dyDescent="0.25">
      <c r="B474" s="15" t="s">
        <v>49</v>
      </c>
      <c r="C474" s="9">
        <v>62.2</v>
      </c>
      <c r="D474" s="9">
        <v>65.5</v>
      </c>
      <c r="E474" s="10">
        <v>70.5</v>
      </c>
      <c r="F474" s="9">
        <f t="shared" si="34"/>
        <v>19.798874920631782</v>
      </c>
      <c r="G474" s="9">
        <f t="shared" si="35"/>
        <v>20.84929754503829</v>
      </c>
      <c r="H474" s="10">
        <f t="shared" si="36"/>
        <v>22.440846975957243</v>
      </c>
      <c r="K474" s="11">
        <f>_xlfn.XLOOKUP(F474,Ref!$B$3:$B$12,Ref!$C$3:$C$12,"",1)</f>
        <v>1</v>
      </c>
      <c r="L474" s="11">
        <f>_xlfn.XLOOKUP(G474,Ref!$B$3:$B$12,Ref!$C$3:$C$12,"",1)</f>
        <v>2</v>
      </c>
      <c r="M474" s="11">
        <f>_xlfn.XLOOKUP(H474,Ref!$B$3:$B$12,Ref!$C$3:$C$12,"",1)</f>
        <v>2</v>
      </c>
    </row>
    <row r="475" spans="2:13" x14ac:dyDescent="0.25">
      <c r="B475" s="15" t="s">
        <v>26</v>
      </c>
      <c r="C475" s="9">
        <v>186</v>
      </c>
      <c r="D475" s="9">
        <v>194.4</v>
      </c>
      <c r="E475" s="10">
        <v>255</v>
      </c>
      <c r="F475" s="9">
        <f t="shared" si="34"/>
        <v>59.205638830185066</v>
      </c>
      <c r="G475" s="9">
        <f t="shared" si="35"/>
        <v>61.879441874128908</v>
      </c>
      <c r="H475" s="10">
        <f t="shared" si="36"/>
        <v>81.169020976866619</v>
      </c>
      <c r="K475" s="11">
        <f>_xlfn.XLOOKUP(F475,Ref!$B$3:$B$12,Ref!$C$3:$C$12,"",1)</f>
        <v>5</v>
      </c>
      <c r="L475" s="11">
        <f>_xlfn.XLOOKUP(G475,Ref!$B$3:$B$12,Ref!$C$3:$C$12,"",1)</f>
        <v>6</v>
      </c>
      <c r="M475" s="11">
        <f>_xlfn.XLOOKUP(H475,Ref!$B$3:$B$12,Ref!$C$3:$C$12,"",1)</f>
        <v>8</v>
      </c>
    </row>
    <row r="476" spans="2:13" x14ac:dyDescent="0.25">
      <c r="B476" s="15" t="s">
        <v>11</v>
      </c>
      <c r="C476" s="9">
        <v>38.5</v>
      </c>
      <c r="D476" s="9">
        <v>38.5</v>
      </c>
      <c r="E476" s="10">
        <v>39</v>
      </c>
      <c r="F476" s="9">
        <f t="shared" si="34"/>
        <v>12.254930618075941</v>
      </c>
      <c r="G476" s="9">
        <f t="shared" si="35"/>
        <v>12.254930618075941</v>
      </c>
      <c r="H476" s="10">
        <f t="shared" si="36"/>
        <v>12.414085561167836</v>
      </c>
      <c r="K476" s="11">
        <f>_xlfn.XLOOKUP(F476,Ref!$B$3:$B$12,Ref!$C$3:$C$12,"",1)</f>
        <v>1</v>
      </c>
      <c r="L476" s="11">
        <f>_xlfn.XLOOKUP(G476,Ref!$B$3:$B$12,Ref!$C$3:$C$12,"",1)</f>
        <v>1</v>
      </c>
      <c r="M476" s="11">
        <f>_xlfn.XLOOKUP(H476,Ref!$B$3:$B$12,Ref!$C$3:$C$12,"",1)</f>
        <v>1</v>
      </c>
    </row>
    <row r="477" spans="2:13" x14ac:dyDescent="0.25">
      <c r="B477" s="15" t="s">
        <v>16</v>
      </c>
      <c r="C477" s="9">
        <v>110.8</v>
      </c>
      <c r="D477" s="9">
        <v>124.6</v>
      </c>
      <c r="E477" s="10">
        <v>122.6</v>
      </c>
      <c r="F477" s="9">
        <f t="shared" si="34"/>
        <v>35.268735389164007</v>
      </c>
      <c r="G477" s="9">
        <f t="shared" si="35"/>
        <v>39.661411818500319</v>
      </c>
      <c r="H477" s="10">
        <f t="shared" si="36"/>
        <v>39.024792046132738</v>
      </c>
      <c r="K477" s="11">
        <f>_xlfn.XLOOKUP(F477,Ref!$B$3:$B$12,Ref!$C$3:$C$12,"",1)</f>
        <v>3</v>
      </c>
      <c r="L477" s="11">
        <f>_xlfn.XLOOKUP(G477,Ref!$B$3:$B$12,Ref!$C$3:$C$12,"",1)</f>
        <v>3</v>
      </c>
      <c r="M477" s="11">
        <f>_xlfn.XLOOKUP(H477,Ref!$B$3:$B$12,Ref!$C$3:$C$12,"",1)</f>
        <v>3</v>
      </c>
    </row>
    <row r="478" spans="2:13" x14ac:dyDescent="0.25">
      <c r="B478" s="15" t="s">
        <v>24</v>
      </c>
      <c r="C478" s="9">
        <v>66.7</v>
      </c>
      <c r="D478" s="9">
        <v>71</v>
      </c>
      <c r="E478" s="10">
        <v>75</v>
      </c>
      <c r="F478" s="9">
        <f t="shared" si="34"/>
        <v>21.231269408458839</v>
      </c>
      <c r="G478" s="9">
        <f t="shared" si="35"/>
        <v>22.600001919049138</v>
      </c>
      <c r="H478" s="10">
        <f t="shared" si="36"/>
        <v>23.8732414637843</v>
      </c>
      <c r="K478" s="11">
        <f>_xlfn.XLOOKUP(F478,Ref!$B$3:$B$12,Ref!$C$3:$C$12,"",1)</f>
        <v>2</v>
      </c>
      <c r="L478" s="11">
        <f>_xlfn.XLOOKUP(G478,Ref!$B$3:$B$12,Ref!$C$3:$C$12,"",1)</f>
        <v>2</v>
      </c>
      <c r="M478" s="11">
        <f>_xlfn.XLOOKUP(H478,Ref!$B$3:$B$12,Ref!$C$3:$C$12,"",1)</f>
        <v>2</v>
      </c>
    </row>
    <row r="479" spans="2:13" x14ac:dyDescent="0.25">
      <c r="B479" s="15" t="s">
        <v>49</v>
      </c>
      <c r="C479" s="9">
        <v>57.4</v>
      </c>
      <c r="D479" s="9">
        <v>63</v>
      </c>
      <c r="E479" s="10">
        <v>70</v>
      </c>
      <c r="F479" s="9">
        <f t="shared" si="34"/>
        <v>18.270987466949585</v>
      </c>
      <c r="G479" s="9">
        <f t="shared" si="35"/>
        <v>20.053522829578814</v>
      </c>
      <c r="H479" s="10">
        <f t="shared" si="36"/>
        <v>22.281692032865347</v>
      </c>
      <c r="K479" s="11">
        <f>_xlfn.XLOOKUP(F479,Ref!$B$3:$B$12,Ref!$C$3:$C$12,"",1)</f>
        <v>1</v>
      </c>
      <c r="L479" s="11">
        <f>_xlfn.XLOOKUP(G479,Ref!$B$3:$B$12,Ref!$C$3:$C$12,"",1)</f>
        <v>2</v>
      </c>
      <c r="M479" s="11">
        <f>_xlfn.XLOOKUP(H479,Ref!$B$3:$B$12,Ref!$C$3:$C$12,"",1)</f>
        <v>2</v>
      </c>
    </row>
    <row r="480" spans="2:13" x14ac:dyDescent="0.25">
      <c r="B480" s="15" t="s">
        <v>14</v>
      </c>
      <c r="C480" s="9">
        <v>35.6</v>
      </c>
      <c r="D480" s="9">
        <v>40.5</v>
      </c>
      <c r="E480" s="10">
        <v>40.5</v>
      </c>
      <c r="F480" s="9">
        <f t="shared" si="34"/>
        <v>11.331831948142948</v>
      </c>
      <c r="G480" s="9">
        <f t="shared" si="35"/>
        <v>12.891550390443523</v>
      </c>
      <c r="H480" s="10">
        <f t="shared" si="36"/>
        <v>12.891550390443523</v>
      </c>
      <c r="K480" s="11">
        <f>_xlfn.XLOOKUP(F480,Ref!$B$3:$B$12,Ref!$C$3:$C$12,"",1)</f>
        <v>1</v>
      </c>
      <c r="L480" s="11">
        <f>_xlfn.XLOOKUP(G480,Ref!$B$3:$B$12,Ref!$C$3:$C$12,"",1)</f>
        <v>1</v>
      </c>
      <c r="M480" s="11">
        <f>_xlfn.XLOOKUP(H480,Ref!$B$3:$B$12,Ref!$C$3:$C$12,"",1)</f>
        <v>1</v>
      </c>
    </row>
    <row r="481" spans="2:13" x14ac:dyDescent="0.25">
      <c r="B481" s="15" t="s">
        <v>12</v>
      </c>
      <c r="C481" s="9">
        <v>32</v>
      </c>
      <c r="D481" s="9">
        <v>33.299999999999997</v>
      </c>
      <c r="E481" s="10">
        <v>34.5</v>
      </c>
      <c r="F481" s="9">
        <f t="shared" si="34"/>
        <v>10.185916357881302</v>
      </c>
      <c r="G481" s="9">
        <f t="shared" si="35"/>
        <v>10.599719209920229</v>
      </c>
      <c r="H481" s="10">
        <f t="shared" si="36"/>
        <v>10.981691073340778</v>
      </c>
      <c r="K481" s="11">
        <f>_xlfn.XLOOKUP(F481,Ref!$B$3:$B$12,Ref!$C$3:$C$12,"",1)</f>
        <v>1</v>
      </c>
      <c r="L481" s="11">
        <f>_xlfn.XLOOKUP(G481,Ref!$B$3:$B$12,Ref!$C$3:$C$12,"",1)</f>
        <v>1</v>
      </c>
      <c r="M481" s="11">
        <f>_xlfn.XLOOKUP(H481,Ref!$B$3:$B$12,Ref!$C$3:$C$12,"",1)</f>
        <v>1</v>
      </c>
    </row>
    <row r="482" spans="2:13" x14ac:dyDescent="0.25">
      <c r="B482" s="15" t="s">
        <v>28</v>
      </c>
      <c r="C482" s="9">
        <v>60.8</v>
      </c>
      <c r="D482" s="9">
        <v>62.5</v>
      </c>
      <c r="E482" s="10">
        <v>62.7</v>
      </c>
      <c r="F482" s="9">
        <f t="shared" si="34"/>
        <v>19.353241079974474</v>
      </c>
      <c r="G482" s="9">
        <f t="shared" si="35"/>
        <v>19.894367886486918</v>
      </c>
      <c r="H482" s="10">
        <f t="shared" si="36"/>
        <v>19.958029863723677</v>
      </c>
      <c r="K482" s="11">
        <f>_xlfn.XLOOKUP(F482,Ref!$B$3:$B$12,Ref!$C$3:$C$12,"",1)</f>
        <v>1</v>
      </c>
      <c r="L482" s="11">
        <f>_xlfn.XLOOKUP(G482,Ref!$B$3:$B$12,Ref!$C$3:$C$12,"",1)</f>
        <v>1</v>
      </c>
      <c r="M482" s="11">
        <f>_xlfn.XLOOKUP(H482,Ref!$B$3:$B$12,Ref!$C$3:$C$12,"",1)</f>
        <v>1</v>
      </c>
    </row>
    <row r="483" spans="2:13" x14ac:dyDescent="0.25">
      <c r="B483" s="15" t="s">
        <v>39</v>
      </c>
      <c r="C483" s="9">
        <v>78.099999999999994</v>
      </c>
      <c r="D483" s="9">
        <v>86.4</v>
      </c>
      <c r="E483" s="10">
        <v>91.4</v>
      </c>
      <c r="F483" s="9">
        <f t="shared" si="34"/>
        <v>24.860002110954049</v>
      </c>
      <c r="G483" s="9">
        <f t="shared" si="35"/>
        <v>27.501974166279517</v>
      </c>
      <c r="H483" s="10">
        <f t="shared" si="36"/>
        <v>29.09352359719847</v>
      </c>
      <c r="K483" s="11">
        <f>_xlfn.XLOOKUP(F483,Ref!$B$3:$B$12,Ref!$C$3:$C$12,"",1)</f>
        <v>2</v>
      </c>
      <c r="L483" s="11">
        <f>_xlfn.XLOOKUP(G483,Ref!$B$3:$B$12,Ref!$C$3:$C$12,"",1)</f>
        <v>2</v>
      </c>
      <c r="M483" s="11">
        <f>_xlfn.XLOOKUP(H483,Ref!$B$3:$B$12,Ref!$C$3:$C$12,"",1)</f>
        <v>2</v>
      </c>
    </row>
    <row r="484" spans="2:13" x14ac:dyDescent="0.25">
      <c r="B484" s="15" t="s">
        <v>50</v>
      </c>
      <c r="C484" s="9">
        <v>53.1</v>
      </c>
      <c r="D484" s="9">
        <v>53.7</v>
      </c>
      <c r="E484" s="10">
        <v>53.8</v>
      </c>
      <c r="F484" s="9">
        <f t="shared" si="34"/>
        <v>16.902254956359286</v>
      </c>
      <c r="G484" s="9">
        <f t="shared" si="35"/>
        <v>17.093240888069559</v>
      </c>
      <c r="H484" s="10">
        <f t="shared" si="36"/>
        <v>17.125071876687937</v>
      </c>
      <c r="K484" s="11">
        <f>_xlfn.XLOOKUP(F484,Ref!$B$3:$B$12,Ref!$C$3:$C$12,"",1)</f>
        <v>1</v>
      </c>
      <c r="L484" s="11">
        <f>_xlfn.XLOOKUP(G484,Ref!$B$3:$B$12,Ref!$C$3:$C$12,"",1)</f>
        <v>1</v>
      </c>
      <c r="M484" s="11">
        <f>_xlfn.XLOOKUP(H484,Ref!$B$3:$B$12,Ref!$C$3:$C$12,"",1)</f>
        <v>1</v>
      </c>
    </row>
    <row r="485" spans="2:13" x14ac:dyDescent="0.25">
      <c r="B485" s="15" t="s">
        <v>39</v>
      </c>
      <c r="C485" s="9">
        <v>83.6</v>
      </c>
      <c r="D485" s="9">
        <v>91.3</v>
      </c>
      <c r="E485" s="10">
        <v>94.3</v>
      </c>
      <c r="F485" s="9">
        <f t="shared" si="34"/>
        <v>26.610706484964901</v>
      </c>
      <c r="G485" s="9">
        <f t="shared" si="35"/>
        <v>29.061692608580088</v>
      </c>
      <c r="H485" s="10">
        <f t="shared" si="36"/>
        <v>30.01662226713146</v>
      </c>
      <c r="K485" s="11">
        <f>_xlfn.XLOOKUP(F485,Ref!$B$3:$B$12,Ref!$C$3:$C$12,"",1)</f>
        <v>2</v>
      </c>
      <c r="L485" s="11">
        <f>_xlfn.XLOOKUP(G485,Ref!$B$3:$B$12,Ref!$C$3:$C$12,"",1)</f>
        <v>2</v>
      </c>
      <c r="M485" s="11">
        <f>_xlfn.XLOOKUP(H485,Ref!$B$3:$B$12,Ref!$C$3:$C$12,"",1)</f>
        <v>3</v>
      </c>
    </row>
    <row r="486" spans="2:13" x14ac:dyDescent="0.25">
      <c r="B486" s="15" t="s">
        <v>23</v>
      </c>
      <c r="C486" s="9">
        <v>63.5</v>
      </c>
      <c r="D486" s="9">
        <v>65</v>
      </c>
      <c r="E486" s="10">
        <v>66.3</v>
      </c>
      <c r="F486" s="9">
        <f t="shared" si="34"/>
        <v>20.212677772670709</v>
      </c>
      <c r="G486" s="9">
        <f t="shared" si="35"/>
        <v>20.690142601946395</v>
      </c>
      <c r="H486" s="10">
        <f t="shared" si="36"/>
        <v>21.103945453985322</v>
      </c>
      <c r="K486" s="11">
        <f>_xlfn.XLOOKUP(F486,Ref!$B$3:$B$12,Ref!$C$3:$C$12,"",1)</f>
        <v>2</v>
      </c>
      <c r="L486" s="11">
        <f>_xlfn.XLOOKUP(G486,Ref!$B$3:$B$12,Ref!$C$3:$C$12,"",1)</f>
        <v>2</v>
      </c>
      <c r="M486" s="11">
        <f>_xlfn.XLOOKUP(H486,Ref!$B$3:$B$12,Ref!$C$3:$C$12,"",1)</f>
        <v>2</v>
      </c>
    </row>
    <row r="487" spans="2:13" x14ac:dyDescent="0.25">
      <c r="B487" s="15" t="s">
        <v>42</v>
      </c>
      <c r="C487" s="9">
        <v>61.5</v>
      </c>
      <c r="D487" s="9">
        <v>61.5</v>
      </c>
      <c r="E487" s="10">
        <v>63.2</v>
      </c>
      <c r="F487" s="9">
        <f t="shared" si="34"/>
        <v>19.576058000303128</v>
      </c>
      <c r="G487" s="9">
        <f t="shared" si="35"/>
        <v>19.576058000303128</v>
      </c>
      <c r="H487" s="10">
        <f t="shared" si="36"/>
        <v>20.117184806815573</v>
      </c>
      <c r="K487" s="11">
        <f>_xlfn.XLOOKUP(F487,Ref!$B$3:$B$12,Ref!$C$3:$C$12,"",1)</f>
        <v>1</v>
      </c>
      <c r="L487" s="11">
        <f>_xlfn.XLOOKUP(G487,Ref!$B$3:$B$12,Ref!$C$3:$C$12,"",1)</f>
        <v>1</v>
      </c>
      <c r="M487" s="11">
        <f>_xlfn.XLOOKUP(H487,Ref!$B$3:$B$12,Ref!$C$3:$C$12,"",1)</f>
        <v>2</v>
      </c>
    </row>
    <row r="488" spans="2:13" x14ac:dyDescent="0.25">
      <c r="B488" s="15" t="s">
        <v>24</v>
      </c>
      <c r="C488" s="9">
        <v>160</v>
      </c>
      <c r="D488" s="9">
        <v>166</v>
      </c>
      <c r="E488" s="10">
        <v>183</v>
      </c>
      <c r="F488" s="9">
        <f t="shared" si="34"/>
        <v>50.929581789406512</v>
      </c>
      <c r="G488" s="9">
        <f t="shared" si="35"/>
        <v>52.839441106509256</v>
      </c>
      <c r="H488" s="10">
        <f t="shared" si="36"/>
        <v>58.250709171633694</v>
      </c>
      <c r="K488" s="11">
        <f>_xlfn.XLOOKUP(F488,Ref!$B$3:$B$12,Ref!$C$3:$C$12,"",1)</f>
        <v>5</v>
      </c>
      <c r="L488" s="11">
        <f>_xlfn.XLOOKUP(G488,Ref!$B$3:$B$12,Ref!$C$3:$C$12,"",1)</f>
        <v>5</v>
      </c>
      <c r="M488" s="11">
        <f>_xlfn.XLOOKUP(H488,Ref!$B$3:$B$12,Ref!$C$3:$C$12,"",1)</f>
        <v>5</v>
      </c>
    </row>
    <row r="489" spans="2:13" x14ac:dyDescent="0.25">
      <c r="B489" s="15" t="s">
        <v>42</v>
      </c>
      <c r="C489" s="9">
        <v>104.6</v>
      </c>
      <c r="D489" s="9">
        <v>107</v>
      </c>
      <c r="E489" s="10">
        <v>0</v>
      </c>
      <c r="F489" s="9">
        <f t="shared" si="34"/>
        <v>33.295214094824502</v>
      </c>
      <c r="G489" s="9">
        <f t="shared" si="35"/>
        <v>34.0591578216656</v>
      </c>
      <c r="H489" s="10">
        <f t="shared" si="36"/>
        <v>0</v>
      </c>
      <c r="K489" s="11">
        <f>_xlfn.XLOOKUP(F489,Ref!$B$3:$B$12,Ref!$C$3:$C$12,"",1)</f>
        <v>3</v>
      </c>
      <c r="L489" s="11">
        <f>_xlfn.XLOOKUP(G489,Ref!$B$3:$B$12,Ref!$C$3:$C$12,"",1)</f>
        <v>3</v>
      </c>
      <c r="M489" s="11" t="str">
        <f>_xlfn.XLOOKUP(H489,Ref!$B$3:$B$12,Ref!$C$3:$C$12,"",1)</f>
        <v>Morta</v>
      </c>
    </row>
    <row r="490" spans="2:13" x14ac:dyDescent="0.25">
      <c r="B490" s="15" t="s">
        <v>15</v>
      </c>
      <c r="C490" s="9">
        <v>31.8</v>
      </c>
      <c r="D490" s="9">
        <v>36.700000000000003</v>
      </c>
      <c r="E490" s="10">
        <v>35.5</v>
      </c>
      <c r="F490" s="9">
        <f t="shared" si="34"/>
        <v>10.122254380644543</v>
      </c>
      <c r="G490" s="9">
        <f t="shared" si="35"/>
        <v>11.681972822945118</v>
      </c>
      <c r="H490" s="10">
        <f t="shared" si="36"/>
        <v>11.300000959524569</v>
      </c>
      <c r="K490" s="11">
        <f>_xlfn.XLOOKUP(F490,Ref!$B$3:$B$12,Ref!$C$3:$C$12,"",1)</f>
        <v>1</v>
      </c>
      <c r="L490" s="11">
        <f>_xlfn.XLOOKUP(G490,Ref!$B$3:$B$12,Ref!$C$3:$C$12,"",1)</f>
        <v>1</v>
      </c>
      <c r="M490" s="11">
        <f>_xlfn.XLOOKUP(H490,Ref!$B$3:$B$12,Ref!$C$3:$C$12,"",1)</f>
        <v>1</v>
      </c>
    </row>
    <row r="491" spans="2:13" x14ac:dyDescent="0.25">
      <c r="B491" s="15" t="s">
        <v>49</v>
      </c>
      <c r="C491" s="9">
        <v>45.5</v>
      </c>
      <c r="D491" s="9">
        <v>45</v>
      </c>
      <c r="E491" s="10">
        <v>47.9</v>
      </c>
      <c r="F491" s="9">
        <f t="shared" ref="F491:F541" si="37">IF(C491="", "", C491/PI())</f>
        <v>14.483099821362476</v>
      </c>
      <c r="G491" s="9">
        <f t="shared" ref="G491:G541" si="38">IF(D491="", "", D491/PI())</f>
        <v>14.323944878270581</v>
      </c>
      <c r="H491" s="10">
        <f t="shared" ref="H491:H541" si="39">IF(E491="", "", E491/PI())</f>
        <v>15.247043548203573</v>
      </c>
      <c r="K491" s="11">
        <f>_xlfn.XLOOKUP(F491,Ref!$B$3:$B$12,Ref!$C$3:$C$12,"",1)</f>
        <v>1</v>
      </c>
      <c r="L491" s="11">
        <f>_xlfn.XLOOKUP(G491,Ref!$B$3:$B$12,Ref!$C$3:$C$12,"",1)</f>
        <v>1</v>
      </c>
      <c r="M491" s="11">
        <f>_xlfn.XLOOKUP(H491,Ref!$B$3:$B$12,Ref!$C$3:$C$12,"",1)</f>
        <v>1</v>
      </c>
    </row>
    <row r="492" spans="2:13" x14ac:dyDescent="0.25">
      <c r="B492" s="15" t="s">
        <v>12</v>
      </c>
      <c r="C492" s="9">
        <v>34.5</v>
      </c>
      <c r="D492" s="9">
        <v>38</v>
      </c>
      <c r="E492" s="10">
        <v>40.299999999999997</v>
      </c>
      <c r="F492" s="9">
        <f t="shared" si="37"/>
        <v>10.981691073340778</v>
      </c>
      <c r="G492" s="9">
        <f t="shared" si="38"/>
        <v>12.095775674984045</v>
      </c>
      <c r="H492" s="10">
        <f t="shared" si="39"/>
        <v>12.827888413206765</v>
      </c>
      <c r="K492" s="11">
        <f>_xlfn.XLOOKUP(F492,Ref!$B$3:$B$12,Ref!$C$3:$C$12,"",1)</f>
        <v>1</v>
      </c>
      <c r="L492" s="11">
        <f>_xlfn.XLOOKUP(G492,Ref!$B$3:$B$12,Ref!$C$3:$C$12,"",1)</f>
        <v>1</v>
      </c>
      <c r="M492" s="11">
        <f>_xlfn.XLOOKUP(H492,Ref!$B$3:$B$12,Ref!$C$3:$C$12,"",1)</f>
        <v>1</v>
      </c>
    </row>
    <row r="493" spans="2:13" x14ac:dyDescent="0.25">
      <c r="B493" s="15" t="s">
        <v>49</v>
      </c>
      <c r="C493" s="9">
        <v>55.5</v>
      </c>
      <c r="D493" s="9">
        <v>57</v>
      </c>
      <c r="E493" s="10">
        <v>62</v>
      </c>
      <c r="F493" s="9">
        <f t="shared" si="37"/>
        <v>17.666198683200381</v>
      </c>
      <c r="G493" s="9">
        <f t="shared" si="38"/>
        <v>18.143663512476071</v>
      </c>
      <c r="H493" s="10">
        <f t="shared" si="39"/>
        <v>19.735212943395023</v>
      </c>
      <c r="K493" s="11">
        <f>_xlfn.XLOOKUP(F493,Ref!$B$3:$B$12,Ref!$C$3:$C$12,"",1)</f>
        <v>1</v>
      </c>
      <c r="L493" s="11">
        <f>_xlfn.XLOOKUP(G493,Ref!$B$3:$B$12,Ref!$C$3:$C$12,"",1)</f>
        <v>1</v>
      </c>
      <c r="M493" s="11">
        <f>_xlfn.XLOOKUP(H493,Ref!$B$3:$B$12,Ref!$C$3:$C$12,"",1)</f>
        <v>1</v>
      </c>
    </row>
    <row r="494" spans="2:13" x14ac:dyDescent="0.25">
      <c r="B494" s="15" t="s">
        <v>8</v>
      </c>
      <c r="C494" s="9">
        <v>35.299999999999997</v>
      </c>
      <c r="D494" s="9">
        <v>40.9</v>
      </c>
      <c r="E494" s="10">
        <v>45.7</v>
      </c>
      <c r="F494" s="9">
        <f t="shared" si="37"/>
        <v>11.23633898228781</v>
      </c>
      <c r="G494" s="9">
        <f t="shared" si="38"/>
        <v>13.018874344917039</v>
      </c>
      <c r="H494" s="10">
        <f t="shared" si="39"/>
        <v>14.546761798599235</v>
      </c>
      <c r="K494" s="11">
        <f>_xlfn.XLOOKUP(F494,Ref!$B$3:$B$12,Ref!$C$3:$C$12,"",1)</f>
        <v>1</v>
      </c>
      <c r="L494" s="11">
        <f>_xlfn.XLOOKUP(G494,Ref!$B$3:$B$12,Ref!$C$3:$C$12,"",1)</f>
        <v>1</v>
      </c>
      <c r="M494" s="11">
        <f>_xlfn.XLOOKUP(H494,Ref!$B$3:$B$12,Ref!$C$3:$C$12,"",1)</f>
        <v>1</v>
      </c>
    </row>
    <row r="495" spans="2:13" x14ac:dyDescent="0.25">
      <c r="B495" s="15" t="s">
        <v>28</v>
      </c>
      <c r="C495" s="9">
        <v>72.3</v>
      </c>
      <c r="D495" s="9">
        <v>73.7</v>
      </c>
      <c r="E495" s="10">
        <v>74.2</v>
      </c>
      <c r="F495" s="9">
        <f t="shared" si="37"/>
        <v>23.013804771088065</v>
      </c>
      <c r="G495" s="9">
        <f t="shared" si="38"/>
        <v>23.459438611745373</v>
      </c>
      <c r="H495" s="10">
        <f t="shared" si="39"/>
        <v>23.618593554837268</v>
      </c>
      <c r="K495" s="11">
        <f>_xlfn.XLOOKUP(F495,Ref!$B$3:$B$12,Ref!$C$3:$C$12,"",1)</f>
        <v>2</v>
      </c>
      <c r="L495" s="11">
        <f>_xlfn.XLOOKUP(G495,Ref!$B$3:$B$12,Ref!$C$3:$C$12,"",1)</f>
        <v>2</v>
      </c>
      <c r="M495" s="11">
        <f>_xlfn.XLOOKUP(H495,Ref!$B$3:$B$12,Ref!$C$3:$C$12,"",1)</f>
        <v>2</v>
      </c>
    </row>
    <row r="496" spans="2:13" x14ac:dyDescent="0.25">
      <c r="B496" s="15" t="s">
        <v>34</v>
      </c>
      <c r="C496" s="9">
        <v>67</v>
      </c>
      <c r="D496" s="9">
        <v>67</v>
      </c>
      <c r="E496" s="10">
        <v>67.7</v>
      </c>
      <c r="F496" s="9">
        <f t="shared" si="37"/>
        <v>21.326762374313976</v>
      </c>
      <c r="G496" s="9">
        <f t="shared" si="38"/>
        <v>21.326762374313976</v>
      </c>
      <c r="H496" s="10">
        <f t="shared" si="39"/>
        <v>21.54957929464263</v>
      </c>
      <c r="K496" s="11">
        <f>_xlfn.XLOOKUP(F496,Ref!$B$3:$B$12,Ref!$C$3:$C$12,"",1)</f>
        <v>2</v>
      </c>
      <c r="L496" s="11">
        <f>_xlfn.XLOOKUP(G496,Ref!$B$3:$B$12,Ref!$C$3:$C$12,"",1)</f>
        <v>2</v>
      </c>
      <c r="M496" s="11">
        <f>_xlfn.XLOOKUP(H496,Ref!$B$3:$B$12,Ref!$C$3:$C$12,"",1)</f>
        <v>2</v>
      </c>
    </row>
    <row r="497" spans="2:13" x14ac:dyDescent="0.25">
      <c r="B497" s="15" t="s">
        <v>10</v>
      </c>
      <c r="C497" s="9">
        <v>32.799999999999997</v>
      </c>
      <c r="D497" s="9">
        <v>32.5</v>
      </c>
      <c r="E497" s="10">
        <v>32.799999999999997</v>
      </c>
      <c r="F497" s="9">
        <f t="shared" si="37"/>
        <v>10.440564266828334</v>
      </c>
      <c r="G497" s="9">
        <f t="shared" si="38"/>
        <v>10.345071300973197</v>
      </c>
      <c r="H497" s="10">
        <f t="shared" si="39"/>
        <v>10.440564266828334</v>
      </c>
      <c r="K497" s="11">
        <f>_xlfn.XLOOKUP(F497,Ref!$B$3:$B$12,Ref!$C$3:$C$12,"",1)</f>
        <v>1</v>
      </c>
      <c r="L497" s="11">
        <f>_xlfn.XLOOKUP(G497,Ref!$B$3:$B$12,Ref!$C$3:$C$12,"",1)</f>
        <v>1</v>
      </c>
      <c r="M497" s="11">
        <f>_xlfn.XLOOKUP(H497,Ref!$B$3:$B$12,Ref!$C$3:$C$12,"",1)</f>
        <v>1</v>
      </c>
    </row>
    <row r="498" spans="2:13" x14ac:dyDescent="0.25">
      <c r="B498" s="15" t="s">
        <v>23</v>
      </c>
      <c r="C498" s="9">
        <v>66.2</v>
      </c>
      <c r="D498" s="9">
        <v>68.3</v>
      </c>
      <c r="E498" s="10">
        <v>68.5</v>
      </c>
      <c r="F498" s="9">
        <f t="shared" si="37"/>
        <v>21.072114465366944</v>
      </c>
      <c r="G498" s="9">
        <f t="shared" si="38"/>
        <v>21.740565226352903</v>
      </c>
      <c r="H498" s="10">
        <f t="shared" si="39"/>
        <v>21.804227203589662</v>
      </c>
      <c r="K498" s="11">
        <f>_xlfn.XLOOKUP(F498,Ref!$B$3:$B$12,Ref!$C$3:$C$12,"",1)</f>
        <v>2</v>
      </c>
      <c r="L498" s="11">
        <f>_xlfn.XLOOKUP(G498,Ref!$B$3:$B$12,Ref!$C$3:$C$12,"",1)</f>
        <v>2</v>
      </c>
      <c r="M498" s="11">
        <f>_xlfn.XLOOKUP(H498,Ref!$B$3:$B$12,Ref!$C$3:$C$12,"",1)</f>
        <v>2</v>
      </c>
    </row>
    <row r="499" spans="2:13" x14ac:dyDescent="0.25">
      <c r="B499" s="15" t="s">
        <v>10</v>
      </c>
      <c r="C499" s="9">
        <v>35.5</v>
      </c>
      <c r="D499" s="9">
        <v>38.5</v>
      </c>
      <c r="E499" s="10">
        <v>41.9</v>
      </c>
      <c r="F499" s="9">
        <f t="shared" si="37"/>
        <v>11.300000959524569</v>
      </c>
      <c r="G499" s="9">
        <f t="shared" si="38"/>
        <v>12.254930618075941</v>
      </c>
      <c r="H499" s="10">
        <f t="shared" si="39"/>
        <v>13.33718423110083</v>
      </c>
      <c r="K499" s="11">
        <f>_xlfn.XLOOKUP(F499,Ref!$B$3:$B$12,Ref!$C$3:$C$12,"",1)</f>
        <v>1</v>
      </c>
      <c r="L499" s="11">
        <f>_xlfn.XLOOKUP(G499,Ref!$B$3:$B$12,Ref!$C$3:$C$12,"",1)</f>
        <v>1</v>
      </c>
      <c r="M499" s="11">
        <f>_xlfn.XLOOKUP(H499,Ref!$B$3:$B$12,Ref!$C$3:$C$12,"",1)</f>
        <v>1</v>
      </c>
    </row>
    <row r="500" spans="2:13" x14ac:dyDescent="0.25">
      <c r="B500" s="15" t="s">
        <v>14</v>
      </c>
      <c r="C500" s="9">
        <v>209</v>
      </c>
      <c r="D500" s="9">
        <v>211</v>
      </c>
      <c r="E500" s="10">
        <v>225</v>
      </c>
      <c r="F500" s="9">
        <f t="shared" si="37"/>
        <v>66.526766212412255</v>
      </c>
      <c r="G500" s="9">
        <f t="shared" si="38"/>
        <v>67.163385984779836</v>
      </c>
      <c r="H500" s="10">
        <f t="shared" si="39"/>
        <v>71.619724391352904</v>
      </c>
      <c r="K500" s="11">
        <f>_xlfn.XLOOKUP(F500,Ref!$B$3:$B$12,Ref!$C$3:$C$12,"",1)</f>
        <v>6</v>
      </c>
      <c r="L500" s="11">
        <f>_xlfn.XLOOKUP(G500,Ref!$B$3:$B$12,Ref!$C$3:$C$12,"",1)</f>
        <v>6</v>
      </c>
      <c r="M500" s="11">
        <f>_xlfn.XLOOKUP(H500,Ref!$B$3:$B$12,Ref!$C$3:$C$12,"",1)</f>
        <v>7</v>
      </c>
    </row>
    <row r="501" spans="2:13" x14ac:dyDescent="0.25">
      <c r="B501" s="15" t="s">
        <v>39</v>
      </c>
      <c r="C501" s="9">
        <v>40</v>
      </c>
      <c r="D501" s="9">
        <v>43.9</v>
      </c>
      <c r="E501" s="10">
        <v>51</v>
      </c>
      <c r="F501" s="9">
        <f t="shared" si="37"/>
        <v>12.732395447351628</v>
      </c>
      <c r="G501" s="9">
        <f t="shared" si="38"/>
        <v>13.973804003468411</v>
      </c>
      <c r="H501" s="10">
        <f t="shared" si="39"/>
        <v>16.233804195373324</v>
      </c>
      <c r="K501" s="11">
        <f>_xlfn.XLOOKUP(F501,Ref!$B$3:$B$12,Ref!$C$3:$C$12,"",1)</f>
        <v>1</v>
      </c>
      <c r="L501" s="11">
        <f>_xlfn.XLOOKUP(G501,Ref!$B$3:$B$12,Ref!$C$3:$C$12,"",1)</f>
        <v>1</v>
      </c>
      <c r="M501" s="11">
        <f>_xlfn.XLOOKUP(H501,Ref!$B$3:$B$12,Ref!$C$3:$C$12,"",1)</f>
        <v>1</v>
      </c>
    </row>
    <row r="502" spans="2:13" x14ac:dyDescent="0.25">
      <c r="B502" s="15" t="s">
        <v>12</v>
      </c>
      <c r="C502" s="9">
        <v>32.700000000000003</v>
      </c>
      <c r="D502" s="9">
        <v>34.299999999999997</v>
      </c>
      <c r="E502" s="10">
        <v>34.6</v>
      </c>
      <c r="F502" s="9">
        <f t="shared" si="37"/>
        <v>10.408733278209956</v>
      </c>
      <c r="G502" s="9">
        <f t="shared" si="38"/>
        <v>10.91802909610402</v>
      </c>
      <c r="H502" s="10">
        <f t="shared" si="39"/>
        <v>11.013522061959158</v>
      </c>
      <c r="K502" s="11">
        <f>_xlfn.XLOOKUP(F502,Ref!$B$3:$B$12,Ref!$C$3:$C$12,"",1)</f>
        <v>1</v>
      </c>
      <c r="L502" s="11">
        <f>_xlfn.XLOOKUP(G502,Ref!$B$3:$B$12,Ref!$C$3:$C$12,"",1)</f>
        <v>1</v>
      </c>
      <c r="M502" s="11">
        <f>_xlfn.XLOOKUP(H502,Ref!$B$3:$B$12,Ref!$C$3:$C$12,"",1)</f>
        <v>1</v>
      </c>
    </row>
    <row r="503" spans="2:13" x14ac:dyDescent="0.25">
      <c r="B503" s="15" t="s">
        <v>39</v>
      </c>
      <c r="C503" s="9"/>
      <c r="D503" s="9"/>
      <c r="E503" s="10">
        <v>31.5</v>
      </c>
      <c r="F503" s="9" t="str">
        <f t="shared" si="37"/>
        <v/>
      </c>
      <c r="G503" s="9" t="str">
        <f t="shared" si="38"/>
        <v/>
      </c>
      <c r="H503" s="10">
        <f t="shared" si="39"/>
        <v>10.026761414789407</v>
      </c>
      <c r="K503" s="11" t="str">
        <f>_xlfn.XLOOKUP(F503,Ref!$B$3:$B$12,Ref!$C$3:$C$12,"",1)</f>
        <v/>
      </c>
      <c r="L503" s="11" t="str">
        <f>_xlfn.XLOOKUP(G503,Ref!$B$3:$B$12,Ref!$C$3:$C$12,"",1)</f>
        <v/>
      </c>
      <c r="M503" s="11">
        <f>_xlfn.XLOOKUP(H503,Ref!$B$3:$B$12,Ref!$C$3:$C$12,"",1)</f>
        <v>1</v>
      </c>
    </row>
    <row r="504" spans="2:13" x14ac:dyDescent="0.25">
      <c r="B504" s="15" t="s">
        <v>60</v>
      </c>
      <c r="C504" s="9">
        <v>45.7</v>
      </c>
      <c r="D504" s="9">
        <v>51</v>
      </c>
      <c r="E504" s="10">
        <v>55.5</v>
      </c>
      <c r="F504" s="9">
        <f t="shared" si="37"/>
        <v>14.546761798599235</v>
      </c>
      <c r="G504" s="9">
        <f t="shared" si="38"/>
        <v>16.233804195373324</v>
      </c>
      <c r="H504" s="10">
        <f t="shared" si="39"/>
        <v>17.666198683200381</v>
      </c>
      <c r="K504" s="11">
        <f>_xlfn.XLOOKUP(F504,Ref!$B$3:$B$12,Ref!$C$3:$C$12,"",1)</f>
        <v>1</v>
      </c>
      <c r="L504" s="11">
        <f>_xlfn.XLOOKUP(G504,Ref!$B$3:$B$12,Ref!$C$3:$C$12,"",1)</f>
        <v>1</v>
      </c>
      <c r="M504" s="11">
        <f>_xlfn.XLOOKUP(H504,Ref!$B$3:$B$12,Ref!$C$3:$C$12,"",1)</f>
        <v>1</v>
      </c>
    </row>
    <row r="505" spans="2:13" x14ac:dyDescent="0.25">
      <c r="B505" s="15" t="s">
        <v>8</v>
      </c>
      <c r="C505" s="9">
        <v>41.3</v>
      </c>
      <c r="D505" s="9">
        <v>40.5</v>
      </c>
      <c r="E505" s="10">
        <v>41.2</v>
      </c>
      <c r="F505" s="9">
        <f t="shared" si="37"/>
        <v>13.146198299390555</v>
      </c>
      <c r="G505" s="9">
        <f t="shared" si="38"/>
        <v>12.891550390443523</v>
      </c>
      <c r="H505" s="10">
        <f t="shared" si="39"/>
        <v>13.114367310772177</v>
      </c>
      <c r="K505" s="11">
        <f>_xlfn.XLOOKUP(F505,Ref!$B$3:$B$12,Ref!$C$3:$C$12,"",1)</f>
        <v>1</v>
      </c>
      <c r="L505" s="11">
        <f>_xlfn.XLOOKUP(G505,Ref!$B$3:$B$12,Ref!$C$3:$C$12,"",1)</f>
        <v>1</v>
      </c>
      <c r="M505" s="11">
        <f>_xlfn.XLOOKUP(H505,Ref!$B$3:$B$12,Ref!$C$3:$C$12,"",1)</f>
        <v>1</v>
      </c>
    </row>
    <row r="506" spans="2:13" x14ac:dyDescent="0.25">
      <c r="B506" s="15" t="s">
        <v>8</v>
      </c>
      <c r="C506" s="9">
        <v>54.9</v>
      </c>
      <c r="D506" s="9">
        <v>59.8</v>
      </c>
      <c r="E506" s="10">
        <v>64.8</v>
      </c>
      <c r="F506" s="9">
        <f t="shared" si="37"/>
        <v>17.475212751490108</v>
      </c>
      <c r="G506" s="9">
        <f t="shared" si="38"/>
        <v>19.034931193790683</v>
      </c>
      <c r="H506" s="10">
        <f t="shared" si="39"/>
        <v>20.626480624709636</v>
      </c>
      <c r="K506" s="11">
        <f>_xlfn.XLOOKUP(F506,Ref!$B$3:$B$12,Ref!$C$3:$C$12,"",1)</f>
        <v>1</v>
      </c>
      <c r="L506" s="11">
        <f>_xlfn.XLOOKUP(G506,Ref!$B$3:$B$12,Ref!$C$3:$C$12,"",1)</f>
        <v>1</v>
      </c>
      <c r="M506" s="11">
        <f>_xlfn.XLOOKUP(H506,Ref!$B$3:$B$12,Ref!$C$3:$C$12,"",1)</f>
        <v>2</v>
      </c>
    </row>
    <row r="507" spans="2:13" x14ac:dyDescent="0.25">
      <c r="B507" s="15" t="s">
        <v>10</v>
      </c>
      <c r="C507" s="9">
        <v>37.299999999999997</v>
      </c>
      <c r="D507" s="9">
        <v>43</v>
      </c>
      <c r="E507" s="10">
        <v>51.4</v>
      </c>
      <c r="F507" s="9">
        <f t="shared" si="37"/>
        <v>11.872958754655391</v>
      </c>
      <c r="G507" s="9">
        <f t="shared" si="38"/>
        <v>13.687325105903</v>
      </c>
      <c r="H507" s="10">
        <f t="shared" si="39"/>
        <v>16.361128149846841</v>
      </c>
      <c r="K507" s="11">
        <f>_xlfn.XLOOKUP(F507,Ref!$B$3:$B$12,Ref!$C$3:$C$12,"",1)</f>
        <v>1</v>
      </c>
      <c r="L507" s="11">
        <f>_xlfn.XLOOKUP(G507,Ref!$B$3:$B$12,Ref!$C$3:$C$12,"",1)</f>
        <v>1</v>
      </c>
      <c r="M507" s="11">
        <f>_xlfn.XLOOKUP(H507,Ref!$B$3:$B$12,Ref!$C$3:$C$12,"",1)</f>
        <v>1</v>
      </c>
    </row>
    <row r="508" spans="2:13" x14ac:dyDescent="0.25">
      <c r="B508" s="15" t="s">
        <v>27</v>
      </c>
      <c r="C508" s="9">
        <v>46.5</v>
      </c>
      <c r="D508" s="9">
        <v>50</v>
      </c>
      <c r="E508" s="10">
        <v>52.1</v>
      </c>
      <c r="F508" s="9">
        <f t="shared" si="37"/>
        <v>14.801409707546267</v>
      </c>
      <c r="G508" s="9">
        <f t="shared" si="38"/>
        <v>15.915494309189533</v>
      </c>
      <c r="H508" s="10">
        <f t="shared" si="39"/>
        <v>16.583945070175496</v>
      </c>
      <c r="K508" s="11">
        <f>_xlfn.XLOOKUP(F508,Ref!$B$3:$B$12,Ref!$C$3:$C$12,"",1)</f>
        <v>1</v>
      </c>
      <c r="L508" s="11">
        <f>_xlfn.XLOOKUP(G508,Ref!$B$3:$B$12,Ref!$C$3:$C$12,"",1)</f>
        <v>1</v>
      </c>
      <c r="M508" s="11">
        <f>_xlfn.XLOOKUP(H508,Ref!$B$3:$B$12,Ref!$C$3:$C$12,"",1)</f>
        <v>1</v>
      </c>
    </row>
    <row r="509" spans="2:13" x14ac:dyDescent="0.25">
      <c r="B509" s="15" t="s">
        <v>10</v>
      </c>
      <c r="C509" s="9">
        <v>57</v>
      </c>
      <c r="D509" s="9">
        <v>63.5</v>
      </c>
      <c r="E509" s="10">
        <v>69.5</v>
      </c>
      <c r="F509" s="9">
        <f t="shared" si="37"/>
        <v>18.143663512476071</v>
      </c>
      <c r="G509" s="9">
        <f t="shared" si="38"/>
        <v>20.212677772670709</v>
      </c>
      <c r="H509" s="10">
        <f t="shared" si="39"/>
        <v>22.122537089773452</v>
      </c>
      <c r="K509" s="11">
        <f>_xlfn.XLOOKUP(F509,Ref!$B$3:$B$12,Ref!$C$3:$C$12,"",1)</f>
        <v>1</v>
      </c>
      <c r="L509" s="11">
        <f>_xlfn.XLOOKUP(G509,Ref!$B$3:$B$12,Ref!$C$3:$C$12,"",1)</f>
        <v>2</v>
      </c>
      <c r="M509" s="11">
        <f>_xlfn.XLOOKUP(H509,Ref!$B$3:$B$12,Ref!$C$3:$C$12,"",1)</f>
        <v>2</v>
      </c>
    </row>
    <row r="510" spans="2:13" x14ac:dyDescent="0.25">
      <c r="B510" s="15" t="s">
        <v>61</v>
      </c>
      <c r="C510" s="9">
        <v>43.7</v>
      </c>
      <c r="D510" s="9">
        <v>48.3</v>
      </c>
      <c r="E510" s="10">
        <v>51.7</v>
      </c>
      <c r="F510" s="9">
        <f t="shared" si="37"/>
        <v>13.910142026231654</v>
      </c>
      <c r="G510" s="9">
        <f t="shared" si="38"/>
        <v>15.374367502677089</v>
      </c>
      <c r="H510" s="10">
        <f t="shared" si="39"/>
        <v>16.456621115701978</v>
      </c>
      <c r="K510" s="11">
        <f>_xlfn.XLOOKUP(F510,Ref!$B$3:$B$12,Ref!$C$3:$C$12,"",1)</f>
        <v>1</v>
      </c>
      <c r="L510" s="11">
        <f>_xlfn.XLOOKUP(G510,Ref!$B$3:$B$12,Ref!$C$3:$C$12,"",1)</f>
        <v>1</v>
      </c>
      <c r="M510" s="11">
        <f>_xlfn.XLOOKUP(H510,Ref!$B$3:$B$12,Ref!$C$3:$C$12,"",1)</f>
        <v>1</v>
      </c>
    </row>
    <row r="511" spans="2:13" x14ac:dyDescent="0.25">
      <c r="B511" s="15" t="s">
        <v>12</v>
      </c>
      <c r="C511" s="9">
        <v>37.5</v>
      </c>
      <c r="D511" s="9">
        <v>40</v>
      </c>
      <c r="E511" s="10">
        <v>41</v>
      </c>
      <c r="F511" s="9">
        <f t="shared" si="37"/>
        <v>11.93662073189215</v>
      </c>
      <c r="G511" s="9">
        <f t="shared" si="38"/>
        <v>12.732395447351628</v>
      </c>
      <c r="H511" s="10">
        <f t="shared" si="39"/>
        <v>13.050705333535419</v>
      </c>
      <c r="K511" s="11">
        <f>_xlfn.XLOOKUP(F511,Ref!$B$3:$B$12,Ref!$C$3:$C$12,"",1)</f>
        <v>1</v>
      </c>
      <c r="L511" s="11">
        <f>_xlfn.XLOOKUP(G511,Ref!$B$3:$B$12,Ref!$C$3:$C$12,"",1)</f>
        <v>1</v>
      </c>
      <c r="M511" s="11">
        <f>_xlfn.XLOOKUP(H511,Ref!$B$3:$B$12,Ref!$C$3:$C$12,"",1)</f>
        <v>1</v>
      </c>
    </row>
    <row r="512" spans="2:13" x14ac:dyDescent="0.25">
      <c r="B512" s="15" t="s">
        <v>42</v>
      </c>
      <c r="C512" s="9">
        <v>56.8</v>
      </c>
      <c r="D512" s="9">
        <v>54</v>
      </c>
      <c r="E512" s="10">
        <v>57.1</v>
      </c>
      <c r="F512" s="9">
        <f t="shared" si="37"/>
        <v>18.080001535239308</v>
      </c>
      <c r="G512" s="9">
        <f t="shared" si="38"/>
        <v>17.188733853924695</v>
      </c>
      <c r="H512" s="10">
        <f t="shared" si="39"/>
        <v>18.175494501094448</v>
      </c>
      <c r="K512" s="11">
        <f>_xlfn.XLOOKUP(F512,Ref!$B$3:$B$12,Ref!$C$3:$C$12,"",1)</f>
        <v>1</v>
      </c>
      <c r="L512" s="11">
        <f>_xlfn.XLOOKUP(G512,Ref!$B$3:$B$12,Ref!$C$3:$C$12,"",1)</f>
        <v>1</v>
      </c>
      <c r="M512" s="11">
        <f>_xlfn.XLOOKUP(H512,Ref!$B$3:$B$12,Ref!$C$3:$C$12,"",1)</f>
        <v>1</v>
      </c>
    </row>
    <row r="513" spans="2:13" x14ac:dyDescent="0.25">
      <c r="B513" s="15" t="s">
        <v>15</v>
      </c>
      <c r="C513" s="9">
        <v>36</v>
      </c>
      <c r="D513" s="9">
        <v>38</v>
      </c>
      <c r="E513" s="10">
        <v>36.700000000000003</v>
      </c>
      <c r="F513" s="9">
        <f t="shared" si="37"/>
        <v>11.459155902616464</v>
      </c>
      <c r="G513" s="9">
        <f t="shared" si="38"/>
        <v>12.095775674984045</v>
      </c>
      <c r="H513" s="10">
        <f t="shared" si="39"/>
        <v>11.681972822945118</v>
      </c>
      <c r="K513" s="11">
        <f>_xlfn.XLOOKUP(F513,Ref!$B$3:$B$12,Ref!$C$3:$C$12,"",1)</f>
        <v>1</v>
      </c>
      <c r="L513" s="11">
        <f>_xlfn.XLOOKUP(G513,Ref!$B$3:$B$12,Ref!$C$3:$C$12,"",1)</f>
        <v>1</v>
      </c>
      <c r="M513" s="11">
        <f>_xlfn.XLOOKUP(H513,Ref!$B$3:$B$12,Ref!$C$3:$C$12,"",1)</f>
        <v>1</v>
      </c>
    </row>
    <row r="514" spans="2:13" x14ac:dyDescent="0.25">
      <c r="B514" s="15" t="s">
        <v>10</v>
      </c>
      <c r="C514" s="9">
        <v>32.4</v>
      </c>
      <c r="D514" s="9">
        <v>37.5</v>
      </c>
      <c r="E514" s="10">
        <v>40.6</v>
      </c>
      <c r="F514" s="9">
        <f t="shared" si="37"/>
        <v>10.313240312354818</v>
      </c>
      <c r="G514" s="9">
        <f t="shared" si="38"/>
        <v>11.93662073189215</v>
      </c>
      <c r="H514" s="10">
        <f t="shared" si="39"/>
        <v>12.923381379061903</v>
      </c>
      <c r="K514" s="11">
        <f>_xlfn.XLOOKUP(F514,Ref!$B$3:$B$12,Ref!$C$3:$C$12,"",1)</f>
        <v>1</v>
      </c>
      <c r="L514" s="11">
        <f>_xlfn.XLOOKUP(G514,Ref!$B$3:$B$12,Ref!$C$3:$C$12,"",1)</f>
        <v>1</v>
      </c>
      <c r="M514" s="11">
        <f>_xlfn.XLOOKUP(H514,Ref!$B$3:$B$12,Ref!$C$3:$C$12,"",1)</f>
        <v>1</v>
      </c>
    </row>
    <row r="515" spans="2:13" x14ac:dyDescent="0.25">
      <c r="B515" s="15" t="s">
        <v>28</v>
      </c>
      <c r="C515" s="9">
        <v>64</v>
      </c>
      <c r="D515" s="9">
        <v>65.5</v>
      </c>
      <c r="E515" s="10">
        <v>66.599999999999994</v>
      </c>
      <c r="F515" s="9">
        <f t="shared" si="37"/>
        <v>20.371832715762604</v>
      </c>
      <c r="G515" s="9">
        <f t="shared" si="38"/>
        <v>20.84929754503829</v>
      </c>
      <c r="H515" s="10">
        <f t="shared" si="39"/>
        <v>21.199438419840458</v>
      </c>
      <c r="K515" s="11">
        <f>_xlfn.XLOOKUP(F515,Ref!$B$3:$B$12,Ref!$C$3:$C$12,"",1)</f>
        <v>2</v>
      </c>
      <c r="L515" s="11">
        <f>_xlfn.XLOOKUP(G515,Ref!$B$3:$B$12,Ref!$C$3:$C$12,"",1)</f>
        <v>2</v>
      </c>
      <c r="M515" s="11">
        <f>_xlfn.XLOOKUP(H515,Ref!$B$3:$B$12,Ref!$C$3:$C$12,"",1)</f>
        <v>2</v>
      </c>
    </row>
    <row r="516" spans="2:13" x14ac:dyDescent="0.25">
      <c r="B516" s="15" t="s">
        <v>61</v>
      </c>
      <c r="C516" s="9">
        <v>46.5</v>
      </c>
      <c r="D516" s="9">
        <v>50.3</v>
      </c>
      <c r="E516" s="10">
        <v>56.7</v>
      </c>
      <c r="F516" s="9">
        <f t="shared" si="37"/>
        <v>14.801409707546267</v>
      </c>
      <c r="G516" s="9">
        <f t="shared" si="38"/>
        <v>16.01098727504467</v>
      </c>
      <c r="H516" s="10">
        <f t="shared" si="39"/>
        <v>18.048170546620934</v>
      </c>
      <c r="K516" s="11">
        <f>_xlfn.XLOOKUP(F516,Ref!$B$3:$B$12,Ref!$C$3:$C$12,"",1)</f>
        <v>1</v>
      </c>
      <c r="L516" s="11">
        <f>_xlfn.XLOOKUP(G516,Ref!$B$3:$B$12,Ref!$C$3:$C$12,"",1)</f>
        <v>1</v>
      </c>
      <c r="M516" s="11">
        <f>_xlfn.XLOOKUP(H516,Ref!$B$3:$B$12,Ref!$C$3:$C$12,"",1)</f>
        <v>1</v>
      </c>
    </row>
    <row r="517" spans="2:13" x14ac:dyDescent="0.25">
      <c r="B517" s="15" t="s">
        <v>61</v>
      </c>
      <c r="C517" s="9">
        <v>34.9</v>
      </c>
      <c r="D517" s="9">
        <v>37</v>
      </c>
      <c r="E517" s="10">
        <v>40.1</v>
      </c>
      <c r="F517" s="9">
        <f t="shared" si="37"/>
        <v>11.109015027814294</v>
      </c>
      <c r="G517" s="9">
        <f t="shared" si="38"/>
        <v>11.777465788800255</v>
      </c>
      <c r="H517" s="10">
        <f t="shared" si="39"/>
        <v>12.764226435970008</v>
      </c>
      <c r="K517" s="11">
        <f>_xlfn.XLOOKUP(F517,Ref!$B$3:$B$12,Ref!$C$3:$C$12,"",1)</f>
        <v>1</v>
      </c>
      <c r="L517" s="11">
        <f>_xlfn.XLOOKUP(G517,Ref!$B$3:$B$12,Ref!$C$3:$C$12,"",1)</f>
        <v>1</v>
      </c>
      <c r="M517" s="11">
        <f>_xlfn.XLOOKUP(H517,Ref!$B$3:$B$12,Ref!$C$3:$C$12,"",1)</f>
        <v>1</v>
      </c>
    </row>
    <row r="518" spans="2:13" x14ac:dyDescent="0.25">
      <c r="B518" s="15" t="s">
        <v>12</v>
      </c>
      <c r="C518" s="9">
        <v>45.7</v>
      </c>
      <c r="D518" s="9">
        <v>47.6</v>
      </c>
      <c r="E518" s="10">
        <v>48</v>
      </c>
      <c r="F518" s="9">
        <f t="shared" si="37"/>
        <v>14.546761798599235</v>
      </c>
      <c r="G518" s="9">
        <f t="shared" si="38"/>
        <v>15.151550582348436</v>
      </c>
      <c r="H518" s="10">
        <f t="shared" si="39"/>
        <v>15.278874536821952</v>
      </c>
      <c r="K518" s="11">
        <f>_xlfn.XLOOKUP(F518,Ref!$B$3:$B$12,Ref!$C$3:$C$12,"",1)</f>
        <v>1</v>
      </c>
      <c r="L518" s="11">
        <f>_xlfn.XLOOKUP(G518,Ref!$B$3:$B$12,Ref!$C$3:$C$12,"",1)</f>
        <v>1</v>
      </c>
      <c r="M518" s="11">
        <f>_xlfn.XLOOKUP(H518,Ref!$B$3:$B$12,Ref!$C$3:$C$12,"",1)</f>
        <v>1</v>
      </c>
    </row>
    <row r="519" spans="2:13" x14ac:dyDescent="0.25">
      <c r="B519" s="15" t="s">
        <v>10</v>
      </c>
      <c r="C519" s="9">
        <v>37.9</v>
      </c>
      <c r="D519" s="9">
        <v>40.5</v>
      </c>
      <c r="E519" s="10">
        <v>44.7</v>
      </c>
      <c r="F519" s="9">
        <f t="shared" si="37"/>
        <v>12.063944686365666</v>
      </c>
      <c r="G519" s="9">
        <f t="shared" si="38"/>
        <v>12.891550390443523</v>
      </c>
      <c r="H519" s="10">
        <f t="shared" si="39"/>
        <v>14.228451912415444</v>
      </c>
      <c r="K519" s="11">
        <f>_xlfn.XLOOKUP(F519,Ref!$B$3:$B$12,Ref!$C$3:$C$12,"",1)</f>
        <v>1</v>
      </c>
      <c r="L519" s="11">
        <f>_xlfn.XLOOKUP(G519,Ref!$B$3:$B$12,Ref!$C$3:$C$12,"",1)</f>
        <v>1</v>
      </c>
      <c r="M519" s="11">
        <f>_xlfn.XLOOKUP(H519,Ref!$B$3:$B$12,Ref!$C$3:$C$12,"",1)</f>
        <v>1</v>
      </c>
    </row>
    <row r="520" spans="2:13" x14ac:dyDescent="0.25">
      <c r="B520" s="15" t="s">
        <v>62</v>
      </c>
      <c r="C520" s="9">
        <v>44.9</v>
      </c>
      <c r="D520" s="9">
        <v>59</v>
      </c>
      <c r="E520" s="10">
        <v>73.2</v>
      </c>
      <c r="F520" s="9">
        <f t="shared" si="37"/>
        <v>14.292113889652201</v>
      </c>
      <c r="G520" s="9">
        <f t="shared" si="38"/>
        <v>18.780283284843652</v>
      </c>
      <c r="H520" s="10">
        <f t="shared" si="39"/>
        <v>23.300283668653478</v>
      </c>
      <c r="K520" s="11">
        <f>_xlfn.XLOOKUP(F520,Ref!$B$3:$B$12,Ref!$C$3:$C$12,"",1)</f>
        <v>1</v>
      </c>
      <c r="L520" s="11">
        <f>_xlfn.XLOOKUP(G520,Ref!$B$3:$B$12,Ref!$C$3:$C$12,"",1)</f>
        <v>1</v>
      </c>
      <c r="M520" s="11">
        <f>_xlfn.XLOOKUP(H520,Ref!$B$3:$B$12,Ref!$C$3:$C$12,"",1)</f>
        <v>2</v>
      </c>
    </row>
    <row r="521" spans="2:13" x14ac:dyDescent="0.25">
      <c r="B521" s="15" t="s">
        <v>42</v>
      </c>
      <c r="C521" s="9">
        <v>37.299999999999997</v>
      </c>
      <c r="D521" s="9">
        <v>37.299999999999997</v>
      </c>
      <c r="E521" s="10">
        <v>37.299999999999997</v>
      </c>
      <c r="F521" s="9">
        <f t="shared" si="37"/>
        <v>11.872958754655391</v>
      </c>
      <c r="G521" s="9">
        <f t="shared" si="38"/>
        <v>11.872958754655391</v>
      </c>
      <c r="H521" s="10">
        <f t="shared" si="39"/>
        <v>11.872958754655391</v>
      </c>
      <c r="K521" s="11">
        <f>_xlfn.XLOOKUP(F521,Ref!$B$3:$B$12,Ref!$C$3:$C$12,"",1)</f>
        <v>1</v>
      </c>
      <c r="L521" s="11">
        <f>_xlfn.XLOOKUP(G521,Ref!$B$3:$B$12,Ref!$C$3:$C$12,"",1)</f>
        <v>1</v>
      </c>
      <c r="M521" s="11">
        <f>_xlfn.XLOOKUP(H521,Ref!$B$3:$B$12,Ref!$C$3:$C$12,"",1)</f>
        <v>1</v>
      </c>
    </row>
    <row r="522" spans="2:13" x14ac:dyDescent="0.25">
      <c r="B522" s="15" t="s">
        <v>39</v>
      </c>
      <c r="C522" s="9">
        <v>41.5</v>
      </c>
      <c r="D522" s="9">
        <v>49</v>
      </c>
      <c r="E522" s="10">
        <v>46.2</v>
      </c>
      <c r="F522" s="9">
        <f t="shared" si="37"/>
        <v>13.209860276627314</v>
      </c>
      <c r="G522" s="9">
        <f t="shared" si="38"/>
        <v>15.597184423005743</v>
      </c>
      <c r="H522" s="10">
        <f t="shared" si="39"/>
        <v>14.70591674169113</v>
      </c>
      <c r="K522" s="11">
        <f>_xlfn.XLOOKUP(F522,Ref!$B$3:$B$12,Ref!$C$3:$C$12,"",1)</f>
        <v>1</v>
      </c>
      <c r="L522" s="11">
        <f>_xlfn.XLOOKUP(G522,Ref!$B$3:$B$12,Ref!$C$3:$C$12,"",1)</f>
        <v>1</v>
      </c>
      <c r="M522" s="11">
        <f>_xlfn.XLOOKUP(H522,Ref!$B$3:$B$12,Ref!$C$3:$C$12,"",1)</f>
        <v>1</v>
      </c>
    </row>
    <row r="523" spans="2:13" x14ac:dyDescent="0.25">
      <c r="B523" s="15" t="s">
        <v>10</v>
      </c>
      <c r="C523" s="9">
        <v>37.4</v>
      </c>
      <c r="D523" s="9">
        <v>39</v>
      </c>
      <c r="E523" s="10">
        <v>40.200000000000003</v>
      </c>
      <c r="F523" s="9">
        <f t="shared" si="37"/>
        <v>11.904789743273771</v>
      </c>
      <c r="G523" s="9">
        <f t="shared" si="38"/>
        <v>12.414085561167836</v>
      </c>
      <c r="H523" s="10">
        <f t="shared" si="39"/>
        <v>12.796057424588387</v>
      </c>
      <c r="K523" s="11">
        <f>_xlfn.XLOOKUP(F523,Ref!$B$3:$B$12,Ref!$C$3:$C$12,"",1)</f>
        <v>1</v>
      </c>
      <c r="L523" s="11">
        <f>_xlfn.XLOOKUP(G523,Ref!$B$3:$B$12,Ref!$C$3:$C$12,"",1)</f>
        <v>1</v>
      </c>
      <c r="M523" s="11">
        <f>_xlfn.XLOOKUP(H523,Ref!$B$3:$B$12,Ref!$C$3:$C$12,"",1)</f>
        <v>1</v>
      </c>
    </row>
    <row r="524" spans="2:13" x14ac:dyDescent="0.25">
      <c r="B524" s="15" t="s">
        <v>63</v>
      </c>
      <c r="C524" s="9">
        <v>59.8</v>
      </c>
      <c r="D524" s="9">
        <v>61.5</v>
      </c>
      <c r="E524" s="10">
        <v>62.5</v>
      </c>
      <c r="F524" s="9">
        <f t="shared" si="37"/>
        <v>19.034931193790683</v>
      </c>
      <c r="G524" s="9">
        <f t="shared" si="38"/>
        <v>19.576058000303128</v>
      </c>
      <c r="H524" s="10">
        <f t="shared" si="39"/>
        <v>19.894367886486918</v>
      </c>
      <c r="K524" s="11">
        <f>_xlfn.XLOOKUP(F524,Ref!$B$3:$B$12,Ref!$C$3:$C$12,"",1)</f>
        <v>1</v>
      </c>
      <c r="L524" s="11">
        <f>_xlfn.XLOOKUP(G524,Ref!$B$3:$B$12,Ref!$C$3:$C$12,"",1)</f>
        <v>1</v>
      </c>
      <c r="M524" s="11">
        <f>_xlfn.XLOOKUP(H524,Ref!$B$3:$B$12,Ref!$C$3:$C$12,"",1)</f>
        <v>1</v>
      </c>
    </row>
    <row r="525" spans="2:13" x14ac:dyDescent="0.25">
      <c r="B525" s="15" t="s">
        <v>25</v>
      </c>
      <c r="C525" s="9">
        <v>76.7</v>
      </c>
      <c r="D525" s="9">
        <v>76.7</v>
      </c>
      <c r="E525" s="10">
        <v>77.099999999999994</v>
      </c>
      <c r="F525" s="9">
        <f t="shared" si="37"/>
        <v>24.414368270296745</v>
      </c>
      <c r="G525" s="9">
        <f t="shared" si="38"/>
        <v>24.414368270296745</v>
      </c>
      <c r="H525" s="10">
        <f t="shared" si="39"/>
        <v>24.541692224770259</v>
      </c>
      <c r="K525" s="11">
        <f>_xlfn.XLOOKUP(F525,Ref!$B$3:$B$12,Ref!$C$3:$C$12,"",1)</f>
        <v>2</v>
      </c>
      <c r="L525" s="11">
        <f>_xlfn.XLOOKUP(G525,Ref!$B$3:$B$12,Ref!$C$3:$C$12,"",1)</f>
        <v>2</v>
      </c>
      <c r="M525" s="11">
        <f>_xlfn.XLOOKUP(H525,Ref!$B$3:$B$12,Ref!$C$3:$C$12,"",1)</f>
        <v>2</v>
      </c>
    </row>
    <row r="526" spans="2:13" x14ac:dyDescent="0.25">
      <c r="B526" s="15" t="s">
        <v>57</v>
      </c>
      <c r="C526" s="9">
        <v>44.3</v>
      </c>
      <c r="D526" s="9">
        <v>49.5</v>
      </c>
      <c r="E526" s="10">
        <v>54.2</v>
      </c>
      <c r="F526" s="9">
        <f t="shared" si="37"/>
        <v>14.101127957941927</v>
      </c>
      <c r="G526" s="9">
        <f t="shared" si="38"/>
        <v>15.756339366097638</v>
      </c>
      <c r="H526" s="10">
        <f t="shared" si="39"/>
        <v>17.252395831161454</v>
      </c>
      <c r="K526" s="11">
        <f>_xlfn.XLOOKUP(F526,Ref!$B$3:$B$12,Ref!$C$3:$C$12,"",1)</f>
        <v>1</v>
      </c>
      <c r="L526" s="11">
        <f>_xlfn.XLOOKUP(G526,Ref!$B$3:$B$12,Ref!$C$3:$C$12,"",1)</f>
        <v>1</v>
      </c>
      <c r="M526" s="11">
        <f>_xlfn.XLOOKUP(H526,Ref!$B$3:$B$12,Ref!$C$3:$C$12,"",1)</f>
        <v>1</v>
      </c>
    </row>
    <row r="527" spans="2:13" x14ac:dyDescent="0.25">
      <c r="B527" s="15" t="s">
        <v>28</v>
      </c>
      <c r="C527" s="9">
        <v>46.2</v>
      </c>
      <c r="D527" s="9">
        <v>46.8</v>
      </c>
      <c r="E527" s="10">
        <v>47.1</v>
      </c>
      <c r="F527" s="9">
        <f t="shared" si="37"/>
        <v>14.70591674169113</v>
      </c>
      <c r="G527" s="9">
        <f t="shared" si="38"/>
        <v>14.896902673401403</v>
      </c>
      <c r="H527" s="10">
        <f t="shared" si="39"/>
        <v>14.992395639256541</v>
      </c>
      <c r="K527" s="11">
        <f>_xlfn.XLOOKUP(F527,Ref!$B$3:$B$12,Ref!$C$3:$C$12,"",1)</f>
        <v>1</v>
      </c>
      <c r="L527" s="11">
        <f>_xlfn.XLOOKUP(G527,Ref!$B$3:$B$12,Ref!$C$3:$C$12,"",1)</f>
        <v>1</v>
      </c>
      <c r="M527" s="11">
        <f>_xlfn.XLOOKUP(H527,Ref!$B$3:$B$12,Ref!$C$3:$C$12,"",1)</f>
        <v>1</v>
      </c>
    </row>
    <row r="528" spans="2:13" x14ac:dyDescent="0.25">
      <c r="B528" s="15" t="s">
        <v>28</v>
      </c>
      <c r="C528" s="9">
        <v>74.2</v>
      </c>
      <c r="D528" s="9">
        <v>77.5</v>
      </c>
      <c r="E528" s="10">
        <v>79.400000000000006</v>
      </c>
      <c r="F528" s="9">
        <f t="shared" si="37"/>
        <v>23.618593554837268</v>
      </c>
      <c r="G528" s="9">
        <f t="shared" si="38"/>
        <v>24.669016179243776</v>
      </c>
      <c r="H528" s="10">
        <f t="shared" si="39"/>
        <v>25.273804962992983</v>
      </c>
      <c r="K528" s="11">
        <f>_xlfn.XLOOKUP(F528,Ref!$B$3:$B$12,Ref!$C$3:$C$12,"",1)</f>
        <v>2</v>
      </c>
      <c r="L528" s="11">
        <f>_xlfn.XLOOKUP(G528,Ref!$B$3:$B$12,Ref!$C$3:$C$12,"",1)</f>
        <v>2</v>
      </c>
      <c r="M528" s="11">
        <f>_xlfn.XLOOKUP(H528,Ref!$B$3:$B$12,Ref!$C$3:$C$12,"",1)</f>
        <v>2</v>
      </c>
    </row>
    <row r="529" spans="2:13" x14ac:dyDescent="0.25">
      <c r="B529" s="15" t="s">
        <v>32</v>
      </c>
      <c r="C529" s="9">
        <v>46.8</v>
      </c>
      <c r="D529" s="9">
        <v>49</v>
      </c>
      <c r="E529" s="10">
        <v>54.5</v>
      </c>
      <c r="F529" s="9">
        <f t="shared" si="37"/>
        <v>14.896902673401403</v>
      </c>
      <c r="G529" s="9">
        <f t="shared" si="38"/>
        <v>15.597184423005743</v>
      </c>
      <c r="H529" s="10">
        <f t="shared" si="39"/>
        <v>17.347888797016591</v>
      </c>
      <c r="K529" s="11">
        <f>_xlfn.XLOOKUP(F529,Ref!$B$3:$B$12,Ref!$C$3:$C$12,"",1)</f>
        <v>1</v>
      </c>
      <c r="L529" s="11">
        <f>_xlfn.XLOOKUP(G529,Ref!$B$3:$B$12,Ref!$C$3:$C$12,"",1)</f>
        <v>1</v>
      </c>
      <c r="M529" s="11">
        <f>_xlfn.XLOOKUP(H529,Ref!$B$3:$B$12,Ref!$C$3:$C$12,"",1)</f>
        <v>1</v>
      </c>
    </row>
    <row r="530" spans="2:13" x14ac:dyDescent="0.25">
      <c r="B530" s="15" t="s">
        <v>28</v>
      </c>
      <c r="C530" s="9">
        <v>66.5</v>
      </c>
      <c r="D530" s="9">
        <v>67.599999999999994</v>
      </c>
      <c r="E530" s="10">
        <v>67.8</v>
      </c>
      <c r="F530" s="9">
        <f t="shared" si="37"/>
        <v>21.167607431222081</v>
      </c>
      <c r="G530" s="9">
        <f t="shared" si="38"/>
        <v>21.517748306024249</v>
      </c>
      <c r="H530" s="10">
        <f t="shared" si="39"/>
        <v>21.581410283261008</v>
      </c>
      <c r="K530" s="11">
        <f>_xlfn.XLOOKUP(F530,Ref!$B$3:$B$12,Ref!$C$3:$C$12,"",1)</f>
        <v>2</v>
      </c>
      <c r="L530" s="11">
        <f>_xlfn.XLOOKUP(G530,Ref!$B$3:$B$12,Ref!$C$3:$C$12,"",1)</f>
        <v>2</v>
      </c>
      <c r="M530" s="11">
        <f>_xlfn.XLOOKUP(H530,Ref!$B$3:$B$12,Ref!$C$3:$C$12,"",1)</f>
        <v>2</v>
      </c>
    </row>
    <row r="531" spans="2:13" x14ac:dyDescent="0.25">
      <c r="B531" s="15" t="s">
        <v>28</v>
      </c>
      <c r="C531" s="9">
        <v>35.6</v>
      </c>
      <c r="D531" s="9">
        <v>35.6</v>
      </c>
      <c r="E531" s="10">
        <v>35.799999999999997</v>
      </c>
      <c r="F531" s="9">
        <f t="shared" si="37"/>
        <v>11.331831948142948</v>
      </c>
      <c r="G531" s="9">
        <f t="shared" si="38"/>
        <v>11.331831948142948</v>
      </c>
      <c r="H531" s="10">
        <f t="shared" si="39"/>
        <v>11.395493925379705</v>
      </c>
      <c r="K531" s="11">
        <f>_xlfn.XLOOKUP(F531,Ref!$B$3:$B$12,Ref!$C$3:$C$12,"",1)</f>
        <v>1</v>
      </c>
      <c r="L531" s="11">
        <f>_xlfn.XLOOKUP(G531,Ref!$B$3:$B$12,Ref!$C$3:$C$12,"",1)</f>
        <v>1</v>
      </c>
      <c r="M531" s="11">
        <f>_xlfn.XLOOKUP(H531,Ref!$B$3:$B$12,Ref!$C$3:$C$12,"",1)</f>
        <v>1</v>
      </c>
    </row>
    <row r="532" spans="2:13" x14ac:dyDescent="0.25">
      <c r="B532" s="15" t="s">
        <v>39</v>
      </c>
      <c r="C532" s="9">
        <v>50.8</v>
      </c>
      <c r="D532" s="9">
        <v>57.3</v>
      </c>
      <c r="E532" s="10">
        <v>60.8</v>
      </c>
      <c r="F532" s="9">
        <f t="shared" si="37"/>
        <v>16.170142218136565</v>
      </c>
      <c r="G532" s="9">
        <f t="shared" si="38"/>
        <v>18.239156478331207</v>
      </c>
      <c r="H532" s="10">
        <f t="shared" si="39"/>
        <v>19.353241079974474</v>
      </c>
      <c r="K532" s="11">
        <f>_xlfn.XLOOKUP(F532,Ref!$B$3:$B$12,Ref!$C$3:$C$12,"",1)</f>
        <v>1</v>
      </c>
      <c r="L532" s="11">
        <f>_xlfn.XLOOKUP(G532,Ref!$B$3:$B$12,Ref!$C$3:$C$12,"",1)</f>
        <v>1</v>
      </c>
      <c r="M532" s="11">
        <f>_xlfn.XLOOKUP(H532,Ref!$B$3:$B$12,Ref!$C$3:$C$12,"",1)</f>
        <v>1</v>
      </c>
    </row>
    <row r="533" spans="2:13" x14ac:dyDescent="0.25">
      <c r="B533" s="15" t="s">
        <v>64</v>
      </c>
      <c r="C533" s="9">
        <v>33</v>
      </c>
      <c r="D533" s="9">
        <v>33.4</v>
      </c>
      <c r="E533" s="10">
        <v>33.799999999999997</v>
      </c>
      <c r="F533" s="9">
        <f t="shared" si="37"/>
        <v>10.504226244065093</v>
      </c>
      <c r="G533" s="9">
        <f t="shared" si="38"/>
        <v>10.631550198538608</v>
      </c>
      <c r="H533" s="10">
        <f t="shared" si="39"/>
        <v>10.758874153012124</v>
      </c>
      <c r="K533" s="11">
        <f>_xlfn.XLOOKUP(F533,Ref!$B$3:$B$12,Ref!$C$3:$C$12,"",1)</f>
        <v>1</v>
      </c>
      <c r="L533" s="11">
        <f>_xlfn.XLOOKUP(G533,Ref!$B$3:$B$12,Ref!$C$3:$C$12,"",1)</f>
        <v>1</v>
      </c>
      <c r="M533" s="11">
        <f>_xlfn.XLOOKUP(H533,Ref!$B$3:$B$12,Ref!$C$3:$C$12,"",1)</f>
        <v>1</v>
      </c>
    </row>
    <row r="534" spans="2:13" x14ac:dyDescent="0.25">
      <c r="B534" s="15" t="s">
        <v>12</v>
      </c>
      <c r="C534" s="9">
        <v>54.6</v>
      </c>
      <c r="D534" s="9">
        <v>59</v>
      </c>
      <c r="E534" s="10">
        <v>62.9</v>
      </c>
      <c r="F534" s="9">
        <f t="shared" si="37"/>
        <v>17.379719785634972</v>
      </c>
      <c r="G534" s="9">
        <f t="shared" si="38"/>
        <v>18.780283284843652</v>
      </c>
      <c r="H534" s="10">
        <f t="shared" si="39"/>
        <v>20.021691840960433</v>
      </c>
      <c r="K534" s="11">
        <f>_xlfn.XLOOKUP(F534,Ref!$B$3:$B$12,Ref!$C$3:$C$12,"",1)</f>
        <v>1</v>
      </c>
      <c r="L534" s="11">
        <f>_xlfn.XLOOKUP(G534,Ref!$B$3:$B$12,Ref!$C$3:$C$12,"",1)</f>
        <v>1</v>
      </c>
      <c r="M534" s="11">
        <f>_xlfn.XLOOKUP(H534,Ref!$B$3:$B$12,Ref!$C$3:$C$12,"",1)</f>
        <v>2</v>
      </c>
    </row>
    <row r="535" spans="2:13" x14ac:dyDescent="0.25">
      <c r="B535" s="15" t="s">
        <v>40</v>
      </c>
      <c r="C535" s="9">
        <v>32.9</v>
      </c>
      <c r="D535" s="9">
        <v>37.799999999999997</v>
      </c>
      <c r="E535" s="10">
        <v>37.799999999999997</v>
      </c>
      <c r="F535" s="9">
        <f t="shared" si="37"/>
        <v>10.472395255446713</v>
      </c>
      <c r="G535" s="9">
        <f t="shared" si="38"/>
        <v>12.032113697747286</v>
      </c>
      <c r="H535" s="10">
        <f t="shared" si="39"/>
        <v>12.032113697747286</v>
      </c>
      <c r="K535" s="11">
        <f>_xlfn.XLOOKUP(F535,Ref!$B$3:$B$12,Ref!$C$3:$C$12,"",1)</f>
        <v>1</v>
      </c>
      <c r="L535" s="11">
        <f>_xlfn.XLOOKUP(G535,Ref!$B$3:$B$12,Ref!$C$3:$C$12,"",1)</f>
        <v>1</v>
      </c>
      <c r="M535" s="11">
        <f>_xlfn.XLOOKUP(H535,Ref!$B$3:$B$12,Ref!$C$3:$C$12,"",1)</f>
        <v>1</v>
      </c>
    </row>
    <row r="536" spans="2:13" x14ac:dyDescent="0.25">
      <c r="B536" s="15" t="s">
        <v>40</v>
      </c>
      <c r="C536" s="9">
        <v>32.799999999999997</v>
      </c>
      <c r="D536" s="9">
        <v>33</v>
      </c>
      <c r="E536" s="10">
        <v>33.299999999999997</v>
      </c>
      <c r="F536" s="9">
        <f t="shared" si="37"/>
        <v>10.440564266828334</v>
      </c>
      <c r="G536" s="9">
        <f t="shared" si="38"/>
        <v>10.504226244065093</v>
      </c>
      <c r="H536" s="10">
        <f t="shared" si="39"/>
        <v>10.599719209920229</v>
      </c>
      <c r="K536" s="11">
        <f>_xlfn.XLOOKUP(F536,Ref!$B$3:$B$12,Ref!$C$3:$C$12,"",1)</f>
        <v>1</v>
      </c>
      <c r="L536" s="11">
        <f>_xlfn.XLOOKUP(G536,Ref!$B$3:$B$12,Ref!$C$3:$C$12,"",1)</f>
        <v>1</v>
      </c>
      <c r="M536" s="11">
        <f>_xlfn.XLOOKUP(H536,Ref!$B$3:$B$12,Ref!$C$3:$C$12,"",1)</f>
        <v>1</v>
      </c>
    </row>
    <row r="537" spans="2:13" x14ac:dyDescent="0.25">
      <c r="B537" s="15" t="s">
        <v>44</v>
      </c>
      <c r="C537" s="9">
        <v>32.5</v>
      </c>
      <c r="D537" s="9">
        <v>33.5</v>
      </c>
      <c r="E537" s="10">
        <v>35.5</v>
      </c>
      <c r="F537" s="9">
        <f t="shared" si="37"/>
        <v>10.345071300973197</v>
      </c>
      <c r="G537" s="9">
        <f t="shared" si="38"/>
        <v>10.663381187156988</v>
      </c>
      <c r="H537" s="10">
        <f t="shared" si="39"/>
        <v>11.300000959524569</v>
      </c>
      <c r="K537" s="11">
        <f>_xlfn.XLOOKUP(F537,Ref!$B$3:$B$12,Ref!$C$3:$C$12,"",1)</f>
        <v>1</v>
      </c>
      <c r="L537" s="11">
        <f>_xlfn.XLOOKUP(G537,Ref!$B$3:$B$12,Ref!$C$3:$C$12,"",1)</f>
        <v>1</v>
      </c>
      <c r="M537" s="11">
        <f>_xlfn.XLOOKUP(H537,Ref!$B$3:$B$12,Ref!$C$3:$C$12,"",1)</f>
        <v>1</v>
      </c>
    </row>
    <row r="538" spans="2:13" x14ac:dyDescent="0.25">
      <c r="B538" s="15" t="s">
        <v>10</v>
      </c>
      <c r="C538" s="9">
        <v>35</v>
      </c>
      <c r="D538" s="9">
        <v>38.1</v>
      </c>
      <c r="E538" s="10">
        <v>41.6</v>
      </c>
      <c r="F538" s="9">
        <f t="shared" si="37"/>
        <v>11.140846016432674</v>
      </c>
      <c r="G538" s="9">
        <f t="shared" si="38"/>
        <v>12.127606663602425</v>
      </c>
      <c r="H538" s="10">
        <f t="shared" si="39"/>
        <v>13.241691265245693</v>
      </c>
      <c r="K538" s="11">
        <f>_xlfn.XLOOKUP(F538,Ref!$B$3:$B$12,Ref!$C$3:$C$12,"",1)</f>
        <v>1</v>
      </c>
      <c r="L538" s="11">
        <f>_xlfn.XLOOKUP(G538,Ref!$B$3:$B$12,Ref!$C$3:$C$12,"",1)</f>
        <v>1</v>
      </c>
      <c r="M538" s="11">
        <f>_xlfn.XLOOKUP(H538,Ref!$B$3:$B$12,Ref!$C$3:$C$12,"",1)</f>
        <v>1</v>
      </c>
    </row>
    <row r="539" spans="2:13" x14ac:dyDescent="0.25">
      <c r="B539" s="15" t="s">
        <v>40</v>
      </c>
      <c r="C539" s="9"/>
      <c r="D539" s="9"/>
      <c r="E539" s="10">
        <v>32.9</v>
      </c>
      <c r="F539" s="9" t="str">
        <f t="shared" si="37"/>
        <v/>
      </c>
      <c r="G539" s="9" t="str">
        <f t="shared" si="38"/>
        <v/>
      </c>
      <c r="H539" s="10">
        <f t="shared" si="39"/>
        <v>10.472395255446713</v>
      </c>
      <c r="K539" s="11" t="str">
        <f>_xlfn.XLOOKUP(F539,Ref!$B$3:$B$12,Ref!$C$3:$C$12,"",1)</f>
        <v/>
      </c>
      <c r="L539" s="11" t="str">
        <f>_xlfn.XLOOKUP(G539,Ref!$B$3:$B$12,Ref!$C$3:$C$12,"",1)</f>
        <v/>
      </c>
      <c r="M539" s="11">
        <f>_xlfn.XLOOKUP(H539,Ref!$B$3:$B$12,Ref!$C$3:$C$12,"",1)</f>
        <v>1</v>
      </c>
    </row>
    <row r="540" spans="2:13" x14ac:dyDescent="0.25">
      <c r="B540" s="15" t="s">
        <v>6</v>
      </c>
      <c r="C540" s="9">
        <v>60.4</v>
      </c>
      <c r="D540" s="9">
        <v>62</v>
      </c>
      <c r="E540" s="10">
        <v>63.2</v>
      </c>
      <c r="F540" s="9">
        <f t="shared" si="37"/>
        <v>19.225917125500956</v>
      </c>
      <c r="G540" s="9">
        <f t="shared" si="38"/>
        <v>19.735212943395023</v>
      </c>
      <c r="H540" s="10">
        <f t="shared" si="39"/>
        <v>20.117184806815573</v>
      </c>
      <c r="K540" s="11">
        <f>_xlfn.XLOOKUP(F540,Ref!$B$3:$B$12,Ref!$C$3:$C$12,"",1)</f>
        <v>1</v>
      </c>
      <c r="L540" s="11">
        <f>_xlfn.XLOOKUP(G540,Ref!$B$3:$B$12,Ref!$C$3:$C$12,"",1)</f>
        <v>1</v>
      </c>
      <c r="M540" s="11">
        <f>_xlfn.XLOOKUP(H540,Ref!$B$3:$B$12,Ref!$C$3:$C$12,"",1)</f>
        <v>2</v>
      </c>
    </row>
    <row r="541" spans="2:13" x14ac:dyDescent="0.25">
      <c r="B541" s="15" t="s">
        <v>26</v>
      </c>
      <c r="C541" s="9">
        <v>195</v>
      </c>
      <c r="D541" s="9">
        <v>207</v>
      </c>
      <c r="E541" s="10">
        <v>210</v>
      </c>
      <c r="F541" s="9">
        <f t="shared" si="37"/>
        <v>62.070427805839181</v>
      </c>
      <c r="G541" s="9">
        <f t="shared" si="38"/>
        <v>65.890146440044674</v>
      </c>
      <c r="H541" s="10">
        <f t="shared" si="39"/>
        <v>66.845076098596039</v>
      </c>
      <c r="K541" s="11">
        <f>_xlfn.XLOOKUP(F541,Ref!$B$3:$B$12,Ref!$C$3:$C$12,"",1)</f>
        <v>6</v>
      </c>
      <c r="L541" s="11">
        <f>_xlfn.XLOOKUP(G541,Ref!$B$3:$B$12,Ref!$C$3:$C$12,"",1)</f>
        <v>6</v>
      </c>
      <c r="M541" s="11">
        <f>_xlfn.XLOOKUP(H541,Ref!$B$3:$B$12,Ref!$C$3:$C$12,"",1)</f>
        <v>6</v>
      </c>
    </row>
    <row r="542" spans="2:13" x14ac:dyDescent="0.25">
      <c r="B542" s="15" t="s">
        <v>10</v>
      </c>
      <c r="C542" s="9">
        <v>35.200000000000003</v>
      </c>
      <c r="D542" s="9">
        <v>37.299999999999997</v>
      </c>
      <c r="E542" s="10">
        <v>39.299999999999997</v>
      </c>
      <c r="F542" s="9">
        <f t="shared" ref="F542:F600" si="40">IF(C542="", "", C542/PI())</f>
        <v>11.204507993669433</v>
      </c>
      <c r="G542" s="9">
        <f t="shared" ref="G542:G600" si="41">IF(D542="", "", D542/PI())</f>
        <v>11.872958754655391</v>
      </c>
      <c r="H542" s="10">
        <f t="shared" ref="H542:H600" si="42">IF(E542="", "", E542/PI())</f>
        <v>12.509578527022972</v>
      </c>
      <c r="K542" s="11">
        <f>_xlfn.XLOOKUP(F542,Ref!$B$3:$B$12,Ref!$C$3:$C$12,"",1)</f>
        <v>1</v>
      </c>
      <c r="L542" s="11">
        <f>_xlfn.XLOOKUP(G542,Ref!$B$3:$B$12,Ref!$C$3:$C$12,"",1)</f>
        <v>1</v>
      </c>
      <c r="M542" s="11">
        <f>_xlfn.XLOOKUP(H542,Ref!$B$3:$B$12,Ref!$C$3:$C$12,"",1)</f>
        <v>1</v>
      </c>
    </row>
    <row r="543" spans="2:13" x14ac:dyDescent="0.25">
      <c r="B543" s="15" t="s">
        <v>12</v>
      </c>
      <c r="C543" s="9">
        <v>48.4</v>
      </c>
      <c r="D543" s="9">
        <v>51.8</v>
      </c>
      <c r="E543" s="10">
        <v>54.9</v>
      </c>
      <c r="F543" s="9">
        <f t="shared" si="40"/>
        <v>15.406198491295468</v>
      </c>
      <c r="G543" s="9">
        <f t="shared" si="41"/>
        <v>16.488452104320356</v>
      </c>
      <c r="H543" s="10">
        <f t="shared" si="42"/>
        <v>17.475212751490108</v>
      </c>
      <c r="K543" s="11">
        <f>_xlfn.XLOOKUP(F543,Ref!$B$3:$B$12,Ref!$C$3:$C$12,"",1)</f>
        <v>1</v>
      </c>
      <c r="L543" s="11">
        <f>_xlfn.XLOOKUP(G543,Ref!$B$3:$B$12,Ref!$C$3:$C$12,"",1)</f>
        <v>1</v>
      </c>
      <c r="M543" s="11">
        <f>_xlfn.XLOOKUP(H543,Ref!$B$3:$B$12,Ref!$C$3:$C$12,"",1)</f>
        <v>1</v>
      </c>
    </row>
    <row r="544" spans="2:13" x14ac:dyDescent="0.25">
      <c r="B544" s="15" t="s">
        <v>10</v>
      </c>
      <c r="C544" s="9">
        <v>40.6</v>
      </c>
      <c r="D544" s="9">
        <v>41.2</v>
      </c>
      <c r="E544" s="10">
        <v>41.4</v>
      </c>
      <c r="F544" s="9">
        <f t="shared" si="40"/>
        <v>12.923381379061903</v>
      </c>
      <c r="G544" s="9">
        <f t="shared" si="41"/>
        <v>13.114367310772177</v>
      </c>
      <c r="H544" s="10">
        <f t="shared" si="42"/>
        <v>13.178029288008934</v>
      </c>
      <c r="K544" s="11">
        <f>_xlfn.XLOOKUP(F544,Ref!$B$3:$B$12,Ref!$C$3:$C$12,"",1)</f>
        <v>1</v>
      </c>
      <c r="L544" s="11">
        <f>_xlfn.XLOOKUP(G544,Ref!$B$3:$B$12,Ref!$C$3:$C$12,"",1)</f>
        <v>1</v>
      </c>
      <c r="M544" s="11">
        <f>_xlfn.XLOOKUP(H544,Ref!$B$3:$B$12,Ref!$C$3:$C$12,"",1)</f>
        <v>1</v>
      </c>
    </row>
    <row r="545" spans="2:13" x14ac:dyDescent="0.25">
      <c r="B545" s="15" t="s">
        <v>10</v>
      </c>
      <c r="C545" s="9">
        <v>43.4</v>
      </c>
      <c r="D545" s="9">
        <v>44.5</v>
      </c>
      <c r="E545" s="10">
        <v>46.5</v>
      </c>
      <c r="F545" s="9">
        <f t="shared" si="40"/>
        <v>13.814649060376516</v>
      </c>
      <c r="G545" s="9">
        <f t="shared" si="41"/>
        <v>14.164789935178685</v>
      </c>
      <c r="H545" s="10">
        <f t="shared" si="42"/>
        <v>14.801409707546267</v>
      </c>
      <c r="K545" s="11">
        <f>_xlfn.XLOOKUP(F545,Ref!$B$3:$B$12,Ref!$C$3:$C$12,"",1)</f>
        <v>1</v>
      </c>
      <c r="L545" s="11">
        <f>_xlfn.XLOOKUP(G545,Ref!$B$3:$B$12,Ref!$C$3:$C$12,"",1)</f>
        <v>1</v>
      </c>
      <c r="M545" s="11">
        <f>_xlfn.XLOOKUP(H545,Ref!$B$3:$B$12,Ref!$C$3:$C$12,"",1)</f>
        <v>1</v>
      </c>
    </row>
    <row r="546" spans="2:13" x14ac:dyDescent="0.25">
      <c r="B546" s="15" t="s">
        <v>10</v>
      </c>
      <c r="C546" s="9">
        <v>35.299999999999997</v>
      </c>
      <c r="D546" s="9">
        <v>43.7</v>
      </c>
      <c r="E546" s="10">
        <v>48</v>
      </c>
      <c r="F546" s="9">
        <f t="shared" si="40"/>
        <v>11.23633898228781</v>
      </c>
      <c r="G546" s="9">
        <f t="shared" si="41"/>
        <v>13.910142026231654</v>
      </c>
      <c r="H546" s="10">
        <f t="shared" si="42"/>
        <v>15.278874536821952</v>
      </c>
      <c r="K546" s="11">
        <f>_xlfn.XLOOKUP(F546,Ref!$B$3:$B$12,Ref!$C$3:$C$12,"",1)</f>
        <v>1</v>
      </c>
      <c r="L546" s="11">
        <f>_xlfn.XLOOKUP(G546,Ref!$B$3:$B$12,Ref!$C$3:$C$12,"",1)</f>
        <v>1</v>
      </c>
      <c r="M546" s="11">
        <f>_xlfn.XLOOKUP(H546,Ref!$B$3:$B$12,Ref!$C$3:$C$12,"",1)</f>
        <v>1</v>
      </c>
    </row>
    <row r="547" spans="2:13" x14ac:dyDescent="0.25">
      <c r="B547" s="15" t="s">
        <v>56</v>
      </c>
      <c r="C547" s="9">
        <v>37.799999999999997</v>
      </c>
      <c r="D547" s="9">
        <v>37</v>
      </c>
      <c r="E547" s="10">
        <v>37.299999999999997</v>
      </c>
      <c r="F547" s="9">
        <f t="shared" si="40"/>
        <v>12.032113697747286</v>
      </c>
      <c r="G547" s="9">
        <f t="shared" si="41"/>
        <v>11.777465788800255</v>
      </c>
      <c r="H547" s="10">
        <f t="shared" si="42"/>
        <v>11.872958754655391</v>
      </c>
      <c r="K547" s="11">
        <f>_xlfn.XLOOKUP(F547,Ref!$B$3:$B$12,Ref!$C$3:$C$12,"",1)</f>
        <v>1</v>
      </c>
      <c r="L547" s="11">
        <f>_xlfn.XLOOKUP(G547,Ref!$B$3:$B$12,Ref!$C$3:$C$12,"",1)</f>
        <v>1</v>
      </c>
      <c r="M547" s="11">
        <f>_xlfn.XLOOKUP(H547,Ref!$B$3:$B$12,Ref!$C$3:$C$12,"",1)</f>
        <v>1</v>
      </c>
    </row>
    <row r="548" spans="2:13" x14ac:dyDescent="0.25">
      <c r="B548" s="15" t="s">
        <v>28</v>
      </c>
      <c r="C548" s="9">
        <v>62.9</v>
      </c>
      <c r="D548" s="9">
        <v>67.5</v>
      </c>
      <c r="E548" s="10">
        <v>67.5</v>
      </c>
      <c r="F548" s="9">
        <f t="shared" si="40"/>
        <v>20.021691840960433</v>
      </c>
      <c r="G548" s="9">
        <f t="shared" si="41"/>
        <v>21.485917317405871</v>
      </c>
      <c r="H548" s="10">
        <f t="shared" si="42"/>
        <v>21.485917317405871</v>
      </c>
      <c r="K548" s="11">
        <f>_xlfn.XLOOKUP(F548,Ref!$B$3:$B$12,Ref!$C$3:$C$12,"",1)</f>
        <v>2</v>
      </c>
      <c r="L548" s="11">
        <f>_xlfn.XLOOKUP(G548,Ref!$B$3:$B$12,Ref!$C$3:$C$12,"",1)</f>
        <v>2</v>
      </c>
      <c r="M548" s="11">
        <f>_xlfn.XLOOKUP(H548,Ref!$B$3:$B$12,Ref!$C$3:$C$12,"",1)</f>
        <v>2</v>
      </c>
    </row>
    <row r="549" spans="2:13" x14ac:dyDescent="0.25">
      <c r="B549" s="15" t="s">
        <v>24</v>
      </c>
      <c r="C549" s="9">
        <v>42.5</v>
      </c>
      <c r="D549" s="9">
        <v>49.7</v>
      </c>
      <c r="E549" s="10">
        <v>55.9</v>
      </c>
      <c r="F549" s="9">
        <f t="shared" si="40"/>
        <v>13.528170162811104</v>
      </c>
      <c r="G549" s="9">
        <f t="shared" si="41"/>
        <v>15.820001343334399</v>
      </c>
      <c r="H549" s="10">
        <f t="shared" si="42"/>
        <v>17.793522637673899</v>
      </c>
      <c r="K549" s="11">
        <f>_xlfn.XLOOKUP(F549,Ref!$B$3:$B$12,Ref!$C$3:$C$12,"",1)</f>
        <v>1</v>
      </c>
      <c r="L549" s="11">
        <f>_xlfn.XLOOKUP(G549,Ref!$B$3:$B$12,Ref!$C$3:$C$12,"",1)</f>
        <v>1</v>
      </c>
      <c r="M549" s="11">
        <f>_xlfn.XLOOKUP(H549,Ref!$B$3:$B$12,Ref!$C$3:$C$12,"",1)</f>
        <v>1</v>
      </c>
    </row>
    <row r="550" spans="2:13" x14ac:dyDescent="0.25">
      <c r="B550" s="15" t="s">
        <v>66</v>
      </c>
      <c r="C550" s="9">
        <v>37.700000000000003</v>
      </c>
      <c r="D550" s="9">
        <v>41.8</v>
      </c>
      <c r="E550" s="10">
        <v>46.5</v>
      </c>
      <c r="F550" s="9">
        <f t="shared" si="40"/>
        <v>12.000282709128909</v>
      </c>
      <c r="G550" s="9">
        <f t="shared" si="41"/>
        <v>13.30535324248245</v>
      </c>
      <c r="H550" s="10">
        <f t="shared" si="42"/>
        <v>14.801409707546267</v>
      </c>
      <c r="K550" s="11">
        <f>_xlfn.XLOOKUP(F550,Ref!$B$3:$B$12,Ref!$C$3:$C$12,"",1)</f>
        <v>1</v>
      </c>
      <c r="L550" s="11">
        <f>_xlfn.XLOOKUP(G550,Ref!$B$3:$B$12,Ref!$C$3:$C$12,"",1)</f>
        <v>1</v>
      </c>
      <c r="M550" s="11">
        <f>_xlfn.XLOOKUP(H550,Ref!$B$3:$B$12,Ref!$C$3:$C$12,"",1)</f>
        <v>1</v>
      </c>
    </row>
    <row r="551" spans="2:13" x14ac:dyDescent="0.25">
      <c r="B551" s="15" t="s">
        <v>48</v>
      </c>
      <c r="C551" s="9">
        <v>56.3</v>
      </c>
      <c r="D551" s="9">
        <v>57</v>
      </c>
      <c r="E551" s="10">
        <v>58.2</v>
      </c>
      <c r="F551" s="9">
        <f t="shared" si="40"/>
        <v>17.920846592147413</v>
      </c>
      <c r="G551" s="9">
        <f t="shared" si="41"/>
        <v>18.143663512476071</v>
      </c>
      <c r="H551" s="10">
        <f t="shared" si="42"/>
        <v>18.52563537589662</v>
      </c>
      <c r="K551" s="11">
        <f>_xlfn.XLOOKUP(F551,Ref!$B$3:$B$12,Ref!$C$3:$C$12,"",1)</f>
        <v>1</v>
      </c>
      <c r="L551" s="11">
        <f>_xlfn.XLOOKUP(G551,Ref!$B$3:$B$12,Ref!$C$3:$C$12,"",1)</f>
        <v>1</v>
      </c>
      <c r="M551" s="11">
        <f>_xlfn.XLOOKUP(H551,Ref!$B$3:$B$12,Ref!$C$3:$C$12,"",1)</f>
        <v>1</v>
      </c>
    </row>
    <row r="552" spans="2:13" x14ac:dyDescent="0.25">
      <c r="B552" s="15" t="s">
        <v>24</v>
      </c>
      <c r="C552" s="9">
        <v>88.5</v>
      </c>
      <c r="D552" s="9">
        <v>93</v>
      </c>
      <c r="E552" s="10">
        <v>99.7</v>
      </c>
      <c r="F552" s="9">
        <f t="shared" si="40"/>
        <v>28.170424927265476</v>
      </c>
      <c r="G552" s="9">
        <f t="shared" si="41"/>
        <v>29.602819415092533</v>
      </c>
      <c r="H552" s="10">
        <f t="shared" si="42"/>
        <v>31.735495652523934</v>
      </c>
      <c r="K552" s="11">
        <f>_xlfn.XLOOKUP(F552,Ref!$B$3:$B$12,Ref!$C$3:$C$12,"",1)</f>
        <v>2</v>
      </c>
      <c r="L552" s="11">
        <f>_xlfn.XLOOKUP(G552,Ref!$B$3:$B$12,Ref!$C$3:$C$12,"",1)</f>
        <v>2</v>
      </c>
      <c r="M552" s="11">
        <f>_xlfn.XLOOKUP(H552,Ref!$B$3:$B$12,Ref!$C$3:$C$12,"",1)</f>
        <v>3</v>
      </c>
    </row>
    <row r="553" spans="2:13" x14ac:dyDescent="0.25">
      <c r="B553" s="15" t="s">
        <v>28</v>
      </c>
      <c r="C553" s="9">
        <v>58.7</v>
      </c>
      <c r="D553" s="9">
        <v>60.7</v>
      </c>
      <c r="E553" s="10">
        <v>61.5</v>
      </c>
      <c r="F553" s="9">
        <f t="shared" si="40"/>
        <v>18.684790318988515</v>
      </c>
      <c r="G553" s="9">
        <f t="shared" si="41"/>
        <v>19.321410091356096</v>
      </c>
      <c r="H553" s="10">
        <f t="shared" si="42"/>
        <v>19.576058000303128</v>
      </c>
      <c r="K553" s="11">
        <f>_xlfn.XLOOKUP(F553,Ref!$B$3:$B$12,Ref!$C$3:$C$12,"",1)</f>
        <v>1</v>
      </c>
      <c r="L553" s="11">
        <f>_xlfn.XLOOKUP(G553,Ref!$B$3:$B$12,Ref!$C$3:$C$12,"",1)</f>
        <v>1</v>
      </c>
      <c r="M553" s="11">
        <f>_xlfn.XLOOKUP(H553,Ref!$B$3:$B$12,Ref!$C$3:$C$12,"",1)</f>
        <v>1</v>
      </c>
    </row>
    <row r="554" spans="2:13" x14ac:dyDescent="0.25">
      <c r="B554" s="15" t="s">
        <v>10</v>
      </c>
      <c r="C554" s="9">
        <v>134.19999999999999</v>
      </c>
      <c r="D554" s="9">
        <v>135.1</v>
      </c>
      <c r="E554" s="10">
        <v>139.6</v>
      </c>
      <c r="F554" s="9">
        <f t="shared" si="40"/>
        <v>42.717186725864707</v>
      </c>
      <c r="G554" s="9">
        <f t="shared" si="41"/>
        <v>43.003665623430116</v>
      </c>
      <c r="H554" s="10">
        <f t="shared" si="42"/>
        <v>44.436060111257177</v>
      </c>
      <c r="K554" s="11">
        <f>_xlfn.XLOOKUP(F554,Ref!$B$3:$B$12,Ref!$C$3:$C$12,"",1)</f>
        <v>4</v>
      </c>
      <c r="L554" s="11">
        <f>_xlfn.XLOOKUP(G554,Ref!$B$3:$B$12,Ref!$C$3:$C$12,"",1)</f>
        <v>4</v>
      </c>
      <c r="M554" s="11">
        <f>_xlfn.XLOOKUP(H554,Ref!$B$3:$B$12,Ref!$C$3:$C$12,"",1)</f>
        <v>4</v>
      </c>
    </row>
    <row r="555" spans="2:13" x14ac:dyDescent="0.25">
      <c r="B555" s="15" t="s">
        <v>8</v>
      </c>
      <c r="C555" s="9">
        <v>128.69999999999999</v>
      </c>
      <c r="D555" s="9">
        <v>130.4</v>
      </c>
      <c r="E555" s="10">
        <v>130.4</v>
      </c>
      <c r="F555" s="9">
        <f t="shared" si="40"/>
        <v>40.966482351853855</v>
      </c>
      <c r="G555" s="9">
        <f t="shared" si="41"/>
        <v>41.507609158366307</v>
      </c>
      <c r="H555" s="10">
        <f t="shared" si="42"/>
        <v>41.507609158366307</v>
      </c>
      <c r="K555" s="11">
        <f>_xlfn.XLOOKUP(F555,Ref!$B$3:$B$12,Ref!$C$3:$C$12,"",1)</f>
        <v>4</v>
      </c>
      <c r="L555" s="11">
        <f>_xlfn.XLOOKUP(G555,Ref!$B$3:$B$12,Ref!$C$3:$C$12,"",1)</f>
        <v>4</v>
      </c>
      <c r="M555" s="11">
        <f>_xlfn.XLOOKUP(H555,Ref!$B$3:$B$12,Ref!$C$3:$C$12,"",1)</f>
        <v>4</v>
      </c>
    </row>
    <row r="556" spans="2:13" x14ac:dyDescent="0.25">
      <c r="B556" s="15" t="s">
        <v>8</v>
      </c>
      <c r="C556" s="9">
        <v>101.5</v>
      </c>
      <c r="D556" s="9">
        <v>103.4</v>
      </c>
      <c r="E556" s="10">
        <v>105</v>
      </c>
      <c r="F556" s="9">
        <f t="shared" si="40"/>
        <v>32.308453447654756</v>
      </c>
      <c r="G556" s="9">
        <f t="shared" si="41"/>
        <v>32.913242231403956</v>
      </c>
      <c r="H556" s="10">
        <f t="shared" si="42"/>
        <v>33.422538049298019</v>
      </c>
      <c r="K556" s="11">
        <f>_xlfn.XLOOKUP(F556,Ref!$B$3:$B$12,Ref!$C$3:$C$12,"",1)</f>
        <v>3</v>
      </c>
      <c r="L556" s="11">
        <f>_xlfn.XLOOKUP(G556,Ref!$B$3:$B$12,Ref!$C$3:$C$12,"",1)</f>
        <v>3</v>
      </c>
      <c r="M556" s="11">
        <f>_xlfn.XLOOKUP(H556,Ref!$B$3:$B$12,Ref!$C$3:$C$12,"",1)</f>
        <v>3</v>
      </c>
    </row>
    <row r="557" spans="2:13" x14ac:dyDescent="0.25">
      <c r="B557" s="15" t="s">
        <v>39</v>
      </c>
      <c r="C557" s="9">
        <v>32</v>
      </c>
      <c r="D557" s="9">
        <v>34.9</v>
      </c>
      <c r="E557" s="10">
        <v>48.3</v>
      </c>
      <c r="F557" s="9">
        <f t="shared" si="40"/>
        <v>10.185916357881302</v>
      </c>
      <c r="G557" s="9">
        <f t="shared" si="41"/>
        <v>11.109015027814294</v>
      </c>
      <c r="H557" s="10">
        <f t="shared" si="42"/>
        <v>15.374367502677089</v>
      </c>
      <c r="K557" s="11">
        <f>_xlfn.XLOOKUP(F557,Ref!$B$3:$B$12,Ref!$C$3:$C$12,"",1)</f>
        <v>1</v>
      </c>
      <c r="L557" s="11">
        <f>_xlfn.XLOOKUP(G557,Ref!$B$3:$B$12,Ref!$C$3:$C$12,"",1)</f>
        <v>1</v>
      </c>
      <c r="M557" s="11">
        <f>_xlfn.XLOOKUP(H557,Ref!$B$3:$B$12,Ref!$C$3:$C$12,"",1)</f>
        <v>1</v>
      </c>
    </row>
    <row r="558" spans="2:13" x14ac:dyDescent="0.25">
      <c r="B558" s="15" t="s">
        <v>28</v>
      </c>
      <c r="C558" s="9">
        <v>46.4</v>
      </c>
      <c r="D558" s="9">
        <v>46.5</v>
      </c>
      <c r="E558" s="10">
        <v>46.9</v>
      </c>
      <c r="F558" s="9">
        <f t="shared" si="40"/>
        <v>14.769578718927887</v>
      </c>
      <c r="G558" s="9">
        <f t="shared" si="41"/>
        <v>14.801409707546267</v>
      </c>
      <c r="H558" s="10">
        <f t="shared" si="42"/>
        <v>14.928733662019782</v>
      </c>
      <c r="K558" s="11">
        <f>_xlfn.XLOOKUP(F558,Ref!$B$3:$B$12,Ref!$C$3:$C$12,"",1)</f>
        <v>1</v>
      </c>
      <c r="L558" s="11">
        <f>_xlfn.XLOOKUP(G558,Ref!$B$3:$B$12,Ref!$C$3:$C$12,"",1)</f>
        <v>1</v>
      </c>
      <c r="M558" s="11">
        <f>_xlfn.XLOOKUP(H558,Ref!$B$3:$B$12,Ref!$C$3:$C$12,"",1)</f>
        <v>1</v>
      </c>
    </row>
    <row r="559" spans="2:13" x14ac:dyDescent="0.25">
      <c r="B559" s="15" t="s">
        <v>10</v>
      </c>
      <c r="C559" s="9">
        <v>33.9</v>
      </c>
      <c r="D559" s="9">
        <v>36.5</v>
      </c>
      <c r="E559" s="10">
        <v>39</v>
      </c>
      <c r="F559" s="9">
        <f t="shared" si="40"/>
        <v>10.790705141630504</v>
      </c>
      <c r="G559" s="9">
        <f t="shared" si="41"/>
        <v>11.618310845708359</v>
      </c>
      <c r="H559" s="10">
        <f t="shared" si="42"/>
        <v>12.414085561167836</v>
      </c>
      <c r="K559" s="11">
        <f>_xlfn.XLOOKUP(F559,Ref!$B$3:$B$12,Ref!$C$3:$C$12,"",1)</f>
        <v>1</v>
      </c>
      <c r="L559" s="11">
        <f>_xlfn.XLOOKUP(G559,Ref!$B$3:$B$12,Ref!$C$3:$C$12,"",1)</f>
        <v>1</v>
      </c>
      <c r="M559" s="11">
        <f>_xlfn.XLOOKUP(H559,Ref!$B$3:$B$12,Ref!$C$3:$C$12,"",1)</f>
        <v>1</v>
      </c>
    </row>
    <row r="560" spans="2:13" x14ac:dyDescent="0.25">
      <c r="B560" s="15" t="s">
        <v>10</v>
      </c>
      <c r="C560" s="9">
        <v>34.5</v>
      </c>
      <c r="D560" s="9">
        <v>36.5</v>
      </c>
      <c r="E560" s="10">
        <v>38.700000000000003</v>
      </c>
      <c r="F560" s="9">
        <f t="shared" si="40"/>
        <v>10.981691073340778</v>
      </c>
      <c r="G560" s="9">
        <f t="shared" si="41"/>
        <v>11.618310845708359</v>
      </c>
      <c r="H560" s="10">
        <f t="shared" si="42"/>
        <v>12.318592595312701</v>
      </c>
      <c r="K560" s="11">
        <f>_xlfn.XLOOKUP(F560,Ref!$B$3:$B$12,Ref!$C$3:$C$12,"",1)</f>
        <v>1</v>
      </c>
      <c r="L560" s="11">
        <f>_xlfn.XLOOKUP(G560,Ref!$B$3:$B$12,Ref!$C$3:$C$12,"",1)</f>
        <v>1</v>
      </c>
      <c r="M560" s="11">
        <f>_xlfn.XLOOKUP(H560,Ref!$B$3:$B$12,Ref!$C$3:$C$12,"",1)</f>
        <v>1</v>
      </c>
    </row>
    <row r="561" spans="2:13" x14ac:dyDescent="0.25">
      <c r="B561" s="15" t="s">
        <v>7</v>
      </c>
      <c r="C561" s="9">
        <v>109.2</v>
      </c>
      <c r="D561" s="9">
        <v>121</v>
      </c>
      <c r="E561" s="10">
        <v>127</v>
      </c>
      <c r="F561" s="9">
        <f t="shared" si="40"/>
        <v>34.759439571269944</v>
      </c>
      <c r="G561" s="9">
        <f t="shared" si="41"/>
        <v>38.515496228238675</v>
      </c>
      <c r="H561" s="10">
        <f t="shared" si="42"/>
        <v>40.425355545341418</v>
      </c>
      <c r="K561" s="11">
        <f>_xlfn.XLOOKUP(F561,Ref!$B$3:$B$12,Ref!$C$3:$C$12,"",1)</f>
        <v>3</v>
      </c>
      <c r="L561" s="11">
        <f>_xlfn.XLOOKUP(G561,Ref!$B$3:$B$12,Ref!$C$3:$C$12,"",1)</f>
        <v>3</v>
      </c>
      <c r="M561" s="11">
        <f>_xlfn.XLOOKUP(H561,Ref!$B$3:$B$12,Ref!$C$3:$C$12,"",1)</f>
        <v>4</v>
      </c>
    </row>
    <row r="562" spans="2:13" x14ac:dyDescent="0.25">
      <c r="B562" s="15" t="s">
        <v>44</v>
      </c>
      <c r="C562" s="9">
        <v>36.5</v>
      </c>
      <c r="D562" s="9">
        <v>38.4</v>
      </c>
      <c r="E562" s="10">
        <v>41.1</v>
      </c>
      <c r="F562" s="9">
        <f t="shared" si="40"/>
        <v>11.618310845708359</v>
      </c>
      <c r="G562" s="9">
        <f t="shared" si="41"/>
        <v>12.223099629457561</v>
      </c>
      <c r="H562" s="10">
        <f t="shared" si="42"/>
        <v>13.082536322153798</v>
      </c>
      <c r="K562" s="11">
        <f>_xlfn.XLOOKUP(F562,Ref!$B$3:$B$12,Ref!$C$3:$C$12,"",1)</f>
        <v>1</v>
      </c>
      <c r="L562" s="11">
        <f>_xlfn.XLOOKUP(G562,Ref!$B$3:$B$12,Ref!$C$3:$C$12,"",1)</f>
        <v>1</v>
      </c>
      <c r="M562" s="11">
        <f>_xlfn.XLOOKUP(H562,Ref!$B$3:$B$12,Ref!$C$3:$C$12,"",1)</f>
        <v>1</v>
      </c>
    </row>
    <row r="563" spans="2:13" x14ac:dyDescent="0.25">
      <c r="B563" s="15" t="s">
        <v>39</v>
      </c>
      <c r="C563" s="9">
        <v>33.299999999999997</v>
      </c>
      <c r="D563" s="9">
        <v>35.5</v>
      </c>
      <c r="E563" s="10">
        <v>38</v>
      </c>
      <c r="F563" s="9">
        <f t="shared" si="40"/>
        <v>10.599719209920229</v>
      </c>
      <c r="G563" s="9">
        <f t="shared" si="41"/>
        <v>11.300000959524569</v>
      </c>
      <c r="H563" s="10">
        <f t="shared" si="42"/>
        <v>12.095775674984045</v>
      </c>
      <c r="K563" s="11">
        <f>_xlfn.XLOOKUP(F563,Ref!$B$3:$B$12,Ref!$C$3:$C$12,"",1)</f>
        <v>1</v>
      </c>
      <c r="L563" s="11">
        <f>_xlfn.XLOOKUP(G563,Ref!$B$3:$B$12,Ref!$C$3:$C$12,"",1)</f>
        <v>1</v>
      </c>
      <c r="M563" s="11">
        <f>_xlfn.XLOOKUP(H563,Ref!$B$3:$B$12,Ref!$C$3:$C$12,"",1)</f>
        <v>1</v>
      </c>
    </row>
    <row r="564" spans="2:13" x14ac:dyDescent="0.25">
      <c r="B564" s="15" t="s">
        <v>28</v>
      </c>
      <c r="C564" s="9">
        <v>73.099999999999994</v>
      </c>
      <c r="D564" s="9">
        <v>73.099999999999994</v>
      </c>
      <c r="E564" s="10">
        <v>73.400000000000006</v>
      </c>
      <c r="F564" s="9">
        <f t="shared" si="40"/>
        <v>23.268452680035097</v>
      </c>
      <c r="G564" s="9">
        <f t="shared" si="41"/>
        <v>23.268452680035097</v>
      </c>
      <c r="H564" s="10">
        <f t="shared" si="42"/>
        <v>23.363945645890237</v>
      </c>
      <c r="K564" s="11">
        <f>_xlfn.XLOOKUP(F564,Ref!$B$3:$B$12,Ref!$C$3:$C$12,"",1)</f>
        <v>2</v>
      </c>
      <c r="L564" s="11">
        <f>_xlfn.XLOOKUP(G564,Ref!$B$3:$B$12,Ref!$C$3:$C$12,"",1)</f>
        <v>2</v>
      </c>
      <c r="M564" s="11">
        <f>_xlfn.XLOOKUP(H564,Ref!$B$3:$B$12,Ref!$C$3:$C$12,"",1)</f>
        <v>2</v>
      </c>
    </row>
    <row r="565" spans="2:13" x14ac:dyDescent="0.25">
      <c r="B565" s="15" t="s">
        <v>23</v>
      </c>
      <c r="C565" s="9">
        <v>58.4</v>
      </c>
      <c r="D565" s="9">
        <v>61.4</v>
      </c>
      <c r="E565" s="10">
        <v>66.3</v>
      </c>
      <c r="F565" s="9">
        <f t="shared" si="40"/>
        <v>18.589297353133375</v>
      </c>
      <c r="G565" s="9">
        <f t="shared" si="41"/>
        <v>19.544227011684747</v>
      </c>
      <c r="H565" s="10">
        <f t="shared" si="42"/>
        <v>21.103945453985322</v>
      </c>
      <c r="K565" s="11">
        <f>_xlfn.XLOOKUP(F565,Ref!$B$3:$B$12,Ref!$C$3:$C$12,"",1)</f>
        <v>1</v>
      </c>
      <c r="L565" s="11">
        <f>_xlfn.XLOOKUP(G565,Ref!$B$3:$B$12,Ref!$C$3:$C$12,"",1)</f>
        <v>1</v>
      </c>
      <c r="M565" s="11">
        <f>_xlfn.XLOOKUP(H565,Ref!$B$3:$B$12,Ref!$C$3:$C$12,"",1)</f>
        <v>2</v>
      </c>
    </row>
    <row r="566" spans="2:13" x14ac:dyDescent="0.25">
      <c r="B566" s="15" t="s">
        <v>12</v>
      </c>
      <c r="C566" s="9">
        <v>44.2</v>
      </c>
      <c r="D566" s="9">
        <v>47.5</v>
      </c>
      <c r="E566" s="10">
        <v>48.5</v>
      </c>
      <c r="F566" s="9">
        <f t="shared" si="40"/>
        <v>14.069296969323549</v>
      </c>
      <c r="G566" s="9">
        <f t="shared" si="41"/>
        <v>15.119719593730057</v>
      </c>
      <c r="H566" s="10">
        <f t="shared" si="42"/>
        <v>15.438029479913848</v>
      </c>
      <c r="K566" s="11">
        <f>_xlfn.XLOOKUP(F566,Ref!$B$3:$B$12,Ref!$C$3:$C$12,"",1)</f>
        <v>1</v>
      </c>
      <c r="L566" s="11">
        <f>_xlfn.XLOOKUP(G566,Ref!$B$3:$B$12,Ref!$C$3:$C$12,"",1)</f>
        <v>1</v>
      </c>
      <c r="M566" s="11">
        <f>_xlfn.XLOOKUP(H566,Ref!$B$3:$B$12,Ref!$C$3:$C$12,"",1)</f>
        <v>1</v>
      </c>
    </row>
    <row r="567" spans="2:13" x14ac:dyDescent="0.25">
      <c r="B567" s="15" t="s">
        <v>12</v>
      </c>
      <c r="C567" s="9">
        <v>57.7</v>
      </c>
      <c r="D567" s="9">
        <v>59.4</v>
      </c>
      <c r="E567" s="10">
        <v>62.2</v>
      </c>
      <c r="F567" s="9">
        <f t="shared" si="40"/>
        <v>18.366480432804725</v>
      </c>
      <c r="G567" s="9">
        <f t="shared" si="41"/>
        <v>18.907607239317166</v>
      </c>
      <c r="H567" s="10">
        <f t="shared" si="42"/>
        <v>19.798874920631782</v>
      </c>
      <c r="K567" s="11">
        <f>_xlfn.XLOOKUP(F567,Ref!$B$3:$B$12,Ref!$C$3:$C$12,"",1)</f>
        <v>1</v>
      </c>
      <c r="L567" s="11">
        <f>_xlfn.XLOOKUP(G567,Ref!$B$3:$B$12,Ref!$C$3:$C$12,"",1)</f>
        <v>1</v>
      </c>
      <c r="M567" s="11">
        <f>_xlfn.XLOOKUP(H567,Ref!$B$3:$B$12,Ref!$C$3:$C$12,"",1)</f>
        <v>1</v>
      </c>
    </row>
    <row r="568" spans="2:13" x14ac:dyDescent="0.25">
      <c r="B568" s="15" t="s">
        <v>12</v>
      </c>
      <c r="C568" s="9">
        <v>62.5</v>
      </c>
      <c r="D568" s="9">
        <v>66.3</v>
      </c>
      <c r="E568" s="10">
        <v>70.5</v>
      </c>
      <c r="F568" s="9">
        <f t="shared" si="40"/>
        <v>19.894367886486918</v>
      </c>
      <c r="G568" s="9">
        <f t="shared" si="41"/>
        <v>21.103945453985322</v>
      </c>
      <c r="H568" s="10">
        <f t="shared" si="42"/>
        <v>22.440846975957243</v>
      </c>
      <c r="K568" s="11">
        <f>_xlfn.XLOOKUP(F568,Ref!$B$3:$B$12,Ref!$C$3:$C$12,"",1)</f>
        <v>1</v>
      </c>
      <c r="L568" s="11">
        <f>_xlfn.XLOOKUP(G568,Ref!$B$3:$B$12,Ref!$C$3:$C$12,"",1)</f>
        <v>2</v>
      </c>
      <c r="M568" s="11">
        <f>_xlfn.XLOOKUP(H568,Ref!$B$3:$B$12,Ref!$C$3:$C$12,"",1)</f>
        <v>2</v>
      </c>
    </row>
    <row r="569" spans="2:13" x14ac:dyDescent="0.25">
      <c r="B569" s="15" t="s">
        <v>22</v>
      </c>
      <c r="C569" s="9"/>
      <c r="D569" s="9">
        <v>34</v>
      </c>
      <c r="E569" s="10">
        <v>40</v>
      </c>
      <c r="F569" s="9" t="str">
        <f t="shared" si="40"/>
        <v/>
      </c>
      <c r="G569" s="9">
        <f t="shared" si="41"/>
        <v>10.822536130248883</v>
      </c>
      <c r="H569" s="10">
        <f t="shared" si="42"/>
        <v>12.732395447351628</v>
      </c>
      <c r="K569" s="11" t="str">
        <f>_xlfn.XLOOKUP(F569,Ref!$B$3:$B$12,Ref!$C$3:$C$12,"",1)</f>
        <v/>
      </c>
      <c r="L569" s="11">
        <f>_xlfn.XLOOKUP(G569,Ref!$B$3:$B$12,Ref!$C$3:$C$12,"",1)</f>
        <v>1</v>
      </c>
      <c r="M569" s="11">
        <f>_xlfn.XLOOKUP(H569,Ref!$B$3:$B$12,Ref!$C$3:$C$12,"",1)</f>
        <v>1</v>
      </c>
    </row>
    <row r="570" spans="2:13" x14ac:dyDescent="0.25">
      <c r="B570" s="15" t="s">
        <v>12</v>
      </c>
      <c r="C570" s="9"/>
      <c r="D570" s="9">
        <v>31.5</v>
      </c>
      <c r="E570" s="10">
        <v>34.799999999999997</v>
      </c>
      <c r="F570" s="9" t="str">
        <f t="shared" si="40"/>
        <v/>
      </c>
      <c r="G570" s="9">
        <f t="shared" si="41"/>
        <v>10.026761414789407</v>
      </c>
      <c r="H570" s="10">
        <f t="shared" si="42"/>
        <v>11.077184039195915</v>
      </c>
      <c r="K570" s="11" t="str">
        <f>_xlfn.XLOOKUP(F570,Ref!$B$3:$B$12,Ref!$C$3:$C$12,"",1)</f>
        <v/>
      </c>
      <c r="L570" s="11">
        <f>_xlfn.XLOOKUP(G570,Ref!$B$3:$B$12,Ref!$C$3:$C$12,"",1)</f>
        <v>1</v>
      </c>
      <c r="M570" s="11">
        <f>_xlfn.XLOOKUP(H570,Ref!$B$3:$B$12,Ref!$C$3:$C$12,"",1)</f>
        <v>1</v>
      </c>
    </row>
    <row r="571" spans="2:13" x14ac:dyDescent="0.25">
      <c r="B571" s="15" t="s">
        <v>10</v>
      </c>
      <c r="C571" s="9"/>
      <c r="D571" s="9">
        <v>33.299999999999997</v>
      </c>
      <c r="E571" s="10">
        <v>37.700000000000003</v>
      </c>
      <c r="F571" s="9" t="str">
        <f t="shared" si="40"/>
        <v/>
      </c>
      <c r="G571" s="9">
        <f t="shared" si="41"/>
        <v>10.599719209920229</v>
      </c>
      <c r="H571" s="10">
        <f t="shared" si="42"/>
        <v>12.000282709128909</v>
      </c>
      <c r="K571" s="11" t="str">
        <f>_xlfn.XLOOKUP(F571,Ref!$B$3:$B$12,Ref!$C$3:$C$12,"",1)</f>
        <v/>
      </c>
      <c r="L571" s="11">
        <f>_xlfn.XLOOKUP(G571,Ref!$B$3:$B$12,Ref!$C$3:$C$12,"",1)</f>
        <v>1</v>
      </c>
      <c r="M571" s="11">
        <f>_xlfn.XLOOKUP(H571,Ref!$B$3:$B$12,Ref!$C$3:$C$12,"",1)</f>
        <v>1</v>
      </c>
    </row>
    <row r="572" spans="2:13" x14ac:dyDescent="0.25">
      <c r="B572" s="15" t="s">
        <v>67</v>
      </c>
      <c r="C572" s="9"/>
      <c r="D572" s="9"/>
      <c r="E572" s="10">
        <v>33.4</v>
      </c>
      <c r="F572" s="9" t="str">
        <f t="shared" si="40"/>
        <v/>
      </c>
      <c r="G572" s="9" t="str">
        <f t="shared" si="41"/>
        <v/>
      </c>
      <c r="H572" s="10">
        <f t="shared" si="42"/>
        <v>10.631550198538608</v>
      </c>
      <c r="K572" s="11" t="str">
        <f>_xlfn.XLOOKUP(F572,Ref!$B$3:$B$12,Ref!$C$3:$C$12,"",1)</f>
        <v/>
      </c>
      <c r="L572" s="11" t="str">
        <f>_xlfn.XLOOKUP(G572,Ref!$B$3:$B$12,Ref!$C$3:$C$12,"",1)</f>
        <v/>
      </c>
      <c r="M572" s="11">
        <f>_xlfn.XLOOKUP(H572,Ref!$B$3:$B$12,Ref!$C$3:$C$12,"",1)</f>
        <v>1</v>
      </c>
    </row>
    <row r="573" spans="2:13" x14ac:dyDescent="0.25">
      <c r="B573" s="15" t="s">
        <v>68</v>
      </c>
      <c r="C573" s="9">
        <v>135.5</v>
      </c>
      <c r="D573" s="9">
        <v>138</v>
      </c>
      <c r="E573" s="10">
        <v>147.69999999999999</v>
      </c>
      <c r="F573" s="9">
        <f t="shared" si="40"/>
        <v>43.130989577903641</v>
      </c>
      <c r="G573" s="9">
        <f t="shared" si="41"/>
        <v>43.926764293363114</v>
      </c>
      <c r="H573" s="10">
        <f t="shared" si="42"/>
        <v>47.014370189345883</v>
      </c>
      <c r="K573" s="11">
        <f>_xlfn.XLOOKUP(F573,Ref!$B$3:$B$12,Ref!$C$3:$C$12,"",1)</f>
        <v>4</v>
      </c>
      <c r="L573" s="11">
        <f>_xlfn.XLOOKUP(G573,Ref!$B$3:$B$12,Ref!$C$3:$C$12,"",1)</f>
        <v>4</v>
      </c>
      <c r="M573" s="11">
        <f>_xlfn.XLOOKUP(H573,Ref!$B$3:$B$12,Ref!$C$3:$C$12,"",1)</f>
        <v>4</v>
      </c>
    </row>
    <row r="574" spans="2:13" x14ac:dyDescent="0.25">
      <c r="B574" s="15" t="s">
        <v>26</v>
      </c>
      <c r="C574" s="9">
        <v>158.5</v>
      </c>
      <c r="D574" s="9">
        <v>163</v>
      </c>
      <c r="E574" s="10">
        <v>173.3</v>
      </c>
      <c r="F574" s="9">
        <f t="shared" si="40"/>
        <v>50.452116960130823</v>
      </c>
      <c r="G574" s="9">
        <f t="shared" si="41"/>
        <v>51.884511447957884</v>
      </c>
      <c r="H574" s="10">
        <f t="shared" si="42"/>
        <v>55.163103275650926</v>
      </c>
      <c r="K574" s="11">
        <f>_xlfn.XLOOKUP(F574,Ref!$B$3:$B$12,Ref!$C$3:$C$12,"",1)</f>
        <v>5</v>
      </c>
      <c r="L574" s="11">
        <f>_xlfn.XLOOKUP(G574,Ref!$B$3:$B$12,Ref!$C$3:$C$12,"",1)</f>
        <v>5</v>
      </c>
      <c r="M574" s="11">
        <f>_xlfn.XLOOKUP(H574,Ref!$B$3:$B$12,Ref!$C$3:$C$12,"",1)</f>
        <v>5</v>
      </c>
    </row>
    <row r="575" spans="2:13" x14ac:dyDescent="0.25">
      <c r="B575" s="15" t="s">
        <v>64</v>
      </c>
      <c r="C575" s="9">
        <v>88.3</v>
      </c>
      <c r="D575" s="9">
        <v>0</v>
      </c>
      <c r="E575" s="10">
        <v>0</v>
      </c>
      <c r="F575" s="9">
        <f t="shared" si="40"/>
        <v>28.106762950028717</v>
      </c>
      <c r="G575" s="9">
        <f t="shared" si="41"/>
        <v>0</v>
      </c>
      <c r="H575" s="10">
        <f t="shared" si="42"/>
        <v>0</v>
      </c>
      <c r="K575" s="11">
        <f>_xlfn.XLOOKUP(F575,Ref!$B$3:$B$12,Ref!$C$3:$C$12,"",1)</f>
        <v>2</v>
      </c>
      <c r="L575" s="11" t="str">
        <f>_xlfn.XLOOKUP(G575,Ref!$B$3:$B$12,Ref!$C$3:$C$12,"",1)</f>
        <v>Morta</v>
      </c>
      <c r="M575" s="11" t="str">
        <f>_xlfn.XLOOKUP(H575,Ref!$B$3:$B$12,Ref!$C$3:$C$12,"",1)</f>
        <v>Morta</v>
      </c>
    </row>
    <row r="576" spans="2:13" x14ac:dyDescent="0.25">
      <c r="B576" s="15" t="s">
        <v>28</v>
      </c>
      <c r="C576" s="9">
        <v>64</v>
      </c>
      <c r="D576" s="9">
        <v>65.5</v>
      </c>
      <c r="E576" s="10">
        <v>67.599999999999994</v>
      </c>
      <c r="F576" s="9">
        <f t="shared" si="40"/>
        <v>20.371832715762604</v>
      </c>
      <c r="G576" s="9">
        <f t="shared" si="41"/>
        <v>20.84929754503829</v>
      </c>
      <c r="H576" s="10">
        <f t="shared" si="42"/>
        <v>21.517748306024249</v>
      </c>
      <c r="K576" s="11">
        <f>_xlfn.XLOOKUP(F576,Ref!$B$3:$B$12,Ref!$C$3:$C$12,"",1)</f>
        <v>2</v>
      </c>
      <c r="L576" s="11">
        <f>_xlfn.XLOOKUP(G576,Ref!$B$3:$B$12,Ref!$C$3:$C$12,"",1)</f>
        <v>2</v>
      </c>
      <c r="M576" s="11">
        <f>_xlfn.XLOOKUP(H576,Ref!$B$3:$B$12,Ref!$C$3:$C$12,"",1)</f>
        <v>2</v>
      </c>
    </row>
    <row r="577" spans="2:13" x14ac:dyDescent="0.25">
      <c r="B577" s="15" t="s">
        <v>6</v>
      </c>
      <c r="C577" s="9">
        <v>95.3</v>
      </c>
      <c r="D577" s="9">
        <v>97</v>
      </c>
      <c r="E577" s="10">
        <v>97</v>
      </c>
      <c r="F577" s="9">
        <f t="shared" si="40"/>
        <v>30.334932153315251</v>
      </c>
      <c r="G577" s="9">
        <f t="shared" si="41"/>
        <v>30.876058959827695</v>
      </c>
      <c r="H577" s="10">
        <f t="shared" si="42"/>
        <v>30.876058959827695</v>
      </c>
      <c r="K577" s="11">
        <f>_xlfn.XLOOKUP(F577,Ref!$B$3:$B$12,Ref!$C$3:$C$12,"",1)</f>
        <v>3</v>
      </c>
      <c r="L577" s="11">
        <f>_xlfn.XLOOKUP(G577,Ref!$B$3:$B$12,Ref!$C$3:$C$12,"",1)</f>
        <v>3</v>
      </c>
      <c r="M577" s="11">
        <f>_xlfn.XLOOKUP(H577,Ref!$B$3:$B$12,Ref!$C$3:$C$12,"",1)</f>
        <v>3</v>
      </c>
    </row>
    <row r="578" spans="2:13" x14ac:dyDescent="0.25">
      <c r="B578" s="15" t="s">
        <v>10</v>
      </c>
      <c r="C578" s="9">
        <v>107</v>
      </c>
      <c r="D578" s="9">
        <v>108.3</v>
      </c>
      <c r="E578" s="10">
        <v>111.7</v>
      </c>
      <c r="F578" s="9">
        <f t="shared" si="40"/>
        <v>34.0591578216656</v>
      </c>
      <c r="G578" s="9">
        <f t="shared" si="41"/>
        <v>34.472960673704527</v>
      </c>
      <c r="H578" s="10">
        <f t="shared" si="42"/>
        <v>35.555214286729424</v>
      </c>
      <c r="K578" s="11">
        <f>_xlfn.XLOOKUP(F578,Ref!$B$3:$B$12,Ref!$C$3:$C$12,"",1)</f>
        <v>3</v>
      </c>
      <c r="L578" s="11">
        <f>_xlfn.XLOOKUP(G578,Ref!$B$3:$B$12,Ref!$C$3:$C$12,"",1)</f>
        <v>3</v>
      </c>
      <c r="M578" s="11">
        <f>_xlfn.XLOOKUP(H578,Ref!$B$3:$B$12,Ref!$C$3:$C$12,"",1)</f>
        <v>3</v>
      </c>
    </row>
    <row r="579" spans="2:13" x14ac:dyDescent="0.25">
      <c r="B579" s="15" t="s">
        <v>28</v>
      </c>
      <c r="C579" s="9">
        <v>62.4</v>
      </c>
      <c r="D579" s="9">
        <v>62.4</v>
      </c>
      <c r="E579" s="10">
        <v>73.099999999999994</v>
      </c>
      <c r="F579" s="9">
        <f t="shared" si="40"/>
        <v>19.862536897868537</v>
      </c>
      <c r="G579" s="9">
        <f t="shared" si="41"/>
        <v>19.862536897868537</v>
      </c>
      <c r="H579" s="10">
        <f t="shared" si="42"/>
        <v>23.268452680035097</v>
      </c>
      <c r="K579" s="11">
        <f>_xlfn.XLOOKUP(F579,Ref!$B$3:$B$12,Ref!$C$3:$C$12,"",1)</f>
        <v>1</v>
      </c>
      <c r="L579" s="11">
        <f>_xlfn.XLOOKUP(G579,Ref!$B$3:$B$12,Ref!$C$3:$C$12,"",1)</f>
        <v>1</v>
      </c>
      <c r="M579" s="11">
        <f>_xlfn.XLOOKUP(H579,Ref!$B$3:$B$12,Ref!$C$3:$C$12,"",1)</f>
        <v>2</v>
      </c>
    </row>
    <row r="580" spans="2:13" x14ac:dyDescent="0.25">
      <c r="B580" s="15" t="s">
        <v>28</v>
      </c>
      <c r="C580" s="9">
        <v>78.900000000000006</v>
      </c>
      <c r="D580" s="9">
        <v>78.5</v>
      </c>
      <c r="E580" s="10">
        <v>78.900000000000006</v>
      </c>
      <c r="F580" s="9">
        <f t="shared" si="40"/>
        <v>25.114650019901088</v>
      </c>
      <c r="G580" s="9">
        <f t="shared" si="41"/>
        <v>24.98732606542757</v>
      </c>
      <c r="H580" s="10">
        <f t="shared" si="42"/>
        <v>25.114650019901088</v>
      </c>
      <c r="K580" s="11">
        <f>_xlfn.XLOOKUP(F580,Ref!$B$3:$B$12,Ref!$C$3:$C$12,"",1)</f>
        <v>2</v>
      </c>
      <c r="L580" s="11">
        <f>_xlfn.XLOOKUP(G580,Ref!$B$3:$B$12,Ref!$C$3:$C$12,"",1)</f>
        <v>2</v>
      </c>
      <c r="M580" s="11">
        <f>_xlfn.XLOOKUP(H580,Ref!$B$3:$B$12,Ref!$C$3:$C$12,"",1)</f>
        <v>2</v>
      </c>
    </row>
    <row r="581" spans="2:13" x14ac:dyDescent="0.25">
      <c r="B581" s="15" t="s">
        <v>42</v>
      </c>
      <c r="C581" s="9">
        <v>75.400000000000006</v>
      </c>
      <c r="D581" s="9">
        <v>0</v>
      </c>
      <c r="E581" s="10">
        <v>0</v>
      </c>
      <c r="F581" s="9">
        <f t="shared" si="40"/>
        <v>24.000565418257818</v>
      </c>
      <c r="G581" s="9">
        <f t="shared" si="41"/>
        <v>0</v>
      </c>
      <c r="H581" s="10">
        <f t="shared" si="42"/>
        <v>0</v>
      </c>
      <c r="K581" s="11">
        <f>_xlfn.XLOOKUP(F581,Ref!$B$3:$B$12,Ref!$C$3:$C$12,"",1)</f>
        <v>2</v>
      </c>
      <c r="L581" s="11" t="str">
        <f>_xlfn.XLOOKUP(G581,Ref!$B$3:$B$12,Ref!$C$3:$C$12,"",1)</f>
        <v>Morta</v>
      </c>
      <c r="M581" s="11" t="str">
        <f>_xlfn.XLOOKUP(H581,Ref!$B$3:$B$12,Ref!$C$3:$C$12,"",1)</f>
        <v>Morta</v>
      </c>
    </row>
    <row r="582" spans="2:13" x14ac:dyDescent="0.25">
      <c r="B582" s="15" t="s">
        <v>10</v>
      </c>
      <c r="C582" s="9">
        <v>39.9</v>
      </c>
      <c r="D582" s="9">
        <v>42.8</v>
      </c>
      <c r="E582" s="10">
        <v>45.5</v>
      </c>
      <c r="F582" s="9">
        <f t="shared" si="40"/>
        <v>12.700564458733249</v>
      </c>
      <c r="G582" s="9">
        <f t="shared" si="41"/>
        <v>13.623663128666241</v>
      </c>
      <c r="H582" s="10">
        <f t="shared" si="42"/>
        <v>14.483099821362476</v>
      </c>
      <c r="K582" s="11">
        <f>_xlfn.XLOOKUP(F582,Ref!$B$3:$B$12,Ref!$C$3:$C$12,"",1)</f>
        <v>1</v>
      </c>
      <c r="L582" s="11">
        <f>_xlfn.XLOOKUP(G582,Ref!$B$3:$B$12,Ref!$C$3:$C$12,"",1)</f>
        <v>1</v>
      </c>
      <c r="M582" s="11">
        <f>_xlfn.XLOOKUP(H582,Ref!$B$3:$B$12,Ref!$C$3:$C$12,"",1)</f>
        <v>1</v>
      </c>
    </row>
    <row r="583" spans="2:13" x14ac:dyDescent="0.25">
      <c r="B583" s="15" t="s">
        <v>12</v>
      </c>
      <c r="C583" s="9">
        <v>53.3</v>
      </c>
      <c r="D583" s="9">
        <v>58.4</v>
      </c>
      <c r="E583" s="10">
        <v>63.3</v>
      </c>
      <c r="F583" s="9">
        <f t="shared" si="40"/>
        <v>16.965916933596041</v>
      </c>
      <c r="G583" s="9">
        <f t="shared" si="41"/>
        <v>18.589297353133375</v>
      </c>
      <c r="H583" s="10">
        <f t="shared" si="42"/>
        <v>20.14901579543395</v>
      </c>
      <c r="K583" s="11">
        <f>_xlfn.XLOOKUP(F583,Ref!$B$3:$B$12,Ref!$C$3:$C$12,"",1)</f>
        <v>1</v>
      </c>
      <c r="L583" s="11">
        <f>_xlfn.XLOOKUP(G583,Ref!$B$3:$B$12,Ref!$C$3:$C$12,"",1)</f>
        <v>1</v>
      </c>
      <c r="M583" s="11">
        <f>_xlfn.XLOOKUP(H583,Ref!$B$3:$B$12,Ref!$C$3:$C$12,"",1)</f>
        <v>2</v>
      </c>
    </row>
    <row r="584" spans="2:13" x14ac:dyDescent="0.25">
      <c r="B584" s="15" t="s">
        <v>28</v>
      </c>
      <c r="C584" s="9">
        <v>69.3</v>
      </c>
      <c r="D584" s="9">
        <v>67.8</v>
      </c>
      <c r="E584" s="10">
        <v>69.3</v>
      </c>
      <c r="F584" s="9">
        <f t="shared" si="40"/>
        <v>22.058875112536693</v>
      </c>
      <c r="G584" s="9">
        <f t="shared" si="41"/>
        <v>21.581410283261008</v>
      </c>
      <c r="H584" s="10">
        <f t="shared" si="42"/>
        <v>22.058875112536693</v>
      </c>
      <c r="K584" s="11">
        <f>_xlfn.XLOOKUP(F584,Ref!$B$3:$B$12,Ref!$C$3:$C$12,"",1)</f>
        <v>2</v>
      </c>
      <c r="L584" s="11">
        <f>_xlfn.XLOOKUP(G584,Ref!$B$3:$B$12,Ref!$C$3:$C$12,"",1)</f>
        <v>2</v>
      </c>
      <c r="M584" s="11">
        <f>_xlfn.XLOOKUP(H584,Ref!$B$3:$B$12,Ref!$C$3:$C$12,"",1)</f>
        <v>2</v>
      </c>
    </row>
    <row r="585" spans="2:13" x14ac:dyDescent="0.25">
      <c r="B585" s="15" t="s">
        <v>28</v>
      </c>
      <c r="C585" s="9"/>
      <c r="D585" s="9">
        <v>34.700000000000003</v>
      </c>
      <c r="E585" s="10">
        <v>36</v>
      </c>
      <c r="F585" s="9" t="str">
        <f t="shared" si="40"/>
        <v/>
      </c>
      <c r="G585" s="9">
        <f t="shared" si="41"/>
        <v>11.045353050577537</v>
      </c>
      <c r="H585" s="10">
        <f t="shared" si="42"/>
        <v>11.459155902616464</v>
      </c>
      <c r="K585" s="11" t="str">
        <f>_xlfn.XLOOKUP(F585,Ref!$B$3:$B$12,Ref!$C$3:$C$12,"",1)</f>
        <v/>
      </c>
      <c r="L585" s="11">
        <f>_xlfn.XLOOKUP(G585,Ref!$B$3:$B$12,Ref!$C$3:$C$12,"",1)</f>
        <v>1</v>
      </c>
      <c r="M585" s="11">
        <f>_xlfn.XLOOKUP(H585,Ref!$B$3:$B$12,Ref!$C$3:$C$12,"",1)</f>
        <v>1</v>
      </c>
    </row>
    <row r="586" spans="2:13" x14ac:dyDescent="0.25">
      <c r="B586" s="15" t="s">
        <v>26</v>
      </c>
      <c r="C586" s="9">
        <v>223</v>
      </c>
      <c r="D586" s="9">
        <v>234</v>
      </c>
      <c r="E586" s="10">
        <v>241</v>
      </c>
      <c r="F586" s="9">
        <f t="shared" si="40"/>
        <v>70.983104618985323</v>
      </c>
      <c r="G586" s="9">
        <f t="shared" si="41"/>
        <v>74.484513367007025</v>
      </c>
      <c r="H586" s="10">
        <f t="shared" si="42"/>
        <v>76.712682570293552</v>
      </c>
      <c r="K586" s="11">
        <f>_xlfn.XLOOKUP(F586,Ref!$B$3:$B$12,Ref!$C$3:$C$12,"",1)</f>
        <v>7</v>
      </c>
      <c r="L586" s="11">
        <f>_xlfn.XLOOKUP(G586,Ref!$B$3:$B$12,Ref!$C$3:$C$12,"",1)</f>
        <v>7</v>
      </c>
      <c r="M586" s="11">
        <f>_xlfn.XLOOKUP(H586,Ref!$B$3:$B$12,Ref!$C$3:$C$12,"",1)</f>
        <v>7</v>
      </c>
    </row>
    <row r="587" spans="2:13" x14ac:dyDescent="0.25">
      <c r="B587" s="15" t="s">
        <v>42</v>
      </c>
      <c r="C587" s="9">
        <v>92</v>
      </c>
      <c r="D587" s="9">
        <v>92.2</v>
      </c>
      <c r="E587" s="10">
        <v>92.8</v>
      </c>
      <c r="F587" s="9">
        <f t="shared" si="40"/>
        <v>29.284509528908742</v>
      </c>
      <c r="G587" s="9">
        <f t="shared" si="41"/>
        <v>29.348171506145501</v>
      </c>
      <c r="H587" s="10">
        <f t="shared" si="42"/>
        <v>29.539157437855774</v>
      </c>
      <c r="K587" s="11">
        <f>_xlfn.XLOOKUP(F587,Ref!$B$3:$B$12,Ref!$C$3:$C$12,"",1)</f>
        <v>2</v>
      </c>
      <c r="L587" s="11">
        <f>_xlfn.XLOOKUP(G587,Ref!$B$3:$B$12,Ref!$C$3:$C$12,"",1)</f>
        <v>2</v>
      </c>
      <c r="M587" s="11">
        <f>_xlfn.XLOOKUP(H587,Ref!$B$3:$B$12,Ref!$C$3:$C$12,"",1)</f>
        <v>2</v>
      </c>
    </row>
    <row r="588" spans="2:13" x14ac:dyDescent="0.25">
      <c r="B588" s="15" t="s">
        <v>24</v>
      </c>
      <c r="C588" s="9">
        <v>47.1</v>
      </c>
      <c r="D588" s="9">
        <v>54</v>
      </c>
      <c r="E588" s="10">
        <v>60</v>
      </c>
      <c r="F588" s="9">
        <f t="shared" si="40"/>
        <v>14.992395639256541</v>
      </c>
      <c r="G588" s="9">
        <f t="shared" si="41"/>
        <v>17.188733853924695</v>
      </c>
      <c r="H588" s="10">
        <f t="shared" si="42"/>
        <v>19.098593171027442</v>
      </c>
      <c r="K588" s="11">
        <f>_xlfn.XLOOKUP(F588,Ref!$B$3:$B$12,Ref!$C$3:$C$12,"",1)</f>
        <v>1</v>
      </c>
      <c r="L588" s="11">
        <f>_xlfn.XLOOKUP(G588,Ref!$B$3:$B$12,Ref!$C$3:$C$12,"",1)</f>
        <v>1</v>
      </c>
      <c r="M588" s="11">
        <f>_xlfn.XLOOKUP(H588,Ref!$B$3:$B$12,Ref!$C$3:$C$12,"",1)</f>
        <v>1</v>
      </c>
    </row>
    <row r="589" spans="2:13" x14ac:dyDescent="0.25">
      <c r="B589" s="15" t="s">
        <v>34</v>
      </c>
      <c r="C589" s="9">
        <v>75.900000000000006</v>
      </c>
      <c r="D589" s="9">
        <v>76</v>
      </c>
      <c r="E589" s="10">
        <v>76.8</v>
      </c>
      <c r="F589" s="9">
        <f t="shared" si="40"/>
        <v>24.159720361349716</v>
      </c>
      <c r="G589" s="9">
        <f t="shared" si="41"/>
        <v>24.191551349968091</v>
      </c>
      <c r="H589" s="10">
        <f t="shared" si="42"/>
        <v>24.446199258915122</v>
      </c>
      <c r="K589" s="11">
        <f>_xlfn.XLOOKUP(F589,Ref!$B$3:$B$12,Ref!$C$3:$C$12,"",1)</f>
        <v>2</v>
      </c>
      <c r="L589" s="11">
        <f>_xlfn.XLOOKUP(G589,Ref!$B$3:$B$12,Ref!$C$3:$C$12,"",1)</f>
        <v>2</v>
      </c>
      <c r="M589" s="11">
        <f>_xlfn.XLOOKUP(H589,Ref!$B$3:$B$12,Ref!$C$3:$C$12,"",1)</f>
        <v>2</v>
      </c>
    </row>
    <row r="590" spans="2:13" x14ac:dyDescent="0.25">
      <c r="B590" s="15" t="s">
        <v>12</v>
      </c>
      <c r="C590" s="9">
        <v>35.4</v>
      </c>
      <c r="D590" s="9">
        <v>36.700000000000003</v>
      </c>
      <c r="E590" s="10">
        <v>37.6</v>
      </c>
      <c r="F590" s="9">
        <f t="shared" si="40"/>
        <v>11.26816997090619</v>
      </c>
      <c r="G590" s="9">
        <f t="shared" si="41"/>
        <v>11.681972822945118</v>
      </c>
      <c r="H590" s="10">
        <f t="shared" si="42"/>
        <v>11.968451720510529</v>
      </c>
      <c r="K590" s="11">
        <f>_xlfn.XLOOKUP(F590,Ref!$B$3:$B$12,Ref!$C$3:$C$12,"",1)</f>
        <v>1</v>
      </c>
      <c r="L590" s="11">
        <f>_xlfn.XLOOKUP(G590,Ref!$B$3:$B$12,Ref!$C$3:$C$12,"",1)</f>
        <v>1</v>
      </c>
      <c r="M590" s="11">
        <f>_xlfn.XLOOKUP(H590,Ref!$B$3:$B$12,Ref!$C$3:$C$12,"",1)</f>
        <v>1</v>
      </c>
    </row>
    <row r="591" spans="2:13" x14ac:dyDescent="0.25">
      <c r="B591" s="15" t="s">
        <v>28</v>
      </c>
      <c r="C591" s="9">
        <v>65</v>
      </c>
      <c r="D591" s="9">
        <v>67.3</v>
      </c>
      <c r="E591" s="10">
        <v>68.400000000000006</v>
      </c>
      <c r="F591" s="9">
        <f t="shared" si="40"/>
        <v>20.690142601946395</v>
      </c>
      <c r="G591" s="9">
        <f t="shared" si="41"/>
        <v>21.422255340169112</v>
      </c>
      <c r="H591" s="10">
        <f t="shared" si="42"/>
        <v>21.772396214971284</v>
      </c>
      <c r="K591" s="11">
        <f>_xlfn.XLOOKUP(F591,Ref!$B$3:$B$12,Ref!$C$3:$C$12,"",1)</f>
        <v>2</v>
      </c>
      <c r="L591" s="11">
        <f>_xlfn.XLOOKUP(G591,Ref!$B$3:$B$12,Ref!$C$3:$C$12,"",1)</f>
        <v>2</v>
      </c>
      <c r="M591" s="11">
        <f>_xlfn.XLOOKUP(H591,Ref!$B$3:$B$12,Ref!$C$3:$C$12,"",1)</f>
        <v>2</v>
      </c>
    </row>
    <row r="592" spans="2:13" x14ac:dyDescent="0.25">
      <c r="B592" s="15" t="s">
        <v>28</v>
      </c>
      <c r="C592" s="9">
        <v>83.1</v>
      </c>
      <c r="D592" s="9">
        <v>83</v>
      </c>
      <c r="E592" s="10">
        <v>83.5</v>
      </c>
      <c r="F592" s="9">
        <f t="shared" si="40"/>
        <v>26.451551541873005</v>
      </c>
      <c r="G592" s="9">
        <f t="shared" si="41"/>
        <v>26.419720553254628</v>
      </c>
      <c r="H592" s="10">
        <f t="shared" si="42"/>
        <v>26.578875496346523</v>
      </c>
      <c r="K592" s="11">
        <f>_xlfn.XLOOKUP(F592,Ref!$B$3:$B$12,Ref!$C$3:$C$12,"",1)</f>
        <v>2</v>
      </c>
      <c r="L592" s="11">
        <f>_xlfn.XLOOKUP(G592,Ref!$B$3:$B$12,Ref!$C$3:$C$12,"",1)</f>
        <v>2</v>
      </c>
      <c r="M592" s="11">
        <f>_xlfn.XLOOKUP(H592,Ref!$B$3:$B$12,Ref!$C$3:$C$12,"",1)</f>
        <v>2</v>
      </c>
    </row>
    <row r="593" spans="2:13" x14ac:dyDescent="0.25">
      <c r="B593" s="15" t="s">
        <v>10</v>
      </c>
      <c r="C593" s="9">
        <v>63.5</v>
      </c>
      <c r="D593" s="9">
        <v>63.5</v>
      </c>
      <c r="E593" s="10">
        <v>63.7</v>
      </c>
      <c r="F593" s="9">
        <f t="shared" si="40"/>
        <v>20.212677772670709</v>
      </c>
      <c r="G593" s="9">
        <f t="shared" si="41"/>
        <v>20.212677772670709</v>
      </c>
      <c r="H593" s="10">
        <f t="shared" si="42"/>
        <v>20.276339749907468</v>
      </c>
      <c r="K593" s="11">
        <f>_xlfn.XLOOKUP(F593,Ref!$B$3:$B$12,Ref!$C$3:$C$12,"",1)</f>
        <v>2</v>
      </c>
      <c r="L593" s="11">
        <f>_xlfn.XLOOKUP(G593,Ref!$B$3:$B$12,Ref!$C$3:$C$12,"",1)</f>
        <v>2</v>
      </c>
      <c r="M593" s="11">
        <f>_xlfn.XLOOKUP(H593,Ref!$B$3:$B$12,Ref!$C$3:$C$12,"",1)</f>
        <v>2</v>
      </c>
    </row>
    <row r="594" spans="2:13" x14ac:dyDescent="0.25">
      <c r="B594" s="15" t="s">
        <v>26</v>
      </c>
      <c r="C594" s="9">
        <v>147.9</v>
      </c>
      <c r="D594" s="9">
        <v>157</v>
      </c>
      <c r="E594" s="10">
        <v>166.5</v>
      </c>
      <c r="F594" s="9">
        <f t="shared" si="40"/>
        <v>47.078032166582645</v>
      </c>
      <c r="G594" s="9">
        <f t="shared" si="41"/>
        <v>49.974652130855141</v>
      </c>
      <c r="H594" s="10">
        <f t="shared" si="42"/>
        <v>52.998596049601147</v>
      </c>
      <c r="K594" s="11">
        <f>_xlfn.XLOOKUP(F594,Ref!$B$3:$B$12,Ref!$C$3:$C$12,"",1)</f>
        <v>4</v>
      </c>
      <c r="L594" s="11">
        <f>_xlfn.XLOOKUP(G594,Ref!$B$3:$B$12,Ref!$C$3:$C$12,"",1)</f>
        <v>4</v>
      </c>
      <c r="M594" s="11">
        <f>_xlfn.XLOOKUP(H594,Ref!$B$3:$B$12,Ref!$C$3:$C$12,"",1)</f>
        <v>5</v>
      </c>
    </row>
    <row r="595" spans="2:13" x14ac:dyDescent="0.25">
      <c r="B595" s="15" t="s">
        <v>42</v>
      </c>
      <c r="C595" s="9">
        <v>72.8</v>
      </c>
      <c r="D595" s="9">
        <v>72.8</v>
      </c>
      <c r="E595" s="10">
        <v>76.8</v>
      </c>
      <c r="F595" s="9">
        <f t="shared" si="40"/>
        <v>23.17295971417996</v>
      </c>
      <c r="G595" s="9">
        <f t="shared" si="41"/>
        <v>23.17295971417996</v>
      </c>
      <c r="H595" s="10">
        <f t="shared" si="42"/>
        <v>24.446199258915122</v>
      </c>
      <c r="K595" s="11">
        <f>_xlfn.XLOOKUP(F595,Ref!$B$3:$B$12,Ref!$C$3:$C$12,"",1)</f>
        <v>2</v>
      </c>
      <c r="L595" s="11">
        <f>_xlfn.XLOOKUP(G595,Ref!$B$3:$B$12,Ref!$C$3:$C$12,"",1)</f>
        <v>2</v>
      </c>
      <c r="M595" s="11">
        <f>_xlfn.XLOOKUP(H595,Ref!$B$3:$B$12,Ref!$C$3:$C$12,"",1)</f>
        <v>2</v>
      </c>
    </row>
    <row r="596" spans="2:13" x14ac:dyDescent="0.25">
      <c r="B596" s="15" t="s">
        <v>12</v>
      </c>
      <c r="C596" s="9">
        <v>54.5</v>
      </c>
      <c r="D596" s="9">
        <v>59.9</v>
      </c>
      <c r="E596" s="10">
        <v>63.2</v>
      </c>
      <c r="F596" s="9">
        <f t="shared" si="40"/>
        <v>17.347888797016591</v>
      </c>
      <c r="G596" s="9">
        <f t="shared" si="41"/>
        <v>19.066762182409061</v>
      </c>
      <c r="H596" s="10">
        <f t="shared" si="42"/>
        <v>20.117184806815573</v>
      </c>
      <c r="K596" s="11">
        <f>_xlfn.XLOOKUP(F596,Ref!$B$3:$B$12,Ref!$C$3:$C$12,"",1)</f>
        <v>1</v>
      </c>
      <c r="L596" s="11">
        <f>_xlfn.XLOOKUP(G596,Ref!$B$3:$B$12,Ref!$C$3:$C$12,"",1)</f>
        <v>1</v>
      </c>
      <c r="M596" s="11">
        <f>_xlfn.XLOOKUP(H596,Ref!$B$3:$B$12,Ref!$C$3:$C$12,"",1)</f>
        <v>2</v>
      </c>
    </row>
    <row r="597" spans="2:13" x14ac:dyDescent="0.25">
      <c r="B597" s="15" t="s">
        <v>28</v>
      </c>
      <c r="C597" s="9">
        <v>80.5</v>
      </c>
      <c r="D597" s="9">
        <v>81.5</v>
      </c>
      <c r="E597" s="10">
        <v>82.2</v>
      </c>
      <c r="F597" s="9">
        <f t="shared" si="40"/>
        <v>25.623945837795151</v>
      </c>
      <c r="G597" s="9">
        <f t="shared" si="41"/>
        <v>25.942255723978942</v>
      </c>
      <c r="H597" s="10">
        <f t="shared" si="42"/>
        <v>26.165072644307596</v>
      </c>
      <c r="K597" s="11">
        <f>_xlfn.XLOOKUP(F597,Ref!$B$3:$B$12,Ref!$C$3:$C$12,"",1)</f>
        <v>2</v>
      </c>
      <c r="L597" s="11">
        <f>_xlfn.XLOOKUP(G597,Ref!$B$3:$B$12,Ref!$C$3:$C$12,"",1)</f>
        <v>2</v>
      </c>
      <c r="M597" s="11">
        <f>_xlfn.XLOOKUP(H597,Ref!$B$3:$B$12,Ref!$C$3:$C$12,"",1)</f>
        <v>2</v>
      </c>
    </row>
    <row r="598" spans="2:13" x14ac:dyDescent="0.25">
      <c r="B598" s="15" t="s">
        <v>40</v>
      </c>
      <c r="C598" s="9">
        <v>34.1</v>
      </c>
      <c r="D598" s="9">
        <v>35.299999999999997</v>
      </c>
      <c r="E598" s="10">
        <v>35.5</v>
      </c>
      <c r="F598" s="9">
        <f t="shared" si="40"/>
        <v>10.854367118867263</v>
      </c>
      <c r="G598" s="9">
        <f t="shared" si="41"/>
        <v>11.23633898228781</v>
      </c>
      <c r="H598" s="10">
        <f t="shared" si="42"/>
        <v>11.300000959524569</v>
      </c>
      <c r="K598" s="11">
        <f>_xlfn.XLOOKUP(F598,Ref!$B$3:$B$12,Ref!$C$3:$C$12,"",1)</f>
        <v>1</v>
      </c>
      <c r="L598" s="11">
        <f>_xlfn.XLOOKUP(G598,Ref!$B$3:$B$12,Ref!$C$3:$C$12,"",1)</f>
        <v>1</v>
      </c>
      <c r="M598" s="11">
        <f>_xlfn.XLOOKUP(H598,Ref!$B$3:$B$12,Ref!$C$3:$C$12,"",1)</f>
        <v>1</v>
      </c>
    </row>
    <row r="599" spans="2:13" x14ac:dyDescent="0.25">
      <c r="B599" s="15" t="s">
        <v>69</v>
      </c>
      <c r="C599" s="9"/>
      <c r="D599" s="9">
        <v>34.299999999999997</v>
      </c>
      <c r="E599" s="10">
        <v>40.200000000000003</v>
      </c>
      <c r="F599" s="9" t="str">
        <f t="shared" si="40"/>
        <v/>
      </c>
      <c r="G599" s="9">
        <f t="shared" si="41"/>
        <v>10.91802909610402</v>
      </c>
      <c r="H599" s="10">
        <f t="shared" si="42"/>
        <v>12.796057424588387</v>
      </c>
      <c r="K599" s="11" t="str">
        <f>_xlfn.XLOOKUP(F599,Ref!$B$3:$B$12,Ref!$C$3:$C$12,"",1)</f>
        <v/>
      </c>
      <c r="L599" s="11">
        <f>_xlfn.XLOOKUP(G599,Ref!$B$3:$B$12,Ref!$C$3:$C$12,"",1)</f>
        <v>1</v>
      </c>
      <c r="M599" s="11">
        <f>_xlfn.XLOOKUP(H599,Ref!$B$3:$B$12,Ref!$C$3:$C$12,"",1)</f>
        <v>1</v>
      </c>
    </row>
    <row r="600" spans="2:13" x14ac:dyDescent="0.25">
      <c r="B600" s="15" t="s">
        <v>24</v>
      </c>
      <c r="C600" s="9"/>
      <c r="D600" s="9"/>
      <c r="E600" s="10">
        <v>32.200000000000003</v>
      </c>
      <c r="F600" s="9" t="str">
        <f t="shared" si="40"/>
        <v/>
      </c>
      <c r="G600" s="9" t="str">
        <f t="shared" si="41"/>
        <v/>
      </c>
      <c r="H600" s="10">
        <f t="shared" si="42"/>
        <v>10.249578335118061</v>
      </c>
      <c r="K600" s="11" t="str">
        <f>_xlfn.XLOOKUP(F600,Ref!$B$3:$B$12,Ref!$C$3:$C$12,"",1)</f>
        <v/>
      </c>
      <c r="L600" s="11" t="str">
        <f>_xlfn.XLOOKUP(G600,Ref!$B$3:$B$12,Ref!$C$3:$C$12,"",1)</f>
        <v/>
      </c>
      <c r="M600" s="11">
        <f>_xlfn.XLOOKUP(H600,Ref!$B$3:$B$12,Ref!$C$3:$C$12,"",1)</f>
        <v>1</v>
      </c>
    </row>
    <row r="601" spans="2:13" x14ac:dyDescent="0.25">
      <c r="B601" s="15" t="s">
        <v>28</v>
      </c>
      <c r="C601" s="9">
        <v>99.6</v>
      </c>
      <c r="D601" s="9">
        <v>101</v>
      </c>
      <c r="E601" s="10">
        <v>102.3</v>
      </c>
      <c r="F601" s="9">
        <f t="shared" ref="F601:F658" si="43">IF(C601="", "", C601/PI())</f>
        <v>31.703664663905549</v>
      </c>
      <c r="G601" s="9">
        <f t="shared" ref="G601:G658" si="44">IF(D601="", "", D601/PI())</f>
        <v>32.149298504562857</v>
      </c>
      <c r="H601" s="10">
        <f t="shared" ref="H601:H658" si="45">IF(E601="", "", E601/PI())</f>
        <v>32.563101356601784</v>
      </c>
      <c r="K601" s="11">
        <f>_xlfn.XLOOKUP(F601,Ref!$B$3:$B$12,Ref!$C$3:$C$12,"",1)</f>
        <v>3</v>
      </c>
      <c r="L601" s="11">
        <f>_xlfn.XLOOKUP(G601,Ref!$B$3:$B$12,Ref!$C$3:$C$12,"",1)</f>
        <v>3</v>
      </c>
      <c r="M601" s="11">
        <f>_xlfn.XLOOKUP(H601,Ref!$B$3:$B$12,Ref!$C$3:$C$12,"",1)</f>
        <v>3</v>
      </c>
    </row>
    <row r="602" spans="2:13" x14ac:dyDescent="0.25">
      <c r="B602" s="15" t="s">
        <v>12</v>
      </c>
      <c r="C602" s="9">
        <v>50.6</v>
      </c>
      <c r="D602" s="9">
        <v>52.2</v>
      </c>
      <c r="E602" s="10">
        <v>53.3</v>
      </c>
      <c r="F602" s="9">
        <f t="shared" si="43"/>
        <v>16.10648024089981</v>
      </c>
      <c r="G602" s="9">
        <f t="shared" si="44"/>
        <v>16.615776058793873</v>
      </c>
      <c r="H602" s="10">
        <f t="shared" si="45"/>
        <v>16.965916933596041</v>
      </c>
      <c r="K602" s="11">
        <f>_xlfn.XLOOKUP(F602,Ref!$B$3:$B$12,Ref!$C$3:$C$12,"",1)</f>
        <v>1</v>
      </c>
      <c r="L602" s="11">
        <f>_xlfn.XLOOKUP(G602,Ref!$B$3:$B$12,Ref!$C$3:$C$12,"",1)</f>
        <v>1</v>
      </c>
      <c r="M602" s="11">
        <f>_xlfn.XLOOKUP(H602,Ref!$B$3:$B$12,Ref!$C$3:$C$12,"",1)</f>
        <v>1</v>
      </c>
    </row>
    <row r="603" spans="2:13" x14ac:dyDescent="0.25">
      <c r="B603" s="15" t="s">
        <v>39</v>
      </c>
      <c r="C603" s="9">
        <v>58.3</v>
      </c>
      <c r="D603" s="9">
        <v>64.5</v>
      </c>
      <c r="E603" s="10">
        <v>73.599999999999994</v>
      </c>
      <c r="F603" s="9">
        <f t="shared" si="43"/>
        <v>18.557466364514998</v>
      </c>
      <c r="G603" s="9">
        <f t="shared" si="44"/>
        <v>20.5309876588545</v>
      </c>
      <c r="H603" s="10">
        <f t="shared" si="45"/>
        <v>23.427607623126992</v>
      </c>
      <c r="K603" s="11">
        <f>_xlfn.XLOOKUP(F603,Ref!$B$3:$B$12,Ref!$C$3:$C$12,"",1)</f>
        <v>1</v>
      </c>
      <c r="L603" s="11">
        <f>_xlfn.XLOOKUP(G603,Ref!$B$3:$B$12,Ref!$C$3:$C$12,"",1)</f>
        <v>2</v>
      </c>
      <c r="M603" s="11">
        <f>_xlfn.XLOOKUP(H603,Ref!$B$3:$B$12,Ref!$C$3:$C$12,"",1)</f>
        <v>2</v>
      </c>
    </row>
    <row r="604" spans="2:13" x14ac:dyDescent="0.25">
      <c r="B604" s="15" t="s">
        <v>32</v>
      </c>
      <c r="C604" s="9">
        <v>39.700000000000003</v>
      </c>
      <c r="D604" s="9">
        <v>40.5</v>
      </c>
      <c r="E604" s="10">
        <v>41.4</v>
      </c>
      <c r="F604" s="9">
        <f t="shared" si="43"/>
        <v>12.636902481496492</v>
      </c>
      <c r="G604" s="9">
        <f t="shared" si="44"/>
        <v>12.891550390443523</v>
      </c>
      <c r="H604" s="10">
        <f t="shared" si="45"/>
        <v>13.178029288008934</v>
      </c>
      <c r="K604" s="11">
        <f>_xlfn.XLOOKUP(F604,Ref!$B$3:$B$12,Ref!$C$3:$C$12,"",1)</f>
        <v>1</v>
      </c>
      <c r="L604" s="11">
        <f>_xlfn.XLOOKUP(G604,Ref!$B$3:$B$12,Ref!$C$3:$C$12,"",1)</f>
        <v>1</v>
      </c>
      <c r="M604" s="11">
        <f>_xlfn.XLOOKUP(H604,Ref!$B$3:$B$12,Ref!$C$3:$C$12,"",1)</f>
        <v>1</v>
      </c>
    </row>
    <row r="605" spans="2:13" x14ac:dyDescent="0.25">
      <c r="B605" s="15" t="s">
        <v>10</v>
      </c>
      <c r="C605" s="9">
        <v>75.5</v>
      </c>
      <c r="D605" s="9">
        <v>77.8</v>
      </c>
      <c r="E605" s="10">
        <v>80</v>
      </c>
      <c r="F605" s="9">
        <f t="shared" si="43"/>
        <v>24.032396406876195</v>
      </c>
      <c r="G605" s="9">
        <f t="shared" si="44"/>
        <v>24.764509145098913</v>
      </c>
      <c r="H605" s="10">
        <f t="shared" si="45"/>
        <v>25.464790894703256</v>
      </c>
      <c r="K605" s="11">
        <f>_xlfn.XLOOKUP(F605,Ref!$B$3:$B$12,Ref!$C$3:$C$12,"",1)</f>
        <v>2</v>
      </c>
      <c r="L605" s="11">
        <f>_xlfn.XLOOKUP(G605,Ref!$B$3:$B$12,Ref!$C$3:$C$12,"",1)</f>
        <v>2</v>
      </c>
      <c r="M605" s="11">
        <f>_xlfn.XLOOKUP(H605,Ref!$B$3:$B$12,Ref!$C$3:$C$12,"",1)</f>
        <v>2</v>
      </c>
    </row>
    <row r="606" spans="2:13" x14ac:dyDescent="0.25">
      <c r="B606" s="15" t="s">
        <v>14</v>
      </c>
      <c r="C606" s="9">
        <v>48.9</v>
      </c>
      <c r="D606" s="9">
        <v>52.1</v>
      </c>
      <c r="E606" s="10">
        <v>55.3</v>
      </c>
      <c r="F606" s="9">
        <f t="shared" si="43"/>
        <v>15.565353434387363</v>
      </c>
      <c r="G606" s="9">
        <f t="shared" si="44"/>
        <v>16.583945070175496</v>
      </c>
      <c r="H606" s="10">
        <f t="shared" si="45"/>
        <v>17.602536705963622</v>
      </c>
      <c r="K606" s="11">
        <f>_xlfn.XLOOKUP(F606,Ref!$B$3:$B$12,Ref!$C$3:$C$12,"",1)</f>
        <v>1</v>
      </c>
      <c r="L606" s="11">
        <f>_xlfn.XLOOKUP(G606,Ref!$B$3:$B$12,Ref!$C$3:$C$12,"",1)</f>
        <v>1</v>
      </c>
      <c r="M606" s="11">
        <f>_xlfn.XLOOKUP(H606,Ref!$B$3:$B$12,Ref!$C$3:$C$12,"",1)</f>
        <v>1</v>
      </c>
    </row>
    <row r="607" spans="2:13" x14ac:dyDescent="0.25">
      <c r="B607" s="15" t="s">
        <v>61</v>
      </c>
      <c r="C607" s="9">
        <v>51.9</v>
      </c>
      <c r="D607" s="9">
        <v>53</v>
      </c>
      <c r="E607" s="10">
        <v>53.4</v>
      </c>
      <c r="F607" s="9">
        <f t="shared" si="43"/>
        <v>16.520283092938737</v>
      </c>
      <c r="G607" s="9">
        <f t="shared" si="44"/>
        <v>16.870423967740905</v>
      </c>
      <c r="H607" s="10">
        <f t="shared" si="45"/>
        <v>16.997747922214423</v>
      </c>
      <c r="K607" s="11">
        <f>_xlfn.XLOOKUP(F607,Ref!$B$3:$B$12,Ref!$C$3:$C$12,"",1)</f>
        <v>1</v>
      </c>
      <c r="L607" s="11">
        <f>_xlfn.XLOOKUP(G607,Ref!$B$3:$B$12,Ref!$C$3:$C$12,"",1)</f>
        <v>1</v>
      </c>
      <c r="M607" s="11">
        <f>_xlfn.XLOOKUP(H607,Ref!$B$3:$B$12,Ref!$C$3:$C$12,"",1)</f>
        <v>1</v>
      </c>
    </row>
    <row r="608" spans="2:13" x14ac:dyDescent="0.25">
      <c r="B608" s="15" t="s">
        <v>39</v>
      </c>
      <c r="C608" s="9">
        <v>33.200000000000003</v>
      </c>
      <c r="D608" s="9">
        <v>36.299999999999997</v>
      </c>
      <c r="E608" s="10">
        <v>37.9</v>
      </c>
      <c r="F608" s="9">
        <f t="shared" si="43"/>
        <v>10.567888221301851</v>
      </c>
      <c r="G608" s="9">
        <f t="shared" si="44"/>
        <v>11.554648868471601</v>
      </c>
      <c r="H608" s="10">
        <f t="shared" si="45"/>
        <v>12.063944686365666</v>
      </c>
      <c r="K608" s="11">
        <f>_xlfn.XLOOKUP(F608,Ref!$B$3:$B$12,Ref!$C$3:$C$12,"",1)</f>
        <v>1</v>
      </c>
      <c r="L608" s="11">
        <f>_xlfn.XLOOKUP(G608,Ref!$B$3:$B$12,Ref!$C$3:$C$12,"",1)</f>
        <v>1</v>
      </c>
      <c r="M608" s="11">
        <f>_xlfn.XLOOKUP(H608,Ref!$B$3:$B$12,Ref!$C$3:$C$12,"",1)</f>
        <v>1</v>
      </c>
    </row>
    <row r="609" spans="2:13" x14ac:dyDescent="0.25">
      <c r="B609" s="15" t="s">
        <v>40</v>
      </c>
      <c r="C609" s="9">
        <v>39.5</v>
      </c>
      <c r="D609" s="9">
        <v>40.700000000000003</v>
      </c>
      <c r="E609" s="10">
        <v>42.2</v>
      </c>
      <c r="F609" s="9">
        <f t="shared" si="43"/>
        <v>12.573240504259733</v>
      </c>
      <c r="G609" s="9">
        <f t="shared" si="44"/>
        <v>12.955212367680282</v>
      </c>
      <c r="H609" s="10">
        <f t="shared" si="45"/>
        <v>13.432677196955968</v>
      </c>
      <c r="K609" s="11">
        <f>_xlfn.XLOOKUP(F609,Ref!$B$3:$B$12,Ref!$C$3:$C$12,"",1)</f>
        <v>1</v>
      </c>
      <c r="L609" s="11">
        <f>_xlfn.XLOOKUP(G609,Ref!$B$3:$B$12,Ref!$C$3:$C$12,"",1)</f>
        <v>1</v>
      </c>
      <c r="M609" s="11">
        <f>_xlfn.XLOOKUP(H609,Ref!$B$3:$B$12,Ref!$C$3:$C$12,"",1)</f>
        <v>1</v>
      </c>
    </row>
    <row r="610" spans="2:13" x14ac:dyDescent="0.25">
      <c r="B610" s="15" t="s">
        <v>26</v>
      </c>
      <c r="C610" s="9">
        <v>211.5</v>
      </c>
      <c r="D610" s="9">
        <v>218</v>
      </c>
      <c r="E610" s="10">
        <v>222</v>
      </c>
      <c r="F610" s="9">
        <f t="shared" si="43"/>
        <v>67.322540927871728</v>
      </c>
      <c r="G610" s="9">
        <f t="shared" si="44"/>
        <v>69.391555188066363</v>
      </c>
      <c r="H610" s="10">
        <f t="shared" si="45"/>
        <v>70.664794732801525</v>
      </c>
      <c r="K610" s="11">
        <f>_xlfn.XLOOKUP(F610,Ref!$B$3:$B$12,Ref!$C$3:$C$12,"",1)</f>
        <v>6</v>
      </c>
      <c r="L610" s="11">
        <f>_xlfn.XLOOKUP(G610,Ref!$B$3:$B$12,Ref!$C$3:$C$12,"",1)</f>
        <v>6</v>
      </c>
      <c r="M610" s="11">
        <f>_xlfn.XLOOKUP(H610,Ref!$B$3:$B$12,Ref!$C$3:$C$12,"",1)</f>
        <v>7</v>
      </c>
    </row>
    <row r="611" spans="2:13" x14ac:dyDescent="0.25">
      <c r="B611" s="15" t="s">
        <v>8</v>
      </c>
      <c r="C611" s="9">
        <v>134</v>
      </c>
      <c r="D611" s="9">
        <v>135.19999999999999</v>
      </c>
      <c r="E611" s="10">
        <v>134.30000000000001</v>
      </c>
      <c r="F611" s="9">
        <f t="shared" si="43"/>
        <v>42.653524748627952</v>
      </c>
      <c r="G611" s="9">
        <f t="shared" si="44"/>
        <v>43.035496612048497</v>
      </c>
      <c r="H611" s="10">
        <f t="shared" si="45"/>
        <v>42.749017714483095</v>
      </c>
      <c r="K611" s="11">
        <f>_xlfn.XLOOKUP(F611,Ref!$B$3:$B$12,Ref!$C$3:$C$12,"",1)</f>
        <v>4</v>
      </c>
      <c r="L611" s="11">
        <f>_xlfn.XLOOKUP(G611,Ref!$B$3:$B$12,Ref!$C$3:$C$12,"",1)</f>
        <v>4</v>
      </c>
      <c r="M611" s="11">
        <f>_xlfn.XLOOKUP(H611,Ref!$B$3:$B$12,Ref!$C$3:$C$12,"",1)</f>
        <v>4</v>
      </c>
    </row>
    <row r="612" spans="2:13" x14ac:dyDescent="0.25">
      <c r="B612" s="15" t="s">
        <v>68</v>
      </c>
      <c r="C612" s="9">
        <v>117.7</v>
      </c>
      <c r="D612" s="9">
        <v>116.5</v>
      </c>
      <c r="E612" s="10">
        <v>124</v>
      </c>
      <c r="F612" s="9">
        <f t="shared" si="43"/>
        <v>37.465073603832167</v>
      </c>
      <c r="G612" s="9">
        <f t="shared" si="44"/>
        <v>37.083101740411614</v>
      </c>
      <c r="H612" s="10">
        <f t="shared" si="45"/>
        <v>39.470425886790046</v>
      </c>
      <c r="K612" s="11">
        <f>_xlfn.XLOOKUP(F612,Ref!$B$3:$B$12,Ref!$C$3:$C$12,"",1)</f>
        <v>3</v>
      </c>
      <c r="L612" s="11">
        <f>_xlfn.XLOOKUP(G612,Ref!$B$3:$B$12,Ref!$C$3:$C$12,"",1)</f>
        <v>3</v>
      </c>
      <c r="M612" s="11">
        <f>_xlfn.XLOOKUP(H612,Ref!$B$3:$B$12,Ref!$C$3:$C$12,"",1)</f>
        <v>3</v>
      </c>
    </row>
    <row r="613" spans="2:13" x14ac:dyDescent="0.25">
      <c r="B613" s="15" t="s">
        <v>68</v>
      </c>
      <c r="C613" s="9">
        <v>53</v>
      </c>
      <c r="D613" s="9">
        <v>55.5</v>
      </c>
      <c r="E613" s="10">
        <v>58.5</v>
      </c>
      <c r="F613" s="9">
        <f t="shared" si="43"/>
        <v>16.870423967740905</v>
      </c>
      <c r="G613" s="9">
        <f t="shared" si="44"/>
        <v>17.666198683200381</v>
      </c>
      <c r="H613" s="10">
        <f t="shared" si="45"/>
        <v>18.621128341751756</v>
      </c>
      <c r="K613" s="11">
        <f>_xlfn.XLOOKUP(F613,Ref!$B$3:$B$12,Ref!$C$3:$C$12,"",1)</f>
        <v>1</v>
      </c>
      <c r="L613" s="11">
        <f>_xlfn.XLOOKUP(G613,Ref!$B$3:$B$12,Ref!$C$3:$C$12,"",1)</f>
        <v>1</v>
      </c>
      <c r="M613" s="11">
        <f>_xlfn.XLOOKUP(H613,Ref!$B$3:$B$12,Ref!$C$3:$C$12,"",1)</f>
        <v>1</v>
      </c>
    </row>
    <row r="614" spans="2:13" x14ac:dyDescent="0.25">
      <c r="B614" s="15" t="s">
        <v>39</v>
      </c>
      <c r="C614" s="9">
        <v>52.5</v>
      </c>
      <c r="D614" s="9">
        <v>59.4</v>
      </c>
      <c r="E614" s="10">
        <v>67.5</v>
      </c>
      <c r="F614" s="9">
        <f t="shared" si="43"/>
        <v>16.71126902464901</v>
      </c>
      <c r="G614" s="9">
        <f t="shared" si="44"/>
        <v>18.907607239317166</v>
      </c>
      <c r="H614" s="10">
        <f t="shared" si="45"/>
        <v>21.485917317405871</v>
      </c>
      <c r="K614" s="11">
        <f>_xlfn.XLOOKUP(F614,Ref!$B$3:$B$12,Ref!$C$3:$C$12,"",1)</f>
        <v>1</v>
      </c>
      <c r="L614" s="11">
        <f>_xlfn.XLOOKUP(G614,Ref!$B$3:$B$12,Ref!$C$3:$C$12,"",1)</f>
        <v>1</v>
      </c>
      <c r="M614" s="11">
        <f>_xlfn.XLOOKUP(H614,Ref!$B$3:$B$12,Ref!$C$3:$C$12,"",1)</f>
        <v>2</v>
      </c>
    </row>
    <row r="615" spans="2:13" x14ac:dyDescent="0.25">
      <c r="B615" s="15" t="s">
        <v>8</v>
      </c>
      <c r="C615" s="9">
        <v>34</v>
      </c>
      <c r="D615" s="9">
        <v>36</v>
      </c>
      <c r="E615" s="10">
        <v>37.299999999999997</v>
      </c>
      <c r="F615" s="9">
        <f t="shared" si="43"/>
        <v>10.822536130248883</v>
      </c>
      <c r="G615" s="9">
        <f t="shared" si="44"/>
        <v>11.459155902616464</v>
      </c>
      <c r="H615" s="10">
        <f t="shared" si="45"/>
        <v>11.872958754655391</v>
      </c>
      <c r="K615" s="11">
        <f>_xlfn.XLOOKUP(F615,Ref!$B$3:$B$12,Ref!$C$3:$C$12,"",1)</f>
        <v>1</v>
      </c>
      <c r="L615" s="11">
        <f>_xlfn.XLOOKUP(G615,Ref!$B$3:$B$12,Ref!$C$3:$C$12,"",1)</f>
        <v>1</v>
      </c>
      <c r="M615" s="11">
        <f>_xlfn.XLOOKUP(H615,Ref!$B$3:$B$12,Ref!$C$3:$C$12,"",1)</f>
        <v>1</v>
      </c>
    </row>
    <row r="616" spans="2:13" x14ac:dyDescent="0.25">
      <c r="B616" s="15" t="s">
        <v>59</v>
      </c>
      <c r="C616" s="9">
        <v>42.9</v>
      </c>
      <c r="D616" s="9">
        <v>43.8</v>
      </c>
      <c r="E616" s="10">
        <v>43.9</v>
      </c>
      <c r="F616" s="9">
        <f t="shared" si="43"/>
        <v>13.65549411728462</v>
      </c>
      <c r="G616" s="9">
        <f t="shared" si="44"/>
        <v>13.941973014850031</v>
      </c>
      <c r="H616" s="10">
        <f t="shared" si="45"/>
        <v>13.973804003468411</v>
      </c>
      <c r="K616" s="11">
        <f>_xlfn.XLOOKUP(F616,Ref!$B$3:$B$12,Ref!$C$3:$C$12,"",1)</f>
        <v>1</v>
      </c>
      <c r="L616" s="11">
        <f>_xlfn.XLOOKUP(G616,Ref!$B$3:$B$12,Ref!$C$3:$C$12,"",1)</f>
        <v>1</v>
      </c>
      <c r="M616" s="11">
        <f>_xlfn.XLOOKUP(H616,Ref!$B$3:$B$12,Ref!$C$3:$C$12,"",1)</f>
        <v>1</v>
      </c>
    </row>
    <row r="617" spans="2:13" x14ac:dyDescent="0.25">
      <c r="B617" s="15" t="s">
        <v>30</v>
      </c>
      <c r="C617" s="9">
        <v>43.3</v>
      </c>
      <c r="D617" s="9">
        <v>50</v>
      </c>
      <c r="E617" s="10">
        <v>56.6</v>
      </c>
      <c r="F617" s="9">
        <f t="shared" si="43"/>
        <v>13.782818071758136</v>
      </c>
      <c r="G617" s="9">
        <f t="shared" si="44"/>
        <v>15.915494309189533</v>
      </c>
      <c r="H617" s="10">
        <f t="shared" si="45"/>
        <v>18.016339558002553</v>
      </c>
      <c r="K617" s="11">
        <f>_xlfn.XLOOKUP(F617,Ref!$B$3:$B$12,Ref!$C$3:$C$12,"",1)</f>
        <v>1</v>
      </c>
      <c r="L617" s="11">
        <f>_xlfn.XLOOKUP(G617,Ref!$B$3:$B$12,Ref!$C$3:$C$12,"",1)</f>
        <v>1</v>
      </c>
      <c r="M617" s="11">
        <f>_xlfn.XLOOKUP(H617,Ref!$B$3:$B$12,Ref!$C$3:$C$12,"",1)</f>
        <v>1</v>
      </c>
    </row>
    <row r="618" spans="2:13" x14ac:dyDescent="0.25">
      <c r="B618" s="15" t="s">
        <v>6</v>
      </c>
      <c r="C618" s="9">
        <v>34.299999999999997</v>
      </c>
      <c r="D618" s="9">
        <v>34.799999999999997</v>
      </c>
      <c r="E618" s="10">
        <v>35.299999999999997</v>
      </c>
      <c r="F618" s="9">
        <f t="shared" si="43"/>
        <v>10.91802909610402</v>
      </c>
      <c r="G618" s="9">
        <f t="shared" si="44"/>
        <v>11.077184039195915</v>
      </c>
      <c r="H618" s="10">
        <f t="shared" si="45"/>
        <v>11.23633898228781</v>
      </c>
      <c r="K618" s="11">
        <f>_xlfn.XLOOKUP(F618,Ref!$B$3:$B$12,Ref!$C$3:$C$12,"",1)</f>
        <v>1</v>
      </c>
      <c r="L618" s="11">
        <f>_xlfn.XLOOKUP(G618,Ref!$B$3:$B$12,Ref!$C$3:$C$12,"",1)</f>
        <v>1</v>
      </c>
      <c r="M618" s="11">
        <f>_xlfn.XLOOKUP(H618,Ref!$B$3:$B$12,Ref!$C$3:$C$12,"",1)</f>
        <v>1</v>
      </c>
    </row>
    <row r="619" spans="2:13" x14ac:dyDescent="0.25">
      <c r="B619" s="15" t="s">
        <v>40</v>
      </c>
      <c r="C619" s="9">
        <v>47.8</v>
      </c>
      <c r="D619" s="9">
        <v>50.5</v>
      </c>
      <c r="E619" s="10">
        <v>52.5</v>
      </c>
      <c r="F619" s="9">
        <f t="shared" si="43"/>
        <v>15.215212559585193</v>
      </c>
      <c r="G619" s="9">
        <f t="shared" si="44"/>
        <v>16.074649252281429</v>
      </c>
      <c r="H619" s="10">
        <f t="shared" si="45"/>
        <v>16.71126902464901</v>
      </c>
      <c r="K619" s="11">
        <f>_xlfn.XLOOKUP(F619,Ref!$B$3:$B$12,Ref!$C$3:$C$12,"",1)</f>
        <v>1</v>
      </c>
      <c r="L619" s="11">
        <f>_xlfn.XLOOKUP(G619,Ref!$B$3:$B$12,Ref!$C$3:$C$12,"",1)</f>
        <v>1</v>
      </c>
      <c r="M619" s="11">
        <f>_xlfn.XLOOKUP(H619,Ref!$B$3:$B$12,Ref!$C$3:$C$12,"",1)</f>
        <v>1</v>
      </c>
    </row>
    <row r="620" spans="2:13" x14ac:dyDescent="0.25">
      <c r="B620" s="15" t="s">
        <v>40</v>
      </c>
      <c r="C620" s="9">
        <v>48</v>
      </c>
      <c r="D620" s="9">
        <v>48.7</v>
      </c>
      <c r="E620" s="10">
        <v>48.7</v>
      </c>
      <c r="F620" s="9">
        <f t="shared" si="43"/>
        <v>15.278874536821952</v>
      </c>
      <c r="G620" s="9">
        <f t="shared" si="44"/>
        <v>15.501691457150606</v>
      </c>
      <c r="H620" s="10">
        <f t="shared" si="45"/>
        <v>15.501691457150606</v>
      </c>
      <c r="K620" s="11">
        <f>_xlfn.XLOOKUP(F620,Ref!$B$3:$B$12,Ref!$C$3:$C$12,"",1)</f>
        <v>1</v>
      </c>
      <c r="L620" s="11">
        <f>_xlfn.XLOOKUP(G620,Ref!$B$3:$B$12,Ref!$C$3:$C$12,"",1)</f>
        <v>1</v>
      </c>
      <c r="M620" s="11">
        <f>_xlfn.XLOOKUP(H620,Ref!$B$3:$B$12,Ref!$C$3:$C$12,"",1)</f>
        <v>1</v>
      </c>
    </row>
    <row r="621" spans="2:13" x14ac:dyDescent="0.25">
      <c r="B621" s="15" t="s">
        <v>10</v>
      </c>
      <c r="C621" s="9">
        <v>42.3</v>
      </c>
      <c r="D621" s="9">
        <v>42.4</v>
      </c>
      <c r="E621" s="10">
        <v>43.5</v>
      </c>
      <c r="F621" s="9">
        <f t="shared" si="43"/>
        <v>13.464508185574346</v>
      </c>
      <c r="G621" s="9">
        <f t="shared" si="44"/>
        <v>13.496339174192725</v>
      </c>
      <c r="H621" s="10">
        <f t="shared" si="45"/>
        <v>13.846480048994895</v>
      </c>
      <c r="K621" s="11">
        <f>_xlfn.XLOOKUP(F621,Ref!$B$3:$B$12,Ref!$C$3:$C$12,"",1)</f>
        <v>1</v>
      </c>
      <c r="L621" s="11">
        <f>_xlfn.XLOOKUP(G621,Ref!$B$3:$B$12,Ref!$C$3:$C$12,"",1)</f>
        <v>1</v>
      </c>
      <c r="M621" s="11">
        <f>_xlfn.XLOOKUP(H621,Ref!$B$3:$B$12,Ref!$C$3:$C$12,"",1)</f>
        <v>1</v>
      </c>
    </row>
    <row r="622" spans="2:13" x14ac:dyDescent="0.25">
      <c r="B622" s="15" t="s">
        <v>70</v>
      </c>
      <c r="C622" s="9">
        <v>61.9</v>
      </c>
      <c r="D622" s="9">
        <v>62.7</v>
      </c>
      <c r="E622" s="10">
        <v>64.599999999999994</v>
      </c>
      <c r="F622" s="9">
        <f t="shared" si="43"/>
        <v>19.703381954776642</v>
      </c>
      <c r="G622" s="9">
        <f t="shared" si="44"/>
        <v>19.958029863723677</v>
      </c>
      <c r="H622" s="10">
        <f t="shared" si="45"/>
        <v>20.562818647472877</v>
      </c>
      <c r="K622" s="11">
        <f>_xlfn.XLOOKUP(F622,Ref!$B$3:$B$12,Ref!$C$3:$C$12,"",1)</f>
        <v>1</v>
      </c>
      <c r="L622" s="11">
        <f>_xlfn.XLOOKUP(G622,Ref!$B$3:$B$12,Ref!$C$3:$C$12,"",1)</f>
        <v>1</v>
      </c>
      <c r="M622" s="11">
        <f>_xlfn.XLOOKUP(H622,Ref!$B$3:$B$12,Ref!$C$3:$C$12,"",1)</f>
        <v>2</v>
      </c>
    </row>
    <row r="623" spans="2:13" x14ac:dyDescent="0.25">
      <c r="B623" s="15" t="s">
        <v>8</v>
      </c>
      <c r="C623" s="9">
        <v>100.8</v>
      </c>
      <c r="D623" s="9">
        <v>101.7</v>
      </c>
      <c r="E623" s="10">
        <v>103.1</v>
      </c>
      <c r="F623" s="9">
        <f t="shared" si="43"/>
        <v>32.085636527326102</v>
      </c>
      <c r="G623" s="9">
        <f t="shared" si="44"/>
        <v>32.372115424891511</v>
      </c>
      <c r="H623" s="10">
        <f t="shared" si="45"/>
        <v>32.817749265548819</v>
      </c>
      <c r="K623" s="11">
        <f>_xlfn.XLOOKUP(F623,Ref!$B$3:$B$12,Ref!$C$3:$C$12,"",1)</f>
        <v>3</v>
      </c>
      <c r="L623" s="11">
        <f>_xlfn.XLOOKUP(G623,Ref!$B$3:$B$12,Ref!$C$3:$C$12,"",1)</f>
        <v>3</v>
      </c>
      <c r="M623" s="11">
        <f>_xlfn.XLOOKUP(H623,Ref!$B$3:$B$12,Ref!$C$3:$C$12,"",1)</f>
        <v>3</v>
      </c>
    </row>
    <row r="624" spans="2:13" x14ac:dyDescent="0.25">
      <c r="B624" s="15" t="s">
        <v>42</v>
      </c>
      <c r="C624" s="9">
        <v>47.4</v>
      </c>
      <c r="D624" s="9">
        <v>49.5</v>
      </c>
      <c r="E624" s="10">
        <v>49.5</v>
      </c>
      <c r="F624" s="9">
        <f t="shared" si="43"/>
        <v>15.087888605111678</v>
      </c>
      <c r="G624" s="9">
        <f t="shared" si="44"/>
        <v>15.756339366097638</v>
      </c>
      <c r="H624" s="10">
        <f t="shared" si="45"/>
        <v>15.756339366097638</v>
      </c>
      <c r="K624" s="11">
        <f>_xlfn.XLOOKUP(F624,Ref!$B$3:$B$12,Ref!$C$3:$C$12,"",1)</f>
        <v>1</v>
      </c>
      <c r="L624" s="11">
        <f>_xlfn.XLOOKUP(G624,Ref!$B$3:$B$12,Ref!$C$3:$C$12,"",1)</f>
        <v>1</v>
      </c>
      <c r="M624" s="11">
        <f>_xlfn.XLOOKUP(H624,Ref!$B$3:$B$12,Ref!$C$3:$C$12,"",1)</f>
        <v>1</v>
      </c>
    </row>
    <row r="625" spans="2:13" x14ac:dyDescent="0.25">
      <c r="B625" s="15" t="s">
        <v>12</v>
      </c>
      <c r="C625" s="9">
        <v>34.799999999999997</v>
      </c>
      <c r="D625" s="9">
        <v>36.5</v>
      </c>
      <c r="E625" s="10">
        <v>38.299999999999997</v>
      </c>
      <c r="F625" s="9">
        <f t="shared" si="43"/>
        <v>11.077184039195915</v>
      </c>
      <c r="G625" s="9">
        <f t="shared" si="44"/>
        <v>11.618310845708359</v>
      </c>
      <c r="H625" s="10">
        <f t="shared" si="45"/>
        <v>12.191268640839182</v>
      </c>
      <c r="K625" s="11">
        <f>_xlfn.XLOOKUP(F625,Ref!$B$3:$B$12,Ref!$C$3:$C$12,"",1)</f>
        <v>1</v>
      </c>
      <c r="L625" s="11">
        <f>_xlfn.XLOOKUP(G625,Ref!$B$3:$B$12,Ref!$C$3:$C$12,"",1)</f>
        <v>1</v>
      </c>
      <c r="M625" s="11">
        <f>_xlfn.XLOOKUP(H625,Ref!$B$3:$B$12,Ref!$C$3:$C$12,"",1)</f>
        <v>1</v>
      </c>
    </row>
    <row r="626" spans="2:13" x14ac:dyDescent="0.25">
      <c r="B626" s="15" t="s">
        <v>26</v>
      </c>
      <c r="C626" s="9">
        <v>135.4</v>
      </c>
      <c r="D626" s="9">
        <v>138.4</v>
      </c>
      <c r="E626" s="10">
        <v>141.6</v>
      </c>
      <c r="F626" s="9">
        <f t="shared" si="43"/>
        <v>43.09915858928526</v>
      </c>
      <c r="G626" s="9">
        <f t="shared" si="44"/>
        <v>44.054088247836631</v>
      </c>
      <c r="H626" s="10">
        <f t="shared" si="45"/>
        <v>45.072679883624758</v>
      </c>
      <c r="K626" s="11">
        <f>_xlfn.XLOOKUP(F626,Ref!$B$3:$B$12,Ref!$C$3:$C$12,"",1)</f>
        <v>4</v>
      </c>
      <c r="L626" s="11">
        <f>_xlfn.XLOOKUP(G626,Ref!$B$3:$B$12,Ref!$C$3:$C$12,"",1)</f>
        <v>4</v>
      </c>
      <c r="M626" s="11">
        <f>_xlfn.XLOOKUP(H626,Ref!$B$3:$B$12,Ref!$C$3:$C$12,"",1)</f>
        <v>4</v>
      </c>
    </row>
    <row r="627" spans="2:13" x14ac:dyDescent="0.25">
      <c r="B627" s="15" t="s">
        <v>6</v>
      </c>
      <c r="C627" s="9">
        <v>53.9</v>
      </c>
      <c r="D627" s="9">
        <v>55.1</v>
      </c>
      <c r="E627" s="10">
        <v>56.6</v>
      </c>
      <c r="F627" s="9">
        <f t="shared" si="43"/>
        <v>17.156902865306318</v>
      </c>
      <c r="G627" s="9">
        <f t="shared" si="44"/>
        <v>17.538874728726867</v>
      </c>
      <c r="H627" s="10">
        <f t="shared" si="45"/>
        <v>18.016339558002553</v>
      </c>
      <c r="K627" s="11">
        <f>_xlfn.XLOOKUP(F627,Ref!$B$3:$B$12,Ref!$C$3:$C$12,"",1)</f>
        <v>1</v>
      </c>
      <c r="L627" s="11">
        <f>_xlfn.XLOOKUP(G627,Ref!$B$3:$B$12,Ref!$C$3:$C$12,"",1)</f>
        <v>1</v>
      </c>
      <c r="M627" s="11">
        <f>_xlfn.XLOOKUP(H627,Ref!$B$3:$B$12,Ref!$C$3:$C$12,"",1)</f>
        <v>1</v>
      </c>
    </row>
    <row r="628" spans="2:13" x14ac:dyDescent="0.25">
      <c r="B628" s="15" t="s">
        <v>8</v>
      </c>
      <c r="C628" s="9">
        <v>53.4</v>
      </c>
      <c r="D628" s="9">
        <v>57</v>
      </c>
      <c r="E628" s="10">
        <v>60.2</v>
      </c>
      <c r="F628" s="9">
        <f t="shared" si="43"/>
        <v>16.997747922214423</v>
      </c>
      <c r="G628" s="9">
        <f t="shared" si="44"/>
        <v>18.143663512476071</v>
      </c>
      <c r="H628" s="10">
        <f t="shared" si="45"/>
        <v>19.162255148264201</v>
      </c>
      <c r="K628" s="11">
        <f>_xlfn.XLOOKUP(F628,Ref!$B$3:$B$12,Ref!$C$3:$C$12,"",1)</f>
        <v>1</v>
      </c>
      <c r="L628" s="11">
        <f>_xlfn.XLOOKUP(G628,Ref!$B$3:$B$12,Ref!$C$3:$C$12,"",1)</f>
        <v>1</v>
      </c>
      <c r="M628" s="11">
        <f>_xlfn.XLOOKUP(H628,Ref!$B$3:$B$12,Ref!$C$3:$C$12,"",1)</f>
        <v>1</v>
      </c>
    </row>
    <row r="629" spans="2:13" x14ac:dyDescent="0.25">
      <c r="B629" s="15" t="s">
        <v>27</v>
      </c>
      <c r="C629" s="9">
        <v>54.8</v>
      </c>
      <c r="D629" s="9">
        <v>58</v>
      </c>
      <c r="E629" s="10">
        <v>59</v>
      </c>
      <c r="F629" s="9">
        <f t="shared" si="43"/>
        <v>17.443381762871727</v>
      </c>
      <c r="G629" s="9">
        <f t="shared" si="44"/>
        <v>18.461973398659861</v>
      </c>
      <c r="H629" s="10">
        <f t="shared" si="45"/>
        <v>18.780283284843652</v>
      </c>
      <c r="K629" s="11">
        <f>_xlfn.XLOOKUP(F629,Ref!$B$3:$B$12,Ref!$C$3:$C$12,"",1)</f>
        <v>1</v>
      </c>
      <c r="L629" s="11">
        <f>_xlfn.XLOOKUP(G629,Ref!$B$3:$B$12,Ref!$C$3:$C$12,"",1)</f>
        <v>1</v>
      </c>
      <c r="M629" s="11">
        <f>_xlfn.XLOOKUP(H629,Ref!$B$3:$B$12,Ref!$C$3:$C$12,"",1)</f>
        <v>1</v>
      </c>
    </row>
    <row r="630" spans="2:13" x14ac:dyDescent="0.25">
      <c r="B630" s="15" t="s">
        <v>27</v>
      </c>
      <c r="C630" s="9">
        <v>48.8</v>
      </c>
      <c r="D630" s="9">
        <v>55</v>
      </c>
      <c r="E630" s="10">
        <v>56.5</v>
      </c>
      <c r="F630" s="9">
        <f t="shared" si="43"/>
        <v>15.533522445768984</v>
      </c>
      <c r="G630" s="9">
        <f t="shared" si="44"/>
        <v>17.507043740108486</v>
      </c>
      <c r="H630" s="10">
        <f t="shared" si="45"/>
        <v>17.984508569384175</v>
      </c>
      <c r="K630" s="11">
        <f>_xlfn.XLOOKUP(F630,Ref!$B$3:$B$12,Ref!$C$3:$C$12,"",1)</f>
        <v>1</v>
      </c>
      <c r="L630" s="11">
        <f>_xlfn.XLOOKUP(G630,Ref!$B$3:$B$12,Ref!$C$3:$C$12,"",1)</f>
        <v>1</v>
      </c>
      <c r="M630" s="11">
        <f>_xlfn.XLOOKUP(H630,Ref!$B$3:$B$12,Ref!$C$3:$C$12,"",1)</f>
        <v>1</v>
      </c>
    </row>
    <row r="631" spans="2:13" x14ac:dyDescent="0.25">
      <c r="B631" s="15" t="s">
        <v>40</v>
      </c>
      <c r="C631" s="9">
        <v>32.5</v>
      </c>
      <c r="D631" s="9">
        <v>31.5</v>
      </c>
      <c r="E631" s="10">
        <v>32.5</v>
      </c>
      <c r="F631" s="9">
        <f t="shared" si="43"/>
        <v>10.345071300973197</v>
      </c>
      <c r="G631" s="9">
        <f t="shared" si="44"/>
        <v>10.026761414789407</v>
      </c>
      <c r="H631" s="10">
        <f t="shared" si="45"/>
        <v>10.345071300973197</v>
      </c>
      <c r="K631" s="11">
        <f>_xlfn.XLOOKUP(F631,Ref!$B$3:$B$12,Ref!$C$3:$C$12,"",1)</f>
        <v>1</v>
      </c>
      <c r="L631" s="11">
        <f>_xlfn.XLOOKUP(G631,Ref!$B$3:$B$12,Ref!$C$3:$C$12,"",1)</f>
        <v>1</v>
      </c>
      <c r="M631" s="11">
        <f>_xlfn.XLOOKUP(H631,Ref!$B$3:$B$12,Ref!$C$3:$C$12,"",1)</f>
        <v>1</v>
      </c>
    </row>
    <row r="632" spans="2:13" x14ac:dyDescent="0.25">
      <c r="B632" s="15" t="s">
        <v>6</v>
      </c>
      <c r="C632" s="9">
        <v>60</v>
      </c>
      <c r="D632" s="9">
        <v>64.599999999999994</v>
      </c>
      <c r="E632" s="10">
        <v>67</v>
      </c>
      <c r="F632" s="9">
        <f t="shared" si="43"/>
        <v>19.098593171027442</v>
      </c>
      <c r="G632" s="9">
        <f t="shared" si="44"/>
        <v>20.562818647472877</v>
      </c>
      <c r="H632" s="10">
        <f t="shared" si="45"/>
        <v>21.326762374313976</v>
      </c>
      <c r="K632" s="11">
        <f>_xlfn.XLOOKUP(F632,Ref!$B$3:$B$12,Ref!$C$3:$C$12,"",1)</f>
        <v>1</v>
      </c>
      <c r="L632" s="11">
        <f>_xlfn.XLOOKUP(G632,Ref!$B$3:$B$12,Ref!$C$3:$C$12,"",1)</f>
        <v>2</v>
      </c>
      <c r="M632" s="11">
        <f>_xlfn.XLOOKUP(H632,Ref!$B$3:$B$12,Ref!$C$3:$C$12,"",1)</f>
        <v>2</v>
      </c>
    </row>
    <row r="633" spans="2:13" x14ac:dyDescent="0.25">
      <c r="B633" s="15" t="s">
        <v>34</v>
      </c>
      <c r="C633" s="9">
        <v>82.6</v>
      </c>
      <c r="D633" s="9">
        <v>83</v>
      </c>
      <c r="E633" s="10">
        <v>83</v>
      </c>
      <c r="F633" s="9">
        <f t="shared" si="43"/>
        <v>26.29239659878111</v>
      </c>
      <c r="G633" s="9">
        <f t="shared" si="44"/>
        <v>26.419720553254628</v>
      </c>
      <c r="H633" s="10">
        <f t="shared" si="45"/>
        <v>26.419720553254628</v>
      </c>
      <c r="K633" s="11">
        <f>_xlfn.XLOOKUP(F633,Ref!$B$3:$B$12,Ref!$C$3:$C$12,"",1)</f>
        <v>2</v>
      </c>
      <c r="L633" s="11">
        <f>_xlfn.XLOOKUP(G633,Ref!$B$3:$B$12,Ref!$C$3:$C$12,"",1)</f>
        <v>2</v>
      </c>
      <c r="M633" s="11">
        <f>_xlfn.XLOOKUP(H633,Ref!$B$3:$B$12,Ref!$C$3:$C$12,"",1)</f>
        <v>2</v>
      </c>
    </row>
    <row r="634" spans="2:13" x14ac:dyDescent="0.25">
      <c r="B634" s="15" t="s">
        <v>60</v>
      </c>
      <c r="C634" s="9"/>
      <c r="D634" s="9">
        <v>31.7</v>
      </c>
      <c r="E634" s="10">
        <v>36.4</v>
      </c>
      <c r="F634" s="9" t="str">
        <f t="shared" si="43"/>
        <v/>
      </c>
      <c r="G634" s="9">
        <f t="shared" si="44"/>
        <v>10.090423392026164</v>
      </c>
      <c r="H634" s="10">
        <f t="shared" si="45"/>
        <v>11.58647985708998</v>
      </c>
      <c r="K634" s="11" t="str">
        <f>_xlfn.XLOOKUP(F634,Ref!$B$3:$B$12,Ref!$C$3:$C$12,"",1)</f>
        <v/>
      </c>
      <c r="L634" s="11">
        <f>_xlfn.XLOOKUP(G634,Ref!$B$3:$B$12,Ref!$C$3:$C$12,"",1)</f>
        <v>1</v>
      </c>
      <c r="M634" s="11">
        <f>_xlfn.XLOOKUP(H634,Ref!$B$3:$B$12,Ref!$C$3:$C$12,"",1)</f>
        <v>1</v>
      </c>
    </row>
    <row r="635" spans="2:13" x14ac:dyDescent="0.25">
      <c r="B635" s="15" t="s">
        <v>14</v>
      </c>
      <c r="C635" s="9"/>
      <c r="D635" s="9">
        <v>35</v>
      </c>
      <c r="E635" s="10">
        <v>41</v>
      </c>
      <c r="F635" s="9" t="str">
        <f t="shared" si="43"/>
        <v/>
      </c>
      <c r="G635" s="9">
        <f t="shared" si="44"/>
        <v>11.140846016432674</v>
      </c>
      <c r="H635" s="10">
        <f t="shared" si="45"/>
        <v>13.050705333535419</v>
      </c>
      <c r="K635" s="11" t="str">
        <f>_xlfn.XLOOKUP(F635,Ref!$B$3:$B$12,Ref!$C$3:$C$12,"",1)</f>
        <v/>
      </c>
      <c r="L635" s="11">
        <f>_xlfn.XLOOKUP(G635,Ref!$B$3:$B$12,Ref!$C$3:$C$12,"",1)</f>
        <v>1</v>
      </c>
      <c r="M635" s="11">
        <f>_xlfn.XLOOKUP(H635,Ref!$B$3:$B$12,Ref!$C$3:$C$12,"",1)</f>
        <v>1</v>
      </c>
    </row>
    <row r="636" spans="2:13" x14ac:dyDescent="0.25">
      <c r="B636" s="15" t="s">
        <v>39</v>
      </c>
      <c r="C636" s="9"/>
      <c r="D636" s="9">
        <v>33</v>
      </c>
      <c r="E636" s="10">
        <v>38.200000000000003</v>
      </c>
      <c r="F636" s="9" t="str">
        <f t="shared" si="43"/>
        <v/>
      </c>
      <c r="G636" s="9">
        <f t="shared" si="44"/>
        <v>10.504226244065093</v>
      </c>
      <c r="H636" s="10">
        <f t="shared" si="45"/>
        <v>12.159437652220806</v>
      </c>
      <c r="K636" s="11" t="str">
        <f>_xlfn.XLOOKUP(F636,Ref!$B$3:$B$12,Ref!$C$3:$C$12,"",1)</f>
        <v/>
      </c>
      <c r="L636" s="11">
        <f>_xlfn.XLOOKUP(G636,Ref!$B$3:$B$12,Ref!$C$3:$C$12,"",1)</f>
        <v>1</v>
      </c>
      <c r="M636" s="11">
        <f>_xlfn.XLOOKUP(H636,Ref!$B$3:$B$12,Ref!$C$3:$C$12,"",1)</f>
        <v>1</v>
      </c>
    </row>
    <row r="637" spans="2:13" x14ac:dyDescent="0.25">
      <c r="B637" s="15" t="s">
        <v>24</v>
      </c>
      <c r="C637" s="9"/>
      <c r="D637" s="9">
        <v>34.5</v>
      </c>
      <c r="E637" s="10">
        <v>40.5</v>
      </c>
      <c r="F637" s="9" t="str">
        <f t="shared" si="43"/>
        <v/>
      </c>
      <c r="G637" s="9">
        <f t="shared" si="44"/>
        <v>10.981691073340778</v>
      </c>
      <c r="H637" s="10">
        <f t="shared" si="45"/>
        <v>12.891550390443523</v>
      </c>
      <c r="K637" s="11" t="str">
        <f>_xlfn.XLOOKUP(F637,Ref!$B$3:$B$12,Ref!$C$3:$C$12,"",1)</f>
        <v/>
      </c>
      <c r="L637" s="11">
        <f>_xlfn.XLOOKUP(G637,Ref!$B$3:$B$12,Ref!$C$3:$C$12,"",1)</f>
        <v>1</v>
      </c>
      <c r="M637" s="11">
        <f>_xlfn.XLOOKUP(H637,Ref!$B$3:$B$12,Ref!$C$3:$C$12,"",1)</f>
        <v>1</v>
      </c>
    </row>
    <row r="638" spans="2:13" x14ac:dyDescent="0.25">
      <c r="B638" s="15" t="s">
        <v>28</v>
      </c>
      <c r="C638" s="9"/>
      <c r="D638" s="9">
        <v>33.799999999999997</v>
      </c>
      <c r="E638" s="10">
        <v>32.700000000000003</v>
      </c>
      <c r="F638" s="9" t="str">
        <f t="shared" si="43"/>
        <v/>
      </c>
      <c r="G638" s="9">
        <f t="shared" si="44"/>
        <v>10.758874153012124</v>
      </c>
      <c r="H638" s="10">
        <f t="shared" si="45"/>
        <v>10.408733278209956</v>
      </c>
      <c r="K638" s="11" t="str">
        <f>_xlfn.XLOOKUP(F638,Ref!$B$3:$B$12,Ref!$C$3:$C$12,"",1)</f>
        <v/>
      </c>
      <c r="L638" s="11">
        <f>_xlfn.XLOOKUP(G638,Ref!$B$3:$B$12,Ref!$C$3:$C$12,"",1)</f>
        <v>1</v>
      </c>
      <c r="M638" s="11">
        <f>_xlfn.XLOOKUP(H638,Ref!$B$3:$B$12,Ref!$C$3:$C$12,"",1)</f>
        <v>1</v>
      </c>
    </row>
    <row r="639" spans="2:13" x14ac:dyDescent="0.25">
      <c r="B639" s="15" t="s">
        <v>11</v>
      </c>
      <c r="C639" s="9"/>
      <c r="D639" s="9"/>
      <c r="E639" s="10">
        <v>31.9</v>
      </c>
      <c r="F639" s="9" t="str">
        <f t="shared" si="43"/>
        <v/>
      </c>
      <c r="G639" s="9" t="str">
        <f t="shared" si="44"/>
        <v/>
      </c>
      <c r="H639" s="10">
        <f t="shared" si="45"/>
        <v>10.154085369262923</v>
      </c>
      <c r="K639" s="11" t="str">
        <f>_xlfn.XLOOKUP(F639,Ref!$B$3:$B$12,Ref!$C$3:$C$12,"",1)</f>
        <v/>
      </c>
      <c r="L639" s="11" t="str">
        <f>_xlfn.XLOOKUP(G639,Ref!$B$3:$B$12,Ref!$C$3:$C$12,"",1)</f>
        <v/>
      </c>
      <c r="M639" s="11">
        <f>_xlfn.XLOOKUP(H639,Ref!$B$3:$B$12,Ref!$C$3:$C$12,"",1)</f>
        <v>1</v>
      </c>
    </row>
    <row r="640" spans="2:13" x14ac:dyDescent="0.25">
      <c r="B640" s="15" t="s">
        <v>40</v>
      </c>
      <c r="C640" s="9"/>
      <c r="D640" s="9"/>
      <c r="E640" s="10">
        <v>31.5</v>
      </c>
      <c r="F640" s="9" t="str">
        <f t="shared" si="43"/>
        <v/>
      </c>
      <c r="G640" s="9" t="str">
        <f t="shared" si="44"/>
        <v/>
      </c>
      <c r="H640" s="10">
        <f t="shared" si="45"/>
        <v>10.026761414789407</v>
      </c>
      <c r="K640" s="11" t="str">
        <f>_xlfn.XLOOKUP(F640,Ref!$B$3:$B$12,Ref!$C$3:$C$12,"",1)</f>
        <v/>
      </c>
      <c r="L640" s="11" t="str">
        <f>_xlfn.XLOOKUP(G640,Ref!$B$3:$B$12,Ref!$C$3:$C$12,"",1)</f>
        <v/>
      </c>
      <c r="M640" s="11">
        <f>_xlfn.XLOOKUP(H640,Ref!$B$3:$B$12,Ref!$C$3:$C$12,"",1)</f>
        <v>1</v>
      </c>
    </row>
    <row r="641" spans="2:13" x14ac:dyDescent="0.25">
      <c r="B641" s="15" t="s">
        <v>40</v>
      </c>
      <c r="C641" s="9"/>
      <c r="D641" s="9"/>
      <c r="E641" s="10">
        <v>31.8</v>
      </c>
      <c r="F641" s="9" t="str">
        <f t="shared" si="43"/>
        <v/>
      </c>
      <c r="G641" s="9" t="str">
        <f t="shared" si="44"/>
        <v/>
      </c>
      <c r="H641" s="10">
        <f t="shared" si="45"/>
        <v>10.122254380644543</v>
      </c>
      <c r="K641" s="11" t="str">
        <f>_xlfn.XLOOKUP(F641,Ref!$B$3:$B$12,Ref!$C$3:$C$12,"",1)</f>
        <v/>
      </c>
      <c r="L641" s="11" t="str">
        <f>_xlfn.XLOOKUP(G641,Ref!$B$3:$B$12,Ref!$C$3:$C$12,"",1)</f>
        <v/>
      </c>
      <c r="M641" s="11">
        <f>_xlfn.XLOOKUP(H641,Ref!$B$3:$B$12,Ref!$C$3:$C$12,"",1)</f>
        <v>1</v>
      </c>
    </row>
    <row r="642" spans="2:13" x14ac:dyDescent="0.25">
      <c r="B642" s="15" t="s">
        <v>8</v>
      </c>
      <c r="C642" s="9">
        <v>45.5</v>
      </c>
      <c r="D642" s="9">
        <v>48.3</v>
      </c>
      <c r="E642" s="10">
        <v>51.6</v>
      </c>
      <c r="F642" s="9">
        <f t="shared" si="43"/>
        <v>14.483099821362476</v>
      </c>
      <c r="G642" s="9">
        <f t="shared" si="44"/>
        <v>15.374367502677089</v>
      </c>
      <c r="H642" s="10">
        <f t="shared" si="45"/>
        <v>16.4247901270836</v>
      </c>
      <c r="K642" s="11">
        <f>_xlfn.XLOOKUP(F642,Ref!$B$3:$B$12,Ref!$C$3:$C$12,"",1)</f>
        <v>1</v>
      </c>
      <c r="L642" s="11">
        <f>_xlfn.XLOOKUP(G642,Ref!$B$3:$B$12,Ref!$C$3:$C$12,"",1)</f>
        <v>1</v>
      </c>
      <c r="M642" s="11">
        <f>_xlfn.XLOOKUP(H642,Ref!$B$3:$B$12,Ref!$C$3:$C$12,"",1)</f>
        <v>1</v>
      </c>
    </row>
    <row r="643" spans="2:13" x14ac:dyDescent="0.25">
      <c r="B643" s="15" t="s">
        <v>12</v>
      </c>
      <c r="C643" s="9">
        <v>52.5</v>
      </c>
      <c r="D643" s="9">
        <v>56</v>
      </c>
      <c r="E643" s="10">
        <v>57.1</v>
      </c>
      <c r="F643" s="9">
        <f t="shared" si="43"/>
        <v>16.71126902464901</v>
      </c>
      <c r="G643" s="9">
        <f t="shared" si="44"/>
        <v>17.82535362629228</v>
      </c>
      <c r="H643" s="10">
        <f t="shared" si="45"/>
        <v>18.175494501094448</v>
      </c>
      <c r="K643" s="11">
        <f>_xlfn.XLOOKUP(F643,Ref!$B$3:$B$12,Ref!$C$3:$C$12,"",1)</f>
        <v>1</v>
      </c>
      <c r="L643" s="11">
        <f>_xlfn.XLOOKUP(G643,Ref!$B$3:$B$12,Ref!$C$3:$C$12,"",1)</f>
        <v>1</v>
      </c>
      <c r="M643" s="11">
        <f>_xlfn.XLOOKUP(H643,Ref!$B$3:$B$12,Ref!$C$3:$C$12,"",1)</f>
        <v>1</v>
      </c>
    </row>
    <row r="644" spans="2:13" x14ac:dyDescent="0.25">
      <c r="B644" s="15" t="s">
        <v>12</v>
      </c>
      <c r="C644" s="9">
        <v>65</v>
      </c>
      <c r="D644" s="9">
        <v>69.900000000000006</v>
      </c>
      <c r="E644" s="10">
        <v>74.5</v>
      </c>
      <c r="F644" s="9">
        <f t="shared" si="43"/>
        <v>20.690142601946395</v>
      </c>
      <c r="G644" s="9">
        <f t="shared" si="44"/>
        <v>22.24986104424697</v>
      </c>
      <c r="H644" s="10">
        <f t="shared" si="45"/>
        <v>23.714086520692405</v>
      </c>
      <c r="K644" s="11">
        <f>_xlfn.XLOOKUP(F644,Ref!$B$3:$B$12,Ref!$C$3:$C$12,"",1)</f>
        <v>2</v>
      </c>
      <c r="L644" s="11">
        <f>_xlfn.XLOOKUP(G644,Ref!$B$3:$B$12,Ref!$C$3:$C$12,"",1)</f>
        <v>2</v>
      </c>
      <c r="M644" s="11">
        <f>_xlfn.XLOOKUP(H644,Ref!$B$3:$B$12,Ref!$C$3:$C$12,"",1)</f>
        <v>2</v>
      </c>
    </row>
    <row r="645" spans="2:13" x14ac:dyDescent="0.25">
      <c r="B645" s="15" t="s">
        <v>12</v>
      </c>
      <c r="C645" s="9">
        <v>39.6</v>
      </c>
      <c r="D645" s="9">
        <v>42.7</v>
      </c>
      <c r="E645" s="10">
        <v>43.3</v>
      </c>
      <c r="F645" s="9">
        <f t="shared" si="43"/>
        <v>12.605071492878112</v>
      </c>
      <c r="G645" s="9">
        <f t="shared" si="44"/>
        <v>13.591832140047863</v>
      </c>
      <c r="H645" s="10">
        <f t="shared" si="45"/>
        <v>13.782818071758136</v>
      </c>
      <c r="K645" s="11">
        <f>_xlfn.XLOOKUP(F645,Ref!$B$3:$B$12,Ref!$C$3:$C$12,"",1)</f>
        <v>1</v>
      </c>
      <c r="L645" s="11">
        <f>_xlfn.XLOOKUP(G645,Ref!$B$3:$B$12,Ref!$C$3:$C$12,"",1)</f>
        <v>1</v>
      </c>
      <c r="M645" s="11">
        <f>_xlfn.XLOOKUP(H645,Ref!$B$3:$B$12,Ref!$C$3:$C$12,"",1)</f>
        <v>1</v>
      </c>
    </row>
    <row r="646" spans="2:13" x14ac:dyDescent="0.25">
      <c r="B646" s="15" t="s">
        <v>12</v>
      </c>
      <c r="C646" s="9">
        <v>31.9</v>
      </c>
      <c r="D646" s="9">
        <v>32.299999999999997</v>
      </c>
      <c r="E646" s="10">
        <v>34.6</v>
      </c>
      <c r="F646" s="9">
        <f t="shared" si="43"/>
        <v>10.154085369262923</v>
      </c>
      <c r="G646" s="9">
        <f t="shared" si="44"/>
        <v>10.281409323736439</v>
      </c>
      <c r="H646" s="10">
        <f t="shared" si="45"/>
        <v>11.013522061959158</v>
      </c>
      <c r="K646" s="11">
        <f>_xlfn.XLOOKUP(F646,Ref!$B$3:$B$12,Ref!$C$3:$C$12,"",1)</f>
        <v>1</v>
      </c>
      <c r="L646" s="11">
        <f>_xlfn.XLOOKUP(G646,Ref!$B$3:$B$12,Ref!$C$3:$C$12,"",1)</f>
        <v>1</v>
      </c>
      <c r="M646" s="11">
        <f>_xlfn.XLOOKUP(H646,Ref!$B$3:$B$12,Ref!$C$3:$C$12,"",1)</f>
        <v>1</v>
      </c>
    </row>
    <row r="647" spans="2:13" x14ac:dyDescent="0.25">
      <c r="B647" s="15" t="s">
        <v>10</v>
      </c>
      <c r="C647" s="9">
        <v>48.9</v>
      </c>
      <c r="D647" s="9">
        <v>55.3</v>
      </c>
      <c r="E647" s="10">
        <v>61.2</v>
      </c>
      <c r="F647" s="9">
        <f t="shared" si="43"/>
        <v>15.565353434387363</v>
      </c>
      <c r="G647" s="9">
        <f t="shared" si="44"/>
        <v>17.602536705963622</v>
      </c>
      <c r="H647" s="10">
        <f t="shared" si="45"/>
        <v>19.480565034447991</v>
      </c>
      <c r="K647" s="11">
        <f>_xlfn.XLOOKUP(F647,Ref!$B$3:$B$12,Ref!$C$3:$C$12,"",1)</f>
        <v>1</v>
      </c>
      <c r="L647" s="11">
        <f>_xlfn.XLOOKUP(G647,Ref!$B$3:$B$12,Ref!$C$3:$C$12,"",1)</f>
        <v>1</v>
      </c>
      <c r="M647" s="11">
        <f>_xlfn.XLOOKUP(H647,Ref!$B$3:$B$12,Ref!$C$3:$C$12,"",1)</f>
        <v>1</v>
      </c>
    </row>
    <row r="648" spans="2:13" x14ac:dyDescent="0.25">
      <c r="B648" s="15" t="s">
        <v>59</v>
      </c>
      <c r="C648" s="9">
        <v>31.5</v>
      </c>
      <c r="D648" s="9">
        <v>32.299999999999997</v>
      </c>
      <c r="E648" s="10">
        <v>36</v>
      </c>
      <c r="F648" s="9">
        <f t="shared" si="43"/>
        <v>10.026761414789407</v>
      </c>
      <c r="G648" s="9">
        <f t="shared" si="44"/>
        <v>10.281409323736439</v>
      </c>
      <c r="H648" s="10">
        <f t="shared" si="45"/>
        <v>11.459155902616464</v>
      </c>
      <c r="K648" s="11">
        <f>_xlfn.XLOOKUP(F648,Ref!$B$3:$B$12,Ref!$C$3:$C$12,"",1)</f>
        <v>1</v>
      </c>
      <c r="L648" s="11">
        <f>_xlfn.XLOOKUP(G648,Ref!$B$3:$B$12,Ref!$C$3:$C$12,"",1)</f>
        <v>1</v>
      </c>
      <c r="M648" s="11">
        <f>_xlfn.XLOOKUP(H648,Ref!$B$3:$B$12,Ref!$C$3:$C$12,"",1)</f>
        <v>1</v>
      </c>
    </row>
    <row r="649" spans="2:13" x14ac:dyDescent="0.25">
      <c r="B649" s="15" t="s">
        <v>12</v>
      </c>
      <c r="C649" s="9">
        <v>63.5</v>
      </c>
      <c r="D649" s="9">
        <v>67</v>
      </c>
      <c r="E649" s="10">
        <v>69</v>
      </c>
      <c r="F649" s="9">
        <f t="shared" si="43"/>
        <v>20.212677772670709</v>
      </c>
      <c r="G649" s="9">
        <f t="shared" si="44"/>
        <v>21.326762374313976</v>
      </c>
      <c r="H649" s="10">
        <f t="shared" si="45"/>
        <v>21.963382146681557</v>
      </c>
      <c r="K649" s="11">
        <f>_xlfn.XLOOKUP(F649,Ref!$B$3:$B$12,Ref!$C$3:$C$12,"",1)</f>
        <v>2</v>
      </c>
      <c r="L649" s="11">
        <f>_xlfn.XLOOKUP(G649,Ref!$B$3:$B$12,Ref!$C$3:$C$12,"",1)</f>
        <v>2</v>
      </c>
      <c r="M649" s="11">
        <f>_xlfn.XLOOKUP(H649,Ref!$B$3:$B$12,Ref!$C$3:$C$12,"",1)</f>
        <v>2</v>
      </c>
    </row>
    <row r="650" spans="2:13" x14ac:dyDescent="0.25">
      <c r="B650" s="15" t="s">
        <v>28</v>
      </c>
      <c r="C650" s="9">
        <v>75</v>
      </c>
      <c r="D650" s="9">
        <v>76.5</v>
      </c>
      <c r="E650" s="10">
        <v>78.900000000000006</v>
      </c>
      <c r="F650" s="9">
        <f t="shared" si="43"/>
        <v>23.8732414637843</v>
      </c>
      <c r="G650" s="9">
        <f t="shared" si="44"/>
        <v>24.350706293059986</v>
      </c>
      <c r="H650" s="10">
        <f t="shared" si="45"/>
        <v>25.114650019901088</v>
      </c>
      <c r="K650" s="11">
        <f>_xlfn.XLOOKUP(F650,Ref!$B$3:$B$12,Ref!$C$3:$C$12,"",1)</f>
        <v>2</v>
      </c>
      <c r="L650" s="11">
        <f>_xlfn.XLOOKUP(G650,Ref!$B$3:$B$12,Ref!$C$3:$C$12,"",1)</f>
        <v>2</v>
      </c>
      <c r="M650" s="11">
        <f>_xlfn.XLOOKUP(H650,Ref!$B$3:$B$12,Ref!$C$3:$C$12,"",1)</f>
        <v>2</v>
      </c>
    </row>
    <row r="651" spans="2:13" x14ac:dyDescent="0.25">
      <c r="B651" s="15" t="s">
        <v>14</v>
      </c>
      <c r="C651" s="9">
        <v>49.9</v>
      </c>
      <c r="D651" s="9">
        <v>54.2</v>
      </c>
      <c r="E651" s="10">
        <v>58.3</v>
      </c>
      <c r="F651" s="9">
        <f t="shared" si="43"/>
        <v>15.883663320571154</v>
      </c>
      <c r="G651" s="9">
        <f t="shared" si="44"/>
        <v>17.252395831161454</v>
      </c>
      <c r="H651" s="10">
        <f t="shared" si="45"/>
        <v>18.557466364514998</v>
      </c>
      <c r="K651" s="11">
        <f>_xlfn.XLOOKUP(F651,Ref!$B$3:$B$12,Ref!$C$3:$C$12,"",1)</f>
        <v>1</v>
      </c>
      <c r="L651" s="11">
        <f>_xlfn.XLOOKUP(G651,Ref!$B$3:$B$12,Ref!$C$3:$C$12,"",1)</f>
        <v>1</v>
      </c>
      <c r="M651" s="11">
        <f>_xlfn.XLOOKUP(H651,Ref!$B$3:$B$12,Ref!$C$3:$C$12,"",1)</f>
        <v>1</v>
      </c>
    </row>
    <row r="652" spans="2:13" x14ac:dyDescent="0.25">
      <c r="B652" s="15" t="s">
        <v>12</v>
      </c>
      <c r="C652" s="9">
        <v>44.6</v>
      </c>
      <c r="D652" s="9">
        <v>49.8</v>
      </c>
      <c r="E652" s="10">
        <v>53.2</v>
      </c>
      <c r="F652" s="9">
        <f t="shared" si="43"/>
        <v>14.196620923797065</v>
      </c>
      <c r="G652" s="9">
        <f t="shared" si="44"/>
        <v>15.851832331952775</v>
      </c>
      <c r="H652" s="10">
        <f t="shared" si="45"/>
        <v>16.934085944977664</v>
      </c>
      <c r="K652" s="11">
        <f>_xlfn.XLOOKUP(F652,Ref!$B$3:$B$12,Ref!$C$3:$C$12,"",1)</f>
        <v>1</v>
      </c>
      <c r="L652" s="11">
        <f>_xlfn.XLOOKUP(G652,Ref!$B$3:$B$12,Ref!$C$3:$C$12,"",1)</f>
        <v>1</v>
      </c>
      <c r="M652" s="11">
        <f>_xlfn.XLOOKUP(H652,Ref!$B$3:$B$12,Ref!$C$3:$C$12,"",1)</f>
        <v>1</v>
      </c>
    </row>
    <row r="653" spans="2:13" x14ac:dyDescent="0.25">
      <c r="B653" s="15" t="s">
        <v>15</v>
      </c>
      <c r="C653" s="9">
        <v>34</v>
      </c>
      <c r="D653" s="9">
        <v>34</v>
      </c>
      <c r="E653" s="10">
        <v>34</v>
      </c>
      <c r="F653" s="9">
        <f t="shared" si="43"/>
        <v>10.822536130248883</v>
      </c>
      <c r="G653" s="9">
        <f t="shared" si="44"/>
        <v>10.822536130248883</v>
      </c>
      <c r="H653" s="10">
        <f t="shared" si="45"/>
        <v>10.822536130248883</v>
      </c>
      <c r="K653" s="11">
        <f>_xlfn.XLOOKUP(F653,Ref!$B$3:$B$12,Ref!$C$3:$C$12,"",1)</f>
        <v>1</v>
      </c>
      <c r="L653" s="11">
        <f>_xlfn.XLOOKUP(G653,Ref!$B$3:$B$12,Ref!$C$3:$C$12,"",1)</f>
        <v>1</v>
      </c>
      <c r="M653" s="11">
        <f>_xlfn.XLOOKUP(H653,Ref!$B$3:$B$12,Ref!$C$3:$C$12,"",1)</f>
        <v>1</v>
      </c>
    </row>
    <row r="654" spans="2:13" x14ac:dyDescent="0.25">
      <c r="B654" s="15" t="s">
        <v>28</v>
      </c>
      <c r="C654" s="9">
        <v>82.3</v>
      </c>
      <c r="D654" s="9">
        <v>83</v>
      </c>
      <c r="E654" s="10">
        <v>83.7</v>
      </c>
      <c r="F654" s="9">
        <f t="shared" si="43"/>
        <v>26.196903632925974</v>
      </c>
      <c r="G654" s="9">
        <f t="shared" si="44"/>
        <v>26.419720553254628</v>
      </c>
      <c r="H654" s="10">
        <f t="shared" si="45"/>
        <v>26.642537473583282</v>
      </c>
      <c r="K654" s="11">
        <f>_xlfn.XLOOKUP(F654,Ref!$B$3:$B$12,Ref!$C$3:$C$12,"",1)</f>
        <v>2</v>
      </c>
      <c r="L654" s="11">
        <f>_xlfn.XLOOKUP(G654,Ref!$B$3:$B$12,Ref!$C$3:$C$12,"",1)</f>
        <v>2</v>
      </c>
      <c r="M654" s="11">
        <f>_xlfn.XLOOKUP(H654,Ref!$B$3:$B$12,Ref!$C$3:$C$12,"",1)</f>
        <v>2</v>
      </c>
    </row>
    <row r="655" spans="2:13" x14ac:dyDescent="0.25">
      <c r="B655" s="15" t="s">
        <v>10</v>
      </c>
      <c r="C655" s="9">
        <v>46.4</v>
      </c>
      <c r="D655" s="9">
        <v>52</v>
      </c>
      <c r="E655" s="10">
        <v>55.7</v>
      </c>
      <c r="F655" s="9">
        <f t="shared" si="43"/>
        <v>14.769578718927887</v>
      </c>
      <c r="G655" s="9">
        <f t="shared" si="44"/>
        <v>16.552114081557114</v>
      </c>
      <c r="H655" s="10">
        <f t="shared" si="45"/>
        <v>17.729860660437144</v>
      </c>
      <c r="K655" s="11">
        <f>_xlfn.XLOOKUP(F655,Ref!$B$3:$B$12,Ref!$C$3:$C$12,"",1)</f>
        <v>1</v>
      </c>
      <c r="L655" s="11">
        <f>_xlfn.XLOOKUP(G655,Ref!$B$3:$B$12,Ref!$C$3:$C$12,"",1)</f>
        <v>1</v>
      </c>
      <c r="M655" s="11">
        <f>_xlfn.XLOOKUP(H655,Ref!$B$3:$B$12,Ref!$C$3:$C$12,"",1)</f>
        <v>1</v>
      </c>
    </row>
    <row r="656" spans="2:13" x14ac:dyDescent="0.25">
      <c r="B656" s="15" t="s">
        <v>12</v>
      </c>
      <c r="C656" s="9">
        <v>45.5</v>
      </c>
      <c r="D656" s="9">
        <v>48.3</v>
      </c>
      <c r="E656" s="10">
        <v>50.1</v>
      </c>
      <c r="F656" s="9">
        <f t="shared" si="43"/>
        <v>14.483099821362476</v>
      </c>
      <c r="G656" s="9">
        <f t="shared" si="44"/>
        <v>15.374367502677089</v>
      </c>
      <c r="H656" s="10">
        <f t="shared" si="45"/>
        <v>15.947325297807915</v>
      </c>
      <c r="K656" s="11">
        <f>_xlfn.XLOOKUP(F656,Ref!$B$3:$B$12,Ref!$C$3:$C$12,"",1)</f>
        <v>1</v>
      </c>
      <c r="L656" s="11">
        <f>_xlfn.XLOOKUP(G656,Ref!$B$3:$B$12,Ref!$C$3:$C$12,"",1)</f>
        <v>1</v>
      </c>
      <c r="M656" s="11">
        <f>_xlfn.XLOOKUP(H656,Ref!$B$3:$B$12,Ref!$C$3:$C$12,"",1)</f>
        <v>1</v>
      </c>
    </row>
    <row r="657" spans="2:13" x14ac:dyDescent="0.25">
      <c r="B657" s="15" t="s">
        <v>10</v>
      </c>
      <c r="C657" s="9">
        <v>34.799999999999997</v>
      </c>
      <c r="D657" s="9">
        <v>39.799999999999997</v>
      </c>
      <c r="E657" s="10">
        <v>39.9</v>
      </c>
      <c r="F657" s="9">
        <f t="shared" si="43"/>
        <v>11.077184039195915</v>
      </c>
      <c r="G657" s="9">
        <f t="shared" si="44"/>
        <v>12.668733470114868</v>
      </c>
      <c r="H657" s="10">
        <f t="shared" si="45"/>
        <v>12.700564458733249</v>
      </c>
      <c r="K657" s="11">
        <f>_xlfn.XLOOKUP(F657,Ref!$B$3:$B$12,Ref!$C$3:$C$12,"",1)</f>
        <v>1</v>
      </c>
      <c r="L657" s="11">
        <f>_xlfn.XLOOKUP(G657,Ref!$B$3:$B$12,Ref!$C$3:$C$12,"",1)</f>
        <v>1</v>
      </c>
      <c r="M657" s="11">
        <f>_xlfn.XLOOKUP(H657,Ref!$B$3:$B$12,Ref!$C$3:$C$12,"",1)</f>
        <v>1</v>
      </c>
    </row>
    <row r="658" spans="2:13" x14ac:dyDescent="0.25">
      <c r="B658" s="15" t="s">
        <v>12</v>
      </c>
      <c r="C658" s="9">
        <v>37.799999999999997</v>
      </c>
      <c r="D658" s="9">
        <v>37.4</v>
      </c>
      <c r="E658" s="10">
        <v>41.4</v>
      </c>
      <c r="F658" s="9">
        <f t="shared" si="43"/>
        <v>12.032113697747286</v>
      </c>
      <c r="G658" s="9">
        <f t="shared" si="44"/>
        <v>11.904789743273771</v>
      </c>
      <c r="H658" s="10">
        <f t="shared" si="45"/>
        <v>13.178029288008934</v>
      </c>
      <c r="K658" s="11">
        <f>_xlfn.XLOOKUP(F658,Ref!$B$3:$B$12,Ref!$C$3:$C$12,"",1)</f>
        <v>1</v>
      </c>
      <c r="L658" s="11">
        <f>_xlfn.XLOOKUP(G658,Ref!$B$3:$B$12,Ref!$C$3:$C$12,"",1)</f>
        <v>1</v>
      </c>
      <c r="M658" s="11">
        <f>_xlfn.XLOOKUP(H658,Ref!$B$3:$B$12,Ref!$C$3:$C$12,"",1)</f>
        <v>1</v>
      </c>
    </row>
    <row r="659" spans="2:13" x14ac:dyDescent="0.25">
      <c r="B659" s="15" t="s">
        <v>12</v>
      </c>
      <c r="C659" s="9">
        <v>47</v>
      </c>
      <c r="D659" s="9">
        <v>50.5</v>
      </c>
      <c r="E659" s="10">
        <v>52.5</v>
      </c>
      <c r="F659" s="9">
        <f t="shared" ref="F659:F719" si="46">IF(C659="", "", C659/PI())</f>
        <v>14.960564650638162</v>
      </c>
      <c r="G659" s="9">
        <f t="shared" ref="G659:G719" si="47">IF(D659="", "", D659/PI())</f>
        <v>16.074649252281429</v>
      </c>
      <c r="H659" s="10">
        <f t="shared" ref="H659:H719" si="48">IF(E659="", "", E659/PI())</f>
        <v>16.71126902464901</v>
      </c>
      <c r="K659" s="11">
        <f>_xlfn.XLOOKUP(F659,Ref!$B$3:$B$12,Ref!$C$3:$C$12,"",1)</f>
        <v>1</v>
      </c>
      <c r="L659" s="11">
        <f>_xlfn.XLOOKUP(G659,Ref!$B$3:$B$12,Ref!$C$3:$C$12,"",1)</f>
        <v>1</v>
      </c>
      <c r="M659" s="11">
        <f>_xlfn.XLOOKUP(H659,Ref!$B$3:$B$12,Ref!$C$3:$C$12,"",1)</f>
        <v>1</v>
      </c>
    </row>
    <row r="660" spans="2:13" x14ac:dyDescent="0.25">
      <c r="B660" s="15" t="s">
        <v>12</v>
      </c>
      <c r="C660" s="9">
        <v>46.5</v>
      </c>
      <c r="D660" s="9">
        <v>48.1</v>
      </c>
      <c r="E660" s="10">
        <v>49.6</v>
      </c>
      <c r="F660" s="9">
        <f t="shared" si="46"/>
        <v>14.801409707546267</v>
      </c>
      <c r="G660" s="9">
        <f t="shared" si="47"/>
        <v>15.310705525440332</v>
      </c>
      <c r="H660" s="10">
        <f t="shared" si="48"/>
        <v>15.788170354716019</v>
      </c>
      <c r="K660" s="11">
        <f>_xlfn.XLOOKUP(F660,Ref!$B$3:$B$12,Ref!$C$3:$C$12,"",1)</f>
        <v>1</v>
      </c>
      <c r="L660" s="11">
        <f>_xlfn.XLOOKUP(G660,Ref!$B$3:$B$12,Ref!$C$3:$C$12,"",1)</f>
        <v>1</v>
      </c>
      <c r="M660" s="11">
        <f>_xlfn.XLOOKUP(H660,Ref!$B$3:$B$12,Ref!$C$3:$C$12,"",1)</f>
        <v>1</v>
      </c>
    </row>
    <row r="661" spans="2:13" x14ac:dyDescent="0.25">
      <c r="B661" s="15" t="s">
        <v>7</v>
      </c>
      <c r="C661" s="9">
        <v>78.7</v>
      </c>
      <c r="D661" s="9">
        <v>82.2</v>
      </c>
      <c r="E661" s="10">
        <v>85</v>
      </c>
      <c r="F661" s="9">
        <f t="shared" si="46"/>
        <v>25.050988042664329</v>
      </c>
      <c r="G661" s="9">
        <f t="shared" si="47"/>
        <v>26.165072644307596</v>
      </c>
      <c r="H661" s="10">
        <f t="shared" si="48"/>
        <v>27.056340325622209</v>
      </c>
      <c r="K661" s="11">
        <f>_xlfn.XLOOKUP(F661,Ref!$B$3:$B$12,Ref!$C$3:$C$12,"",1)</f>
        <v>2</v>
      </c>
      <c r="L661" s="11">
        <f>_xlfn.XLOOKUP(G661,Ref!$B$3:$B$12,Ref!$C$3:$C$12,"",1)</f>
        <v>2</v>
      </c>
      <c r="M661" s="11">
        <f>_xlfn.XLOOKUP(H661,Ref!$B$3:$B$12,Ref!$C$3:$C$12,"",1)</f>
        <v>2</v>
      </c>
    </row>
    <row r="662" spans="2:13" x14ac:dyDescent="0.25">
      <c r="B662" s="15" t="s">
        <v>36</v>
      </c>
      <c r="C662" s="9">
        <v>39.4</v>
      </c>
      <c r="D662" s="9">
        <v>45.3</v>
      </c>
      <c r="E662" s="10">
        <v>50.1</v>
      </c>
      <c r="F662" s="9">
        <f t="shared" si="46"/>
        <v>12.541409515641352</v>
      </c>
      <c r="G662" s="9">
        <f t="shared" si="47"/>
        <v>14.419437844125717</v>
      </c>
      <c r="H662" s="10">
        <f t="shared" si="48"/>
        <v>15.947325297807915</v>
      </c>
      <c r="K662" s="11">
        <f>_xlfn.XLOOKUP(F662,Ref!$B$3:$B$12,Ref!$C$3:$C$12,"",1)</f>
        <v>1</v>
      </c>
      <c r="L662" s="11">
        <f>_xlfn.XLOOKUP(G662,Ref!$B$3:$B$12,Ref!$C$3:$C$12,"",1)</f>
        <v>1</v>
      </c>
      <c r="M662" s="11">
        <f>_xlfn.XLOOKUP(H662,Ref!$B$3:$B$12,Ref!$C$3:$C$12,"",1)</f>
        <v>1</v>
      </c>
    </row>
    <row r="663" spans="2:13" x14ac:dyDescent="0.25">
      <c r="B663" s="15" t="s">
        <v>25</v>
      </c>
      <c r="C663" s="9">
        <v>53.7</v>
      </c>
      <c r="D663" s="9">
        <v>55.8</v>
      </c>
      <c r="E663" s="10">
        <v>58.5</v>
      </c>
      <c r="F663" s="9">
        <f t="shared" si="46"/>
        <v>17.093240888069559</v>
      </c>
      <c r="G663" s="9">
        <f t="shared" si="47"/>
        <v>17.761691649055518</v>
      </c>
      <c r="H663" s="10">
        <f t="shared" si="48"/>
        <v>18.621128341751756</v>
      </c>
      <c r="K663" s="11">
        <f>_xlfn.XLOOKUP(F663,Ref!$B$3:$B$12,Ref!$C$3:$C$12,"",1)</f>
        <v>1</v>
      </c>
      <c r="L663" s="11">
        <f>_xlfn.XLOOKUP(G663,Ref!$B$3:$B$12,Ref!$C$3:$C$12,"",1)</f>
        <v>1</v>
      </c>
      <c r="M663" s="11">
        <f>_xlfn.XLOOKUP(H663,Ref!$B$3:$B$12,Ref!$C$3:$C$12,"",1)</f>
        <v>1</v>
      </c>
    </row>
    <row r="664" spans="2:13" x14ac:dyDescent="0.25">
      <c r="B664" s="15" t="s">
        <v>12</v>
      </c>
      <c r="C664" s="9">
        <v>45.7</v>
      </c>
      <c r="D664" s="9">
        <v>48.2</v>
      </c>
      <c r="E664" s="10">
        <v>49.2</v>
      </c>
      <c r="F664" s="9">
        <f t="shared" si="46"/>
        <v>14.546761798599235</v>
      </c>
      <c r="G664" s="9">
        <f t="shared" si="47"/>
        <v>15.342536514058711</v>
      </c>
      <c r="H664" s="10">
        <f t="shared" si="48"/>
        <v>15.660846400242503</v>
      </c>
      <c r="K664" s="11">
        <f>_xlfn.XLOOKUP(F664,Ref!$B$3:$B$12,Ref!$C$3:$C$12,"",1)</f>
        <v>1</v>
      </c>
      <c r="L664" s="11">
        <f>_xlfn.XLOOKUP(G664,Ref!$B$3:$B$12,Ref!$C$3:$C$12,"",1)</f>
        <v>1</v>
      </c>
      <c r="M664" s="11">
        <f>_xlfn.XLOOKUP(H664,Ref!$B$3:$B$12,Ref!$C$3:$C$12,"",1)</f>
        <v>1</v>
      </c>
    </row>
    <row r="665" spans="2:13" x14ac:dyDescent="0.25">
      <c r="B665" s="15" t="s">
        <v>28</v>
      </c>
      <c r="C665" s="9">
        <v>42</v>
      </c>
      <c r="D665" s="9">
        <v>42.2</v>
      </c>
      <c r="E665" s="10">
        <v>43.1</v>
      </c>
      <c r="F665" s="9">
        <f t="shared" si="46"/>
        <v>13.369015219719209</v>
      </c>
      <c r="G665" s="9">
        <f t="shared" si="47"/>
        <v>13.432677196955968</v>
      </c>
      <c r="H665" s="10">
        <f t="shared" si="48"/>
        <v>13.719156094521379</v>
      </c>
      <c r="K665" s="11">
        <f>_xlfn.XLOOKUP(F665,Ref!$B$3:$B$12,Ref!$C$3:$C$12,"",1)</f>
        <v>1</v>
      </c>
      <c r="L665" s="11">
        <f>_xlfn.XLOOKUP(G665,Ref!$B$3:$B$12,Ref!$C$3:$C$12,"",1)</f>
        <v>1</v>
      </c>
      <c r="M665" s="11">
        <f>_xlfn.XLOOKUP(H665,Ref!$B$3:$B$12,Ref!$C$3:$C$12,"",1)</f>
        <v>1</v>
      </c>
    </row>
    <row r="666" spans="2:13" x14ac:dyDescent="0.25">
      <c r="B666" s="15" t="s">
        <v>28</v>
      </c>
      <c r="C666" s="9">
        <v>67.2</v>
      </c>
      <c r="D666" s="9">
        <v>68.5</v>
      </c>
      <c r="E666" s="10">
        <v>69.3</v>
      </c>
      <c r="F666" s="9">
        <f t="shared" si="46"/>
        <v>21.390424351550735</v>
      </c>
      <c r="G666" s="9">
        <f t="shared" si="47"/>
        <v>21.804227203589662</v>
      </c>
      <c r="H666" s="10">
        <f t="shared" si="48"/>
        <v>22.058875112536693</v>
      </c>
      <c r="K666" s="11">
        <f>_xlfn.XLOOKUP(F666,Ref!$B$3:$B$12,Ref!$C$3:$C$12,"",1)</f>
        <v>2</v>
      </c>
      <c r="L666" s="11">
        <f>_xlfn.XLOOKUP(G666,Ref!$B$3:$B$12,Ref!$C$3:$C$12,"",1)</f>
        <v>2</v>
      </c>
      <c r="M666" s="11">
        <f>_xlfn.XLOOKUP(H666,Ref!$B$3:$B$12,Ref!$C$3:$C$12,"",1)</f>
        <v>2</v>
      </c>
    </row>
    <row r="667" spans="2:13" x14ac:dyDescent="0.25">
      <c r="B667" s="15" t="s">
        <v>7</v>
      </c>
      <c r="C667" s="9">
        <v>79.2</v>
      </c>
      <c r="D667" s="9">
        <v>86.5</v>
      </c>
      <c r="E667" s="10">
        <v>91.5</v>
      </c>
      <c r="F667" s="9">
        <f t="shared" si="46"/>
        <v>25.210142985756224</v>
      </c>
      <c r="G667" s="9">
        <f t="shared" si="47"/>
        <v>27.533805154897895</v>
      </c>
      <c r="H667" s="10">
        <f t="shared" si="48"/>
        <v>29.125354585816847</v>
      </c>
      <c r="K667" s="11">
        <f>_xlfn.XLOOKUP(F667,Ref!$B$3:$B$12,Ref!$C$3:$C$12,"",1)</f>
        <v>2</v>
      </c>
      <c r="L667" s="11">
        <f>_xlfn.XLOOKUP(G667,Ref!$B$3:$B$12,Ref!$C$3:$C$12,"",1)</f>
        <v>2</v>
      </c>
      <c r="M667" s="11">
        <f>_xlfn.XLOOKUP(H667,Ref!$B$3:$B$12,Ref!$C$3:$C$12,"",1)</f>
        <v>2</v>
      </c>
    </row>
    <row r="668" spans="2:13" x14ac:dyDescent="0.25">
      <c r="B668" s="15" t="s">
        <v>71</v>
      </c>
      <c r="C668" s="9">
        <v>37.299999999999997</v>
      </c>
      <c r="D668" s="9">
        <v>38.700000000000003</v>
      </c>
      <c r="E668" s="10">
        <v>39.5</v>
      </c>
      <c r="F668" s="9">
        <f t="shared" si="46"/>
        <v>11.872958754655391</v>
      </c>
      <c r="G668" s="9">
        <f t="shared" si="47"/>
        <v>12.318592595312701</v>
      </c>
      <c r="H668" s="10">
        <f t="shared" si="48"/>
        <v>12.573240504259733</v>
      </c>
      <c r="K668" s="11">
        <f>_xlfn.XLOOKUP(F668,Ref!$B$3:$B$12,Ref!$C$3:$C$12,"",1)</f>
        <v>1</v>
      </c>
      <c r="L668" s="11">
        <f>_xlfn.XLOOKUP(G668,Ref!$B$3:$B$12,Ref!$C$3:$C$12,"",1)</f>
        <v>1</v>
      </c>
      <c r="M668" s="11">
        <f>_xlfn.XLOOKUP(H668,Ref!$B$3:$B$12,Ref!$C$3:$C$12,"",1)</f>
        <v>1</v>
      </c>
    </row>
    <row r="669" spans="2:13" x14ac:dyDescent="0.25">
      <c r="B669" s="15" t="s">
        <v>8</v>
      </c>
      <c r="C669" s="9">
        <v>39.700000000000003</v>
      </c>
      <c r="D669" s="9">
        <v>43.2</v>
      </c>
      <c r="E669" s="10">
        <v>45.8</v>
      </c>
      <c r="F669" s="9">
        <f t="shared" si="46"/>
        <v>12.636902481496492</v>
      </c>
      <c r="G669" s="9">
        <f t="shared" si="47"/>
        <v>13.750987083139758</v>
      </c>
      <c r="H669" s="10">
        <f t="shared" si="48"/>
        <v>14.578592787217612</v>
      </c>
      <c r="K669" s="11">
        <f>_xlfn.XLOOKUP(F669,Ref!$B$3:$B$12,Ref!$C$3:$C$12,"",1)</f>
        <v>1</v>
      </c>
      <c r="L669" s="11">
        <f>_xlfn.XLOOKUP(G669,Ref!$B$3:$B$12,Ref!$C$3:$C$12,"",1)</f>
        <v>1</v>
      </c>
      <c r="M669" s="11">
        <f>_xlfn.XLOOKUP(H669,Ref!$B$3:$B$12,Ref!$C$3:$C$12,"",1)</f>
        <v>1</v>
      </c>
    </row>
    <row r="670" spans="2:13" x14ac:dyDescent="0.25">
      <c r="B670" s="15" t="s">
        <v>25</v>
      </c>
      <c r="C670" s="9">
        <v>38.200000000000003</v>
      </c>
      <c r="D670" s="9">
        <v>40</v>
      </c>
      <c r="E670" s="10">
        <v>40</v>
      </c>
      <c r="F670" s="9">
        <f t="shared" si="46"/>
        <v>12.159437652220806</v>
      </c>
      <c r="G670" s="9">
        <f t="shared" si="47"/>
        <v>12.732395447351628</v>
      </c>
      <c r="H670" s="10">
        <f t="shared" si="48"/>
        <v>12.732395447351628</v>
      </c>
      <c r="K670" s="11">
        <f>_xlfn.XLOOKUP(F670,Ref!$B$3:$B$12,Ref!$C$3:$C$12,"",1)</f>
        <v>1</v>
      </c>
      <c r="L670" s="11">
        <f>_xlfn.XLOOKUP(G670,Ref!$B$3:$B$12,Ref!$C$3:$C$12,"",1)</f>
        <v>1</v>
      </c>
      <c r="M670" s="11">
        <f>_xlfn.XLOOKUP(H670,Ref!$B$3:$B$12,Ref!$C$3:$C$12,"",1)</f>
        <v>1</v>
      </c>
    </row>
    <row r="671" spans="2:13" x14ac:dyDescent="0.25">
      <c r="B671" s="15" t="s">
        <v>14</v>
      </c>
      <c r="C671" s="9">
        <v>69.3</v>
      </c>
      <c r="D671" s="9">
        <v>75.7</v>
      </c>
      <c r="E671" s="10">
        <v>80.5</v>
      </c>
      <c r="F671" s="9">
        <f t="shared" si="46"/>
        <v>22.058875112536693</v>
      </c>
      <c r="G671" s="9">
        <f t="shared" si="47"/>
        <v>24.096058384112954</v>
      </c>
      <c r="H671" s="10">
        <f t="shared" si="48"/>
        <v>25.623945837795151</v>
      </c>
      <c r="K671" s="11">
        <f>_xlfn.XLOOKUP(F671,Ref!$B$3:$B$12,Ref!$C$3:$C$12,"",1)</f>
        <v>2</v>
      </c>
      <c r="L671" s="11">
        <f>_xlfn.XLOOKUP(G671,Ref!$B$3:$B$12,Ref!$C$3:$C$12,"",1)</f>
        <v>2</v>
      </c>
      <c r="M671" s="11">
        <f>_xlfn.XLOOKUP(H671,Ref!$B$3:$B$12,Ref!$C$3:$C$12,"",1)</f>
        <v>2</v>
      </c>
    </row>
    <row r="672" spans="2:13" x14ac:dyDescent="0.25">
      <c r="B672" s="15" t="s">
        <v>68</v>
      </c>
      <c r="C672" s="9">
        <v>80.5</v>
      </c>
      <c r="D672" s="9">
        <v>85.4</v>
      </c>
      <c r="E672" s="10">
        <v>88.6</v>
      </c>
      <c r="F672" s="9">
        <f t="shared" si="46"/>
        <v>25.623945837795151</v>
      </c>
      <c r="G672" s="9">
        <f t="shared" si="47"/>
        <v>27.183664280095726</v>
      </c>
      <c r="H672" s="10">
        <f t="shared" si="48"/>
        <v>28.202255915883853</v>
      </c>
      <c r="K672" s="11">
        <f>_xlfn.XLOOKUP(F672,Ref!$B$3:$B$12,Ref!$C$3:$C$12,"",1)</f>
        <v>2</v>
      </c>
      <c r="L672" s="11">
        <f>_xlfn.XLOOKUP(G672,Ref!$B$3:$B$12,Ref!$C$3:$C$12,"",1)</f>
        <v>2</v>
      </c>
      <c r="M672" s="11">
        <f>_xlfn.XLOOKUP(H672,Ref!$B$3:$B$12,Ref!$C$3:$C$12,"",1)</f>
        <v>2</v>
      </c>
    </row>
    <row r="673" spans="2:13" x14ac:dyDescent="0.25">
      <c r="B673" s="15" t="s">
        <v>8</v>
      </c>
      <c r="C673" s="9">
        <v>39</v>
      </c>
      <c r="D673" s="9">
        <v>44</v>
      </c>
      <c r="E673" s="10">
        <v>46.8</v>
      </c>
      <c r="F673" s="9">
        <f t="shared" si="46"/>
        <v>12.414085561167836</v>
      </c>
      <c r="G673" s="9">
        <f t="shared" si="47"/>
        <v>14.00563499208679</v>
      </c>
      <c r="H673" s="10">
        <f t="shared" si="48"/>
        <v>14.896902673401403</v>
      </c>
      <c r="K673" s="11">
        <f>_xlfn.XLOOKUP(F673,Ref!$B$3:$B$12,Ref!$C$3:$C$12,"",1)</f>
        <v>1</v>
      </c>
      <c r="L673" s="11">
        <f>_xlfn.XLOOKUP(G673,Ref!$B$3:$B$12,Ref!$C$3:$C$12,"",1)</f>
        <v>1</v>
      </c>
      <c r="M673" s="11">
        <f>_xlfn.XLOOKUP(H673,Ref!$B$3:$B$12,Ref!$C$3:$C$12,"",1)</f>
        <v>1</v>
      </c>
    </row>
    <row r="674" spans="2:13" x14ac:dyDescent="0.25">
      <c r="B674" s="15" t="s">
        <v>49</v>
      </c>
      <c r="C674" s="9">
        <v>36.200000000000003</v>
      </c>
      <c r="D674" s="9">
        <v>36.200000000000003</v>
      </c>
      <c r="E674" s="10">
        <v>36.700000000000003</v>
      </c>
      <c r="F674" s="9">
        <f t="shared" si="46"/>
        <v>11.522817879853223</v>
      </c>
      <c r="G674" s="9">
        <f t="shared" si="47"/>
        <v>11.522817879853223</v>
      </c>
      <c r="H674" s="10">
        <f t="shared" si="48"/>
        <v>11.681972822945118</v>
      </c>
      <c r="K674" s="11">
        <f>_xlfn.XLOOKUP(F674,Ref!$B$3:$B$12,Ref!$C$3:$C$12,"",1)</f>
        <v>1</v>
      </c>
      <c r="L674" s="11">
        <f>_xlfn.XLOOKUP(G674,Ref!$B$3:$B$12,Ref!$C$3:$C$12,"",1)</f>
        <v>1</v>
      </c>
      <c r="M674" s="11">
        <f>_xlfn.XLOOKUP(H674,Ref!$B$3:$B$12,Ref!$C$3:$C$12,"",1)</f>
        <v>1</v>
      </c>
    </row>
    <row r="675" spans="2:13" x14ac:dyDescent="0.25">
      <c r="B675" s="15" t="s">
        <v>8</v>
      </c>
      <c r="C675" s="9">
        <v>32.299999999999997</v>
      </c>
      <c r="D675" s="9">
        <v>32.9</v>
      </c>
      <c r="E675" s="10">
        <v>33.1</v>
      </c>
      <c r="F675" s="9">
        <f t="shared" si="46"/>
        <v>10.281409323736439</v>
      </c>
      <c r="G675" s="9">
        <f t="shared" si="47"/>
        <v>10.472395255446713</v>
      </c>
      <c r="H675" s="10">
        <f t="shared" si="48"/>
        <v>10.536057232683472</v>
      </c>
      <c r="K675" s="11">
        <f>_xlfn.XLOOKUP(F675,Ref!$B$3:$B$12,Ref!$C$3:$C$12,"",1)</f>
        <v>1</v>
      </c>
      <c r="L675" s="11">
        <f>_xlfn.XLOOKUP(G675,Ref!$B$3:$B$12,Ref!$C$3:$C$12,"",1)</f>
        <v>1</v>
      </c>
      <c r="M675" s="11">
        <f>_xlfn.XLOOKUP(H675,Ref!$B$3:$B$12,Ref!$C$3:$C$12,"",1)</f>
        <v>1</v>
      </c>
    </row>
    <row r="676" spans="2:13" x14ac:dyDescent="0.25">
      <c r="B676" s="15" t="s">
        <v>28</v>
      </c>
      <c r="C676" s="9"/>
      <c r="D676" s="9">
        <v>31.9</v>
      </c>
      <c r="E676" s="10">
        <v>31.7</v>
      </c>
      <c r="F676" s="9" t="str">
        <f t="shared" si="46"/>
        <v/>
      </c>
      <c r="G676" s="9">
        <f t="shared" si="47"/>
        <v>10.154085369262923</v>
      </c>
      <c r="H676" s="10">
        <f t="shared" si="48"/>
        <v>10.090423392026164</v>
      </c>
      <c r="K676" s="11" t="str">
        <f>_xlfn.XLOOKUP(F676,Ref!$B$3:$B$12,Ref!$C$3:$C$12,"",1)</f>
        <v/>
      </c>
      <c r="L676" s="11">
        <f>_xlfn.XLOOKUP(G676,Ref!$B$3:$B$12,Ref!$C$3:$C$12,"",1)</f>
        <v>1</v>
      </c>
      <c r="M676" s="11">
        <f>_xlfn.XLOOKUP(H676,Ref!$B$3:$B$12,Ref!$C$3:$C$12,"",1)</f>
        <v>1</v>
      </c>
    </row>
    <row r="677" spans="2:13" x14ac:dyDescent="0.25">
      <c r="B677" s="15" t="s">
        <v>44</v>
      </c>
      <c r="C677" s="9"/>
      <c r="D677" s="9">
        <v>32.200000000000003</v>
      </c>
      <c r="E677" s="10">
        <v>34.299999999999997</v>
      </c>
      <c r="F677" s="9" t="str">
        <f t="shared" si="46"/>
        <v/>
      </c>
      <c r="G677" s="9">
        <f t="shared" si="47"/>
        <v>10.249578335118061</v>
      </c>
      <c r="H677" s="10">
        <f t="shared" si="48"/>
        <v>10.91802909610402</v>
      </c>
      <c r="K677" s="11" t="str">
        <f>_xlfn.XLOOKUP(F677,Ref!$B$3:$B$12,Ref!$C$3:$C$12,"",1)</f>
        <v/>
      </c>
      <c r="L677" s="11">
        <f>_xlfn.XLOOKUP(G677,Ref!$B$3:$B$12,Ref!$C$3:$C$12,"",1)</f>
        <v>1</v>
      </c>
      <c r="M677" s="11">
        <f>_xlfn.XLOOKUP(H677,Ref!$B$3:$B$12,Ref!$C$3:$C$12,"",1)</f>
        <v>1</v>
      </c>
    </row>
    <row r="678" spans="2:13" x14ac:dyDescent="0.25">
      <c r="B678" s="15" t="s">
        <v>22</v>
      </c>
      <c r="C678" s="9"/>
      <c r="D678" s="9">
        <v>32.5</v>
      </c>
      <c r="E678" s="10">
        <v>33.6</v>
      </c>
      <c r="F678" s="9" t="str">
        <f t="shared" si="46"/>
        <v/>
      </c>
      <c r="G678" s="9">
        <f t="shared" si="47"/>
        <v>10.345071300973197</v>
      </c>
      <c r="H678" s="10">
        <f t="shared" si="48"/>
        <v>10.695212175775367</v>
      </c>
      <c r="K678" s="11" t="str">
        <f>_xlfn.XLOOKUP(F678,Ref!$B$3:$B$12,Ref!$C$3:$C$12,"",1)</f>
        <v/>
      </c>
      <c r="L678" s="11">
        <f>_xlfn.XLOOKUP(G678,Ref!$B$3:$B$12,Ref!$C$3:$C$12,"",1)</f>
        <v>1</v>
      </c>
      <c r="M678" s="11">
        <f>_xlfn.XLOOKUP(H678,Ref!$B$3:$B$12,Ref!$C$3:$C$12,"",1)</f>
        <v>1</v>
      </c>
    </row>
    <row r="679" spans="2:13" x14ac:dyDescent="0.25">
      <c r="B679" s="15" t="s">
        <v>11</v>
      </c>
      <c r="C679" s="9"/>
      <c r="D679" s="9">
        <v>34.799999999999997</v>
      </c>
      <c r="E679" s="10">
        <v>47</v>
      </c>
      <c r="F679" s="9" t="str">
        <f t="shared" si="46"/>
        <v/>
      </c>
      <c r="G679" s="9">
        <f t="shared" si="47"/>
        <v>11.077184039195915</v>
      </c>
      <c r="H679" s="10">
        <f t="shared" si="48"/>
        <v>14.960564650638162</v>
      </c>
      <c r="K679" s="11" t="str">
        <f>_xlfn.XLOOKUP(F679,Ref!$B$3:$B$12,Ref!$C$3:$C$12,"",1)</f>
        <v/>
      </c>
      <c r="L679" s="11">
        <f>_xlfn.XLOOKUP(G679,Ref!$B$3:$B$12,Ref!$C$3:$C$12,"",1)</f>
        <v>1</v>
      </c>
      <c r="M679" s="11">
        <f>_xlfn.XLOOKUP(H679,Ref!$B$3:$B$12,Ref!$C$3:$C$12,"",1)</f>
        <v>1</v>
      </c>
    </row>
    <row r="680" spans="2:13" x14ac:dyDescent="0.25">
      <c r="B680" s="15" t="s">
        <v>14</v>
      </c>
      <c r="C680" s="9"/>
      <c r="D680" s="9">
        <v>33.6</v>
      </c>
      <c r="E680" s="10">
        <v>36.200000000000003</v>
      </c>
      <c r="F680" s="9" t="str">
        <f t="shared" si="46"/>
        <v/>
      </c>
      <c r="G680" s="9">
        <f t="shared" si="47"/>
        <v>10.695212175775367</v>
      </c>
      <c r="H680" s="10">
        <f t="shared" si="48"/>
        <v>11.522817879853223</v>
      </c>
      <c r="K680" s="11" t="str">
        <f>_xlfn.XLOOKUP(F680,Ref!$B$3:$B$12,Ref!$C$3:$C$12,"",1)</f>
        <v/>
      </c>
      <c r="L680" s="11">
        <f>_xlfn.XLOOKUP(G680,Ref!$B$3:$B$12,Ref!$C$3:$C$12,"",1)</f>
        <v>1</v>
      </c>
      <c r="M680" s="11">
        <f>_xlfn.XLOOKUP(H680,Ref!$B$3:$B$12,Ref!$C$3:$C$12,"",1)</f>
        <v>1</v>
      </c>
    </row>
    <row r="681" spans="2:13" x14ac:dyDescent="0.25">
      <c r="B681" s="15" t="s">
        <v>40</v>
      </c>
      <c r="C681" s="9"/>
      <c r="D681" s="9">
        <v>34.5</v>
      </c>
      <c r="E681" s="10">
        <v>36.4</v>
      </c>
      <c r="F681" s="9" t="str">
        <f t="shared" si="46"/>
        <v/>
      </c>
      <c r="G681" s="9">
        <f t="shared" si="47"/>
        <v>10.981691073340778</v>
      </c>
      <c r="H681" s="10">
        <f t="shared" si="48"/>
        <v>11.58647985708998</v>
      </c>
      <c r="K681" s="11" t="str">
        <f>_xlfn.XLOOKUP(F681,Ref!$B$3:$B$12,Ref!$C$3:$C$12,"",1)</f>
        <v/>
      </c>
      <c r="L681" s="11">
        <f>_xlfn.XLOOKUP(G681,Ref!$B$3:$B$12,Ref!$C$3:$C$12,"",1)</f>
        <v>1</v>
      </c>
      <c r="M681" s="11">
        <f>_xlfn.XLOOKUP(H681,Ref!$B$3:$B$12,Ref!$C$3:$C$12,"",1)</f>
        <v>1</v>
      </c>
    </row>
    <row r="682" spans="2:13" x14ac:dyDescent="0.25">
      <c r="B682" s="15" t="s">
        <v>10</v>
      </c>
      <c r="C682" s="9"/>
      <c r="D682" s="9">
        <v>35</v>
      </c>
      <c r="E682" s="10">
        <v>40.200000000000003</v>
      </c>
      <c r="F682" s="9" t="str">
        <f t="shared" si="46"/>
        <v/>
      </c>
      <c r="G682" s="9">
        <f t="shared" si="47"/>
        <v>11.140846016432674</v>
      </c>
      <c r="H682" s="10">
        <f t="shared" si="48"/>
        <v>12.796057424588387</v>
      </c>
      <c r="K682" s="11" t="str">
        <f>_xlfn.XLOOKUP(F682,Ref!$B$3:$B$12,Ref!$C$3:$C$12,"",1)</f>
        <v/>
      </c>
      <c r="L682" s="11">
        <f>_xlfn.XLOOKUP(G682,Ref!$B$3:$B$12,Ref!$C$3:$C$12,"",1)</f>
        <v>1</v>
      </c>
      <c r="M682" s="11">
        <f>_xlfn.XLOOKUP(H682,Ref!$B$3:$B$12,Ref!$C$3:$C$12,"",1)</f>
        <v>1</v>
      </c>
    </row>
    <row r="683" spans="2:13" x14ac:dyDescent="0.25">
      <c r="B683" s="15" t="s">
        <v>10</v>
      </c>
      <c r="C683" s="9"/>
      <c r="D683" s="9"/>
      <c r="E683" s="10">
        <v>35.299999999999997</v>
      </c>
      <c r="F683" s="9" t="str">
        <f t="shared" si="46"/>
        <v/>
      </c>
      <c r="G683" s="9" t="str">
        <f t="shared" si="47"/>
        <v/>
      </c>
      <c r="H683" s="10">
        <f t="shared" si="48"/>
        <v>11.23633898228781</v>
      </c>
      <c r="K683" s="11" t="str">
        <f>_xlfn.XLOOKUP(F683,Ref!$B$3:$B$12,Ref!$C$3:$C$12,"",1)</f>
        <v/>
      </c>
      <c r="L683" s="11" t="str">
        <f>_xlfn.XLOOKUP(G683,Ref!$B$3:$B$12,Ref!$C$3:$C$12,"",1)</f>
        <v/>
      </c>
      <c r="M683" s="11">
        <f>_xlfn.XLOOKUP(H683,Ref!$B$3:$B$12,Ref!$C$3:$C$12,"",1)</f>
        <v>1</v>
      </c>
    </row>
    <row r="684" spans="2:13" x14ac:dyDescent="0.25">
      <c r="B684" s="15" t="s">
        <v>10</v>
      </c>
      <c r="C684" s="9"/>
      <c r="D684" s="9"/>
      <c r="E684" s="10">
        <v>31.6</v>
      </c>
      <c r="F684" s="9" t="str">
        <f t="shared" si="46"/>
        <v/>
      </c>
      <c r="G684" s="9" t="str">
        <f t="shared" si="47"/>
        <v/>
      </c>
      <c r="H684" s="10">
        <f t="shared" si="48"/>
        <v>10.058592403407786</v>
      </c>
      <c r="K684" s="11" t="str">
        <f>_xlfn.XLOOKUP(F684,Ref!$B$3:$B$12,Ref!$C$3:$C$12,"",1)</f>
        <v/>
      </c>
      <c r="L684" s="11" t="str">
        <f>_xlfn.XLOOKUP(G684,Ref!$B$3:$B$12,Ref!$C$3:$C$12,"",1)</f>
        <v/>
      </c>
      <c r="M684" s="11">
        <f>_xlfn.XLOOKUP(H684,Ref!$B$3:$B$12,Ref!$C$3:$C$12,"",1)</f>
        <v>1</v>
      </c>
    </row>
    <row r="685" spans="2:13" x14ac:dyDescent="0.25">
      <c r="B685" s="15" t="s">
        <v>12</v>
      </c>
      <c r="C685" s="9">
        <v>45</v>
      </c>
      <c r="D685" s="9">
        <v>38.4</v>
      </c>
      <c r="E685" s="10">
        <v>50.1</v>
      </c>
      <c r="F685" s="9">
        <f t="shared" si="46"/>
        <v>14.323944878270581</v>
      </c>
      <c r="G685" s="9">
        <f t="shared" si="47"/>
        <v>12.223099629457561</v>
      </c>
      <c r="H685" s="10">
        <f t="shared" si="48"/>
        <v>15.947325297807915</v>
      </c>
      <c r="K685" s="11">
        <f>_xlfn.XLOOKUP(F685,Ref!$B$3:$B$12,Ref!$C$3:$C$12,"",1)</f>
        <v>1</v>
      </c>
      <c r="L685" s="11">
        <f>_xlfn.XLOOKUP(G685,Ref!$B$3:$B$12,Ref!$C$3:$C$12,"",1)</f>
        <v>1</v>
      </c>
      <c r="M685" s="11">
        <f>_xlfn.XLOOKUP(H685,Ref!$B$3:$B$12,Ref!$C$3:$C$12,"",1)</f>
        <v>1</v>
      </c>
    </row>
    <row r="686" spans="2:13" x14ac:dyDescent="0.25">
      <c r="B686" s="15" t="s">
        <v>15</v>
      </c>
      <c r="C686" s="9">
        <v>34.9</v>
      </c>
      <c r="D686" s="9">
        <v>0</v>
      </c>
      <c r="E686" s="10">
        <v>0</v>
      </c>
      <c r="F686" s="9">
        <f t="shared" si="46"/>
        <v>11.109015027814294</v>
      </c>
      <c r="G686" s="9">
        <f t="shared" si="47"/>
        <v>0</v>
      </c>
      <c r="H686" s="10">
        <f t="shared" si="48"/>
        <v>0</v>
      </c>
      <c r="K686" s="11">
        <f>_xlfn.XLOOKUP(F686,Ref!$B$3:$B$12,Ref!$C$3:$C$12,"",1)</f>
        <v>1</v>
      </c>
      <c r="L686" s="11" t="str">
        <f>_xlfn.XLOOKUP(G686,Ref!$B$3:$B$12,Ref!$C$3:$C$12,"",1)</f>
        <v>Morta</v>
      </c>
      <c r="M686" s="11" t="str">
        <f>_xlfn.XLOOKUP(H686,Ref!$B$3:$B$12,Ref!$C$3:$C$12,"",1)</f>
        <v>Morta</v>
      </c>
    </row>
    <row r="687" spans="2:13" x14ac:dyDescent="0.25">
      <c r="B687" s="15" t="s">
        <v>72</v>
      </c>
      <c r="C687" s="9">
        <v>51.3</v>
      </c>
      <c r="D687" s="9">
        <v>51.5</v>
      </c>
      <c r="E687" s="10">
        <v>52</v>
      </c>
      <c r="F687" s="9">
        <f t="shared" si="46"/>
        <v>16.32929716122846</v>
      </c>
      <c r="G687" s="9">
        <f t="shared" si="47"/>
        <v>16.392959138465219</v>
      </c>
      <c r="H687" s="10">
        <f t="shared" si="48"/>
        <v>16.552114081557114</v>
      </c>
      <c r="K687" s="11">
        <f>_xlfn.XLOOKUP(F687,Ref!$B$3:$B$12,Ref!$C$3:$C$12,"",1)</f>
        <v>1</v>
      </c>
      <c r="L687" s="11">
        <f>_xlfn.XLOOKUP(G687,Ref!$B$3:$B$12,Ref!$C$3:$C$12,"",1)</f>
        <v>1</v>
      </c>
      <c r="M687" s="11">
        <f>_xlfn.XLOOKUP(H687,Ref!$B$3:$B$12,Ref!$C$3:$C$12,"",1)</f>
        <v>1</v>
      </c>
    </row>
    <row r="688" spans="2:13" x14ac:dyDescent="0.25">
      <c r="B688" s="15" t="s">
        <v>7</v>
      </c>
      <c r="C688" s="9">
        <v>81.5</v>
      </c>
      <c r="D688" s="9">
        <v>86.4</v>
      </c>
      <c r="E688" s="10">
        <v>91.4</v>
      </c>
      <c r="F688" s="9">
        <f t="shared" si="46"/>
        <v>25.942255723978942</v>
      </c>
      <c r="G688" s="9">
        <f t="shared" si="47"/>
        <v>27.501974166279517</v>
      </c>
      <c r="H688" s="10">
        <f t="shared" si="48"/>
        <v>29.09352359719847</v>
      </c>
      <c r="K688" s="11">
        <f>_xlfn.XLOOKUP(F688,Ref!$B$3:$B$12,Ref!$C$3:$C$12,"",1)</f>
        <v>2</v>
      </c>
      <c r="L688" s="11">
        <f>_xlfn.XLOOKUP(G688,Ref!$B$3:$B$12,Ref!$C$3:$C$12,"",1)</f>
        <v>2</v>
      </c>
      <c r="M688" s="11">
        <f>_xlfn.XLOOKUP(H688,Ref!$B$3:$B$12,Ref!$C$3:$C$12,"",1)</f>
        <v>2</v>
      </c>
    </row>
    <row r="689" spans="2:13" x14ac:dyDescent="0.25">
      <c r="B689" s="15" t="s">
        <v>12</v>
      </c>
      <c r="C689" s="9">
        <v>32.5</v>
      </c>
      <c r="D689" s="9">
        <v>33.9</v>
      </c>
      <c r="E689" s="10">
        <v>34.799999999999997</v>
      </c>
      <c r="F689" s="9">
        <f t="shared" si="46"/>
        <v>10.345071300973197</v>
      </c>
      <c r="G689" s="9">
        <f t="shared" si="47"/>
        <v>10.790705141630504</v>
      </c>
      <c r="H689" s="10">
        <f t="shared" si="48"/>
        <v>11.077184039195915</v>
      </c>
      <c r="K689" s="11">
        <f>_xlfn.XLOOKUP(F689,Ref!$B$3:$B$12,Ref!$C$3:$C$12,"",1)</f>
        <v>1</v>
      </c>
      <c r="L689" s="11">
        <f>_xlfn.XLOOKUP(G689,Ref!$B$3:$B$12,Ref!$C$3:$C$12,"",1)</f>
        <v>1</v>
      </c>
      <c r="M689" s="11">
        <f>_xlfn.XLOOKUP(H689,Ref!$B$3:$B$12,Ref!$C$3:$C$12,"",1)</f>
        <v>1</v>
      </c>
    </row>
    <row r="690" spans="2:13" x14ac:dyDescent="0.25">
      <c r="B690" s="15" t="s">
        <v>65</v>
      </c>
      <c r="C690" s="9">
        <v>47</v>
      </c>
      <c r="D690" s="9">
        <v>51.2</v>
      </c>
      <c r="E690" s="10">
        <v>53.8</v>
      </c>
      <c r="F690" s="9">
        <f t="shared" si="46"/>
        <v>14.960564650638162</v>
      </c>
      <c r="G690" s="9">
        <f t="shared" si="47"/>
        <v>16.297466172610083</v>
      </c>
      <c r="H690" s="10">
        <f t="shared" si="48"/>
        <v>17.125071876687937</v>
      </c>
      <c r="K690" s="11">
        <f>_xlfn.XLOOKUP(F690,Ref!$B$3:$B$12,Ref!$C$3:$C$12,"",1)</f>
        <v>1</v>
      </c>
      <c r="L690" s="11">
        <f>_xlfn.XLOOKUP(G690,Ref!$B$3:$B$12,Ref!$C$3:$C$12,"",1)</f>
        <v>1</v>
      </c>
      <c r="M690" s="11">
        <f>_xlfn.XLOOKUP(H690,Ref!$B$3:$B$12,Ref!$C$3:$C$12,"",1)</f>
        <v>1</v>
      </c>
    </row>
    <row r="691" spans="2:13" x14ac:dyDescent="0.25">
      <c r="B691" s="15" t="s">
        <v>65</v>
      </c>
      <c r="C691" s="9">
        <v>102.4</v>
      </c>
      <c r="D691" s="9">
        <v>110</v>
      </c>
      <c r="E691" s="10">
        <v>112.6</v>
      </c>
      <c r="F691" s="9">
        <f t="shared" si="46"/>
        <v>32.594932345220165</v>
      </c>
      <c r="G691" s="9">
        <f t="shared" si="47"/>
        <v>35.014087480216972</v>
      </c>
      <c r="H691" s="10">
        <f t="shared" si="48"/>
        <v>35.841693184294826</v>
      </c>
      <c r="K691" s="11">
        <f>_xlfn.XLOOKUP(F691,Ref!$B$3:$B$12,Ref!$C$3:$C$12,"",1)</f>
        <v>3</v>
      </c>
      <c r="L691" s="11">
        <f>_xlfn.XLOOKUP(G691,Ref!$B$3:$B$12,Ref!$C$3:$C$12,"",1)</f>
        <v>3</v>
      </c>
      <c r="M691" s="11">
        <f>_xlfn.XLOOKUP(H691,Ref!$B$3:$B$12,Ref!$C$3:$C$12,"",1)</f>
        <v>3</v>
      </c>
    </row>
    <row r="692" spans="2:13" x14ac:dyDescent="0.25">
      <c r="B692" s="15" t="s">
        <v>6</v>
      </c>
      <c r="C692" s="9">
        <v>42.9</v>
      </c>
      <c r="D692" s="9">
        <v>42.8</v>
      </c>
      <c r="E692" s="10">
        <v>46.5</v>
      </c>
      <c r="F692" s="9">
        <f t="shared" si="46"/>
        <v>13.65549411728462</v>
      </c>
      <c r="G692" s="9">
        <f t="shared" si="47"/>
        <v>13.623663128666241</v>
      </c>
      <c r="H692" s="10">
        <f t="shared" si="48"/>
        <v>14.801409707546267</v>
      </c>
      <c r="K692" s="11">
        <f>_xlfn.XLOOKUP(F692,Ref!$B$3:$B$12,Ref!$C$3:$C$12,"",1)</f>
        <v>1</v>
      </c>
      <c r="L692" s="11">
        <f>_xlfn.XLOOKUP(G692,Ref!$B$3:$B$12,Ref!$C$3:$C$12,"",1)</f>
        <v>1</v>
      </c>
      <c r="M692" s="11">
        <f>_xlfn.XLOOKUP(H692,Ref!$B$3:$B$12,Ref!$C$3:$C$12,"",1)</f>
        <v>1</v>
      </c>
    </row>
    <row r="693" spans="2:13" x14ac:dyDescent="0.25">
      <c r="B693" s="15" t="s">
        <v>14</v>
      </c>
      <c r="C693" s="9">
        <v>43.9</v>
      </c>
      <c r="D693" s="9">
        <v>50.5</v>
      </c>
      <c r="E693" s="10">
        <v>55.5</v>
      </c>
      <c r="F693" s="9">
        <f t="shared" si="46"/>
        <v>13.973804003468411</v>
      </c>
      <c r="G693" s="9">
        <f t="shared" si="47"/>
        <v>16.074649252281429</v>
      </c>
      <c r="H693" s="10">
        <f t="shared" si="48"/>
        <v>17.666198683200381</v>
      </c>
      <c r="K693" s="11">
        <f>_xlfn.XLOOKUP(F693,Ref!$B$3:$B$12,Ref!$C$3:$C$12,"",1)</f>
        <v>1</v>
      </c>
      <c r="L693" s="11">
        <f>_xlfn.XLOOKUP(G693,Ref!$B$3:$B$12,Ref!$C$3:$C$12,"",1)</f>
        <v>1</v>
      </c>
      <c r="M693" s="11">
        <f>_xlfn.XLOOKUP(H693,Ref!$B$3:$B$12,Ref!$C$3:$C$12,"",1)</f>
        <v>1</v>
      </c>
    </row>
    <row r="694" spans="2:13" x14ac:dyDescent="0.25">
      <c r="B694" s="15" t="s">
        <v>41</v>
      </c>
      <c r="C694" s="9">
        <v>42.6</v>
      </c>
      <c r="D694" s="9">
        <v>45.3</v>
      </c>
      <c r="E694" s="10">
        <v>47.5</v>
      </c>
      <c r="F694" s="9">
        <f t="shared" si="46"/>
        <v>13.560001151429484</v>
      </c>
      <c r="G694" s="9">
        <f t="shared" si="47"/>
        <v>14.419437844125717</v>
      </c>
      <c r="H694" s="10">
        <f t="shared" si="48"/>
        <v>15.119719593730057</v>
      </c>
      <c r="K694" s="11">
        <f>_xlfn.XLOOKUP(F694,Ref!$B$3:$B$12,Ref!$C$3:$C$12,"",1)</f>
        <v>1</v>
      </c>
      <c r="L694" s="11">
        <f>_xlfn.XLOOKUP(G694,Ref!$B$3:$B$12,Ref!$C$3:$C$12,"",1)</f>
        <v>1</v>
      </c>
      <c r="M694" s="11">
        <f>_xlfn.XLOOKUP(H694,Ref!$B$3:$B$12,Ref!$C$3:$C$12,"",1)</f>
        <v>1</v>
      </c>
    </row>
    <row r="695" spans="2:13" x14ac:dyDescent="0.25">
      <c r="B695" s="15" t="s">
        <v>14</v>
      </c>
      <c r="C695" s="9">
        <v>62.5</v>
      </c>
      <c r="D695" s="9">
        <v>70.8</v>
      </c>
      <c r="E695" s="10">
        <v>78.400000000000006</v>
      </c>
      <c r="F695" s="9">
        <f t="shared" si="46"/>
        <v>19.894367886486918</v>
      </c>
      <c r="G695" s="9">
        <f t="shared" si="47"/>
        <v>22.536339941812379</v>
      </c>
      <c r="H695" s="10">
        <f t="shared" si="48"/>
        <v>24.955495076809193</v>
      </c>
      <c r="K695" s="11">
        <f>_xlfn.XLOOKUP(F695,Ref!$B$3:$B$12,Ref!$C$3:$C$12,"",1)</f>
        <v>1</v>
      </c>
      <c r="L695" s="11">
        <f>_xlfn.XLOOKUP(G695,Ref!$B$3:$B$12,Ref!$C$3:$C$12,"",1)</f>
        <v>2</v>
      </c>
      <c r="M695" s="11">
        <f>_xlfn.XLOOKUP(H695,Ref!$B$3:$B$12,Ref!$C$3:$C$12,"",1)</f>
        <v>2</v>
      </c>
    </row>
    <row r="696" spans="2:13" x14ac:dyDescent="0.25">
      <c r="B696" s="15" t="s">
        <v>24</v>
      </c>
      <c r="C696" s="9">
        <v>71.5</v>
      </c>
      <c r="D696" s="9">
        <v>79</v>
      </c>
      <c r="E696" s="10">
        <v>85.1</v>
      </c>
      <c r="F696" s="9">
        <f t="shared" si="46"/>
        <v>22.759156862141033</v>
      </c>
      <c r="G696" s="9">
        <f t="shared" si="47"/>
        <v>25.146481008519466</v>
      </c>
      <c r="H696" s="10">
        <f t="shared" si="48"/>
        <v>27.088171314240586</v>
      </c>
      <c r="K696" s="11">
        <f>_xlfn.XLOOKUP(F696,Ref!$B$3:$B$12,Ref!$C$3:$C$12,"",1)</f>
        <v>2</v>
      </c>
      <c r="L696" s="11">
        <f>_xlfn.XLOOKUP(G696,Ref!$B$3:$B$12,Ref!$C$3:$C$12,"",1)</f>
        <v>2</v>
      </c>
      <c r="M696" s="11">
        <f>_xlfn.XLOOKUP(H696,Ref!$B$3:$B$12,Ref!$C$3:$C$12,"",1)</f>
        <v>2</v>
      </c>
    </row>
    <row r="697" spans="2:13" x14ac:dyDescent="0.25">
      <c r="B697" s="15" t="s">
        <v>8</v>
      </c>
      <c r="C697" s="9">
        <v>169</v>
      </c>
      <c r="D697" s="9">
        <v>169</v>
      </c>
      <c r="E697" s="10">
        <v>170.5</v>
      </c>
      <c r="F697" s="9">
        <f t="shared" si="46"/>
        <v>53.794370765060627</v>
      </c>
      <c r="G697" s="9">
        <f t="shared" si="47"/>
        <v>53.794370765060627</v>
      </c>
      <c r="H697" s="10">
        <f t="shared" si="48"/>
        <v>54.271835594336309</v>
      </c>
      <c r="K697" s="11">
        <f>_xlfn.XLOOKUP(F697,Ref!$B$3:$B$12,Ref!$C$3:$C$12,"",1)</f>
        <v>5</v>
      </c>
      <c r="L697" s="11">
        <f>_xlfn.XLOOKUP(G697,Ref!$B$3:$B$12,Ref!$C$3:$C$12,"",1)</f>
        <v>5</v>
      </c>
      <c r="M697" s="11">
        <f>_xlfn.XLOOKUP(H697,Ref!$B$3:$B$12,Ref!$C$3:$C$12,"",1)</f>
        <v>5</v>
      </c>
    </row>
    <row r="698" spans="2:13" x14ac:dyDescent="0.25">
      <c r="B698" s="15" t="s">
        <v>59</v>
      </c>
      <c r="C698" s="9">
        <v>33.9</v>
      </c>
      <c r="D698" s="9">
        <v>34.700000000000003</v>
      </c>
      <c r="E698" s="10">
        <v>35.299999999999997</v>
      </c>
      <c r="F698" s="9">
        <f t="shared" si="46"/>
        <v>10.790705141630504</v>
      </c>
      <c r="G698" s="9">
        <f t="shared" si="47"/>
        <v>11.045353050577537</v>
      </c>
      <c r="H698" s="10">
        <f t="shared" si="48"/>
        <v>11.23633898228781</v>
      </c>
      <c r="K698" s="11">
        <f>_xlfn.XLOOKUP(F698,Ref!$B$3:$B$12,Ref!$C$3:$C$12,"",1)</f>
        <v>1</v>
      </c>
      <c r="L698" s="11">
        <f>_xlfn.XLOOKUP(G698,Ref!$B$3:$B$12,Ref!$C$3:$C$12,"",1)</f>
        <v>1</v>
      </c>
      <c r="M698" s="11">
        <f>_xlfn.XLOOKUP(H698,Ref!$B$3:$B$12,Ref!$C$3:$C$12,"",1)</f>
        <v>1</v>
      </c>
    </row>
    <row r="699" spans="2:13" x14ac:dyDescent="0.25">
      <c r="B699" s="15" t="s">
        <v>24</v>
      </c>
      <c r="C699" s="9">
        <v>79.900000000000006</v>
      </c>
      <c r="D699" s="9">
        <v>83.6</v>
      </c>
      <c r="E699" s="10">
        <v>89.1</v>
      </c>
      <c r="F699" s="9">
        <f t="shared" si="46"/>
        <v>25.432959906084879</v>
      </c>
      <c r="G699" s="9">
        <f t="shared" si="47"/>
        <v>26.610706484964901</v>
      </c>
      <c r="H699" s="10">
        <f t="shared" si="48"/>
        <v>28.361410858975749</v>
      </c>
      <c r="K699" s="11">
        <f>_xlfn.XLOOKUP(F699,Ref!$B$3:$B$12,Ref!$C$3:$C$12,"",1)</f>
        <v>2</v>
      </c>
      <c r="L699" s="11">
        <f>_xlfn.XLOOKUP(G699,Ref!$B$3:$B$12,Ref!$C$3:$C$12,"",1)</f>
        <v>2</v>
      </c>
      <c r="M699" s="11">
        <f>_xlfn.XLOOKUP(H699,Ref!$B$3:$B$12,Ref!$C$3:$C$12,"",1)</f>
        <v>2</v>
      </c>
    </row>
    <row r="700" spans="2:13" x14ac:dyDescent="0.25">
      <c r="B700" s="15" t="s">
        <v>65</v>
      </c>
      <c r="C700" s="9">
        <v>65.5</v>
      </c>
      <c r="D700" s="9">
        <v>71.400000000000006</v>
      </c>
      <c r="E700" s="10">
        <v>79.8</v>
      </c>
      <c r="F700" s="9">
        <f t="shared" si="46"/>
        <v>20.84929754503829</v>
      </c>
      <c r="G700" s="9">
        <f t="shared" si="47"/>
        <v>22.727325873522656</v>
      </c>
      <c r="H700" s="10">
        <f t="shared" si="48"/>
        <v>25.401128917466497</v>
      </c>
      <c r="K700" s="11">
        <f>_xlfn.XLOOKUP(F700,Ref!$B$3:$B$12,Ref!$C$3:$C$12,"",1)</f>
        <v>2</v>
      </c>
      <c r="L700" s="11">
        <f>_xlfn.XLOOKUP(G700,Ref!$B$3:$B$12,Ref!$C$3:$C$12,"",1)</f>
        <v>2</v>
      </c>
      <c r="M700" s="11">
        <f>_xlfn.XLOOKUP(H700,Ref!$B$3:$B$12,Ref!$C$3:$C$12,"",1)</f>
        <v>2</v>
      </c>
    </row>
    <row r="701" spans="2:13" x14ac:dyDescent="0.25">
      <c r="B701" s="15" t="s">
        <v>15</v>
      </c>
      <c r="C701" s="9">
        <v>34</v>
      </c>
      <c r="D701" s="9">
        <v>34.299999999999997</v>
      </c>
      <c r="E701" s="10">
        <v>0</v>
      </c>
      <c r="F701" s="9">
        <f t="shared" si="46"/>
        <v>10.822536130248883</v>
      </c>
      <c r="G701" s="9">
        <f t="shared" si="47"/>
        <v>10.91802909610402</v>
      </c>
      <c r="H701" s="10">
        <f t="shared" si="48"/>
        <v>0</v>
      </c>
      <c r="K701" s="11">
        <f>_xlfn.XLOOKUP(F701,Ref!$B$3:$B$12,Ref!$C$3:$C$12,"",1)</f>
        <v>1</v>
      </c>
      <c r="L701" s="11">
        <f>_xlfn.XLOOKUP(G701,Ref!$B$3:$B$12,Ref!$C$3:$C$12,"",1)</f>
        <v>1</v>
      </c>
      <c r="M701" s="11" t="str">
        <f>_xlfn.XLOOKUP(H701,Ref!$B$3:$B$12,Ref!$C$3:$C$12,"",1)</f>
        <v>Morta</v>
      </c>
    </row>
    <row r="702" spans="2:13" x14ac:dyDescent="0.25">
      <c r="B702" s="15" t="s">
        <v>15</v>
      </c>
      <c r="C702" s="9">
        <v>32.6</v>
      </c>
      <c r="D702" s="9">
        <v>32.9</v>
      </c>
      <c r="E702" s="10">
        <v>0</v>
      </c>
      <c r="F702" s="9">
        <f t="shared" si="46"/>
        <v>10.376902289591577</v>
      </c>
      <c r="G702" s="9">
        <f t="shared" si="47"/>
        <v>10.472395255446713</v>
      </c>
      <c r="H702" s="10">
        <f t="shared" si="48"/>
        <v>0</v>
      </c>
      <c r="K702" s="11">
        <f>_xlfn.XLOOKUP(F702,Ref!$B$3:$B$12,Ref!$C$3:$C$12,"",1)</f>
        <v>1</v>
      </c>
      <c r="L702" s="11">
        <f>_xlfn.XLOOKUP(G702,Ref!$B$3:$B$12,Ref!$C$3:$C$12,"",1)</f>
        <v>1</v>
      </c>
      <c r="M702" s="11" t="str">
        <f>_xlfn.XLOOKUP(H702,Ref!$B$3:$B$12,Ref!$C$3:$C$12,"",1)</f>
        <v>Morta</v>
      </c>
    </row>
    <row r="703" spans="2:13" x14ac:dyDescent="0.25">
      <c r="B703" s="15" t="s">
        <v>6</v>
      </c>
      <c r="C703" s="9">
        <v>32.200000000000003</v>
      </c>
      <c r="D703" s="9">
        <v>35.5</v>
      </c>
      <c r="E703" s="10">
        <v>38</v>
      </c>
      <c r="F703" s="9">
        <f t="shared" si="46"/>
        <v>10.249578335118061</v>
      </c>
      <c r="G703" s="9">
        <f t="shared" si="47"/>
        <v>11.300000959524569</v>
      </c>
      <c r="H703" s="10">
        <f t="shared" si="48"/>
        <v>12.095775674984045</v>
      </c>
      <c r="K703" s="11">
        <f>_xlfn.XLOOKUP(F703,Ref!$B$3:$B$12,Ref!$C$3:$C$12,"",1)</f>
        <v>1</v>
      </c>
      <c r="L703" s="11">
        <f>_xlfn.XLOOKUP(G703,Ref!$B$3:$B$12,Ref!$C$3:$C$12,"",1)</f>
        <v>1</v>
      </c>
      <c r="M703" s="11">
        <f>_xlfn.XLOOKUP(H703,Ref!$B$3:$B$12,Ref!$C$3:$C$12,"",1)</f>
        <v>1</v>
      </c>
    </row>
    <row r="704" spans="2:13" x14ac:dyDescent="0.25">
      <c r="B704" s="15" t="s">
        <v>8</v>
      </c>
      <c r="C704" s="9">
        <v>151</v>
      </c>
      <c r="D704" s="9">
        <v>151</v>
      </c>
      <c r="E704" s="10">
        <v>151</v>
      </c>
      <c r="F704" s="9">
        <f t="shared" si="46"/>
        <v>48.064792813752391</v>
      </c>
      <c r="G704" s="9">
        <f t="shared" si="47"/>
        <v>48.064792813752391</v>
      </c>
      <c r="H704" s="10">
        <f t="shared" si="48"/>
        <v>48.064792813752391</v>
      </c>
      <c r="K704" s="11">
        <f>_xlfn.XLOOKUP(F704,Ref!$B$3:$B$12,Ref!$C$3:$C$12,"",1)</f>
        <v>4</v>
      </c>
      <c r="L704" s="11">
        <f>_xlfn.XLOOKUP(G704,Ref!$B$3:$B$12,Ref!$C$3:$C$12,"",1)</f>
        <v>4</v>
      </c>
      <c r="M704" s="11">
        <f>_xlfn.XLOOKUP(H704,Ref!$B$3:$B$12,Ref!$C$3:$C$12,"",1)</f>
        <v>4</v>
      </c>
    </row>
    <row r="705" spans="2:13" x14ac:dyDescent="0.25">
      <c r="B705" s="15" t="s">
        <v>49</v>
      </c>
      <c r="C705" s="9">
        <v>43.5</v>
      </c>
      <c r="D705" s="9">
        <v>47.3</v>
      </c>
      <c r="E705" s="10">
        <v>50.4</v>
      </c>
      <c r="F705" s="9">
        <f t="shared" si="46"/>
        <v>13.846480048994895</v>
      </c>
      <c r="G705" s="9">
        <f t="shared" si="47"/>
        <v>15.056057616493298</v>
      </c>
      <c r="H705" s="10">
        <f t="shared" si="48"/>
        <v>16.042818263663051</v>
      </c>
      <c r="K705" s="11">
        <f>_xlfn.XLOOKUP(F705,Ref!$B$3:$B$12,Ref!$C$3:$C$12,"",1)</f>
        <v>1</v>
      </c>
      <c r="L705" s="11">
        <f>_xlfn.XLOOKUP(G705,Ref!$B$3:$B$12,Ref!$C$3:$C$12,"",1)</f>
        <v>1</v>
      </c>
      <c r="M705" s="11">
        <f>_xlfn.XLOOKUP(H705,Ref!$B$3:$B$12,Ref!$C$3:$C$12,"",1)</f>
        <v>1</v>
      </c>
    </row>
    <row r="706" spans="2:13" x14ac:dyDescent="0.25">
      <c r="B706" s="15" t="s">
        <v>40</v>
      </c>
      <c r="C706" s="9">
        <v>34.299999999999997</v>
      </c>
      <c r="D706" s="9">
        <v>35</v>
      </c>
      <c r="E706" s="10">
        <v>35.5</v>
      </c>
      <c r="F706" s="9">
        <f t="shared" si="46"/>
        <v>10.91802909610402</v>
      </c>
      <c r="G706" s="9">
        <f t="shared" si="47"/>
        <v>11.140846016432674</v>
      </c>
      <c r="H706" s="10">
        <f t="shared" si="48"/>
        <v>11.300000959524569</v>
      </c>
      <c r="K706" s="11">
        <f>_xlfn.XLOOKUP(F706,Ref!$B$3:$B$12,Ref!$C$3:$C$12,"",1)</f>
        <v>1</v>
      </c>
      <c r="L706" s="11">
        <f>_xlfn.XLOOKUP(G706,Ref!$B$3:$B$12,Ref!$C$3:$C$12,"",1)</f>
        <v>1</v>
      </c>
      <c r="M706" s="11">
        <f>_xlfn.XLOOKUP(H706,Ref!$B$3:$B$12,Ref!$C$3:$C$12,"",1)</f>
        <v>1</v>
      </c>
    </row>
    <row r="707" spans="2:13" x14ac:dyDescent="0.25">
      <c r="B707" s="15" t="s">
        <v>6</v>
      </c>
      <c r="C707" s="9">
        <v>44.5</v>
      </c>
      <c r="D707" s="9">
        <v>46.5</v>
      </c>
      <c r="E707" s="10">
        <v>46.5</v>
      </c>
      <c r="F707" s="9">
        <f t="shared" si="46"/>
        <v>14.164789935178685</v>
      </c>
      <c r="G707" s="9">
        <f t="shared" si="47"/>
        <v>14.801409707546267</v>
      </c>
      <c r="H707" s="10">
        <f t="shared" si="48"/>
        <v>14.801409707546267</v>
      </c>
      <c r="K707" s="11">
        <f>_xlfn.XLOOKUP(F707,Ref!$B$3:$B$12,Ref!$C$3:$C$12,"",1)</f>
        <v>1</v>
      </c>
      <c r="L707" s="11">
        <f>_xlfn.XLOOKUP(G707,Ref!$B$3:$B$12,Ref!$C$3:$C$12,"",1)</f>
        <v>1</v>
      </c>
      <c r="M707" s="11">
        <f>_xlfn.XLOOKUP(H707,Ref!$B$3:$B$12,Ref!$C$3:$C$12,"",1)</f>
        <v>1</v>
      </c>
    </row>
    <row r="708" spans="2:13" x14ac:dyDescent="0.25">
      <c r="B708" s="15" t="s">
        <v>6</v>
      </c>
      <c r="C708" s="9">
        <v>36.299999999999997</v>
      </c>
      <c r="D708" s="9">
        <v>36.299999999999997</v>
      </c>
      <c r="E708" s="10">
        <v>36.299999999999997</v>
      </c>
      <c r="F708" s="9">
        <f t="shared" si="46"/>
        <v>11.554648868471601</v>
      </c>
      <c r="G708" s="9">
        <f t="shared" si="47"/>
        <v>11.554648868471601</v>
      </c>
      <c r="H708" s="10">
        <f t="shared" si="48"/>
        <v>11.554648868471601</v>
      </c>
      <c r="K708" s="11">
        <f>_xlfn.XLOOKUP(F708,Ref!$B$3:$B$12,Ref!$C$3:$C$12,"",1)</f>
        <v>1</v>
      </c>
      <c r="L708" s="11">
        <f>_xlfn.XLOOKUP(G708,Ref!$B$3:$B$12,Ref!$C$3:$C$12,"",1)</f>
        <v>1</v>
      </c>
      <c r="M708" s="11">
        <f>_xlfn.XLOOKUP(H708,Ref!$B$3:$B$12,Ref!$C$3:$C$12,"",1)</f>
        <v>1</v>
      </c>
    </row>
    <row r="709" spans="2:13" x14ac:dyDescent="0.25">
      <c r="B709" s="15" t="s">
        <v>12</v>
      </c>
      <c r="C709" s="9">
        <v>46.3</v>
      </c>
      <c r="D709" s="9">
        <v>49.5</v>
      </c>
      <c r="E709" s="10">
        <v>52.4</v>
      </c>
      <c r="F709" s="9">
        <f t="shared" si="46"/>
        <v>14.737747730309508</v>
      </c>
      <c r="G709" s="9">
        <f t="shared" si="47"/>
        <v>15.756339366097638</v>
      </c>
      <c r="H709" s="10">
        <f t="shared" si="48"/>
        <v>16.679438036030632</v>
      </c>
      <c r="K709" s="11">
        <f>_xlfn.XLOOKUP(F709,Ref!$B$3:$B$12,Ref!$C$3:$C$12,"",1)</f>
        <v>1</v>
      </c>
      <c r="L709" s="11">
        <f>_xlfn.XLOOKUP(G709,Ref!$B$3:$B$12,Ref!$C$3:$C$12,"",1)</f>
        <v>1</v>
      </c>
      <c r="M709" s="11">
        <f>_xlfn.XLOOKUP(H709,Ref!$B$3:$B$12,Ref!$C$3:$C$12,"",1)</f>
        <v>1</v>
      </c>
    </row>
    <row r="710" spans="2:13" x14ac:dyDescent="0.25">
      <c r="B710" s="15" t="s">
        <v>12</v>
      </c>
      <c r="C710" s="9">
        <v>45.3</v>
      </c>
      <c r="D710" s="9">
        <v>46.4</v>
      </c>
      <c r="E710" s="10">
        <v>46.5</v>
      </c>
      <c r="F710" s="9">
        <f t="shared" si="46"/>
        <v>14.419437844125717</v>
      </c>
      <c r="G710" s="9">
        <f t="shared" si="47"/>
        <v>14.769578718927887</v>
      </c>
      <c r="H710" s="10">
        <f t="shared" si="48"/>
        <v>14.801409707546267</v>
      </c>
      <c r="K710" s="11">
        <f>_xlfn.XLOOKUP(F710,Ref!$B$3:$B$12,Ref!$C$3:$C$12,"",1)</f>
        <v>1</v>
      </c>
      <c r="L710" s="11">
        <f>_xlfn.XLOOKUP(G710,Ref!$B$3:$B$12,Ref!$C$3:$C$12,"",1)</f>
        <v>1</v>
      </c>
      <c r="M710" s="11">
        <f>_xlfn.XLOOKUP(H710,Ref!$B$3:$B$12,Ref!$C$3:$C$12,"",1)</f>
        <v>1</v>
      </c>
    </row>
    <row r="711" spans="2:13" x14ac:dyDescent="0.25">
      <c r="B711" s="15" t="s">
        <v>40</v>
      </c>
      <c r="C711" s="9">
        <v>36.9</v>
      </c>
      <c r="D711" s="9">
        <v>38.5</v>
      </c>
      <c r="E711" s="10">
        <v>39.700000000000003</v>
      </c>
      <c r="F711" s="9">
        <f t="shared" si="46"/>
        <v>11.745634800181875</v>
      </c>
      <c r="G711" s="9">
        <f t="shared" si="47"/>
        <v>12.254930618075941</v>
      </c>
      <c r="H711" s="10">
        <f t="shared" si="48"/>
        <v>12.636902481496492</v>
      </c>
      <c r="K711" s="11">
        <f>_xlfn.XLOOKUP(F711,Ref!$B$3:$B$12,Ref!$C$3:$C$12,"",1)</f>
        <v>1</v>
      </c>
      <c r="L711" s="11">
        <f>_xlfn.XLOOKUP(G711,Ref!$B$3:$B$12,Ref!$C$3:$C$12,"",1)</f>
        <v>1</v>
      </c>
      <c r="M711" s="11">
        <f>_xlfn.XLOOKUP(H711,Ref!$B$3:$B$12,Ref!$C$3:$C$12,"",1)</f>
        <v>1</v>
      </c>
    </row>
    <row r="712" spans="2:13" x14ac:dyDescent="0.25">
      <c r="B712" s="15" t="s">
        <v>48</v>
      </c>
      <c r="C712" s="9">
        <v>31.5</v>
      </c>
      <c r="D712" s="9">
        <v>31.5</v>
      </c>
      <c r="E712" s="10">
        <v>32.200000000000003</v>
      </c>
      <c r="F712" s="9">
        <f t="shared" si="46"/>
        <v>10.026761414789407</v>
      </c>
      <c r="G712" s="9">
        <f t="shared" si="47"/>
        <v>10.026761414789407</v>
      </c>
      <c r="H712" s="10">
        <f t="shared" si="48"/>
        <v>10.249578335118061</v>
      </c>
      <c r="K712" s="11">
        <f>_xlfn.XLOOKUP(F712,Ref!$B$3:$B$12,Ref!$C$3:$C$12,"",1)</f>
        <v>1</v>
      </c>
      <c r="L712" s="11">
        <f>_xlfn.XLOOKUP(G712,Ref!$B$3:$B$12,Ref!$C$3:$C$12,"",1)</f>
        <v>1</v>
      </c>
      <c r="M712" s="11">
        <f>_xlfn.XLOOKUP(H712,Ref!$B$3:$B$12,Ref!$C$3:$C$12,"",1)</f>
        <v>1</v>
      </c>
    </row>
    <row r="713" spans="2:13" x14ac:dyDescent="0.25">
      <c r="B713" s="15" t="s">
        <v>48</v>
      </c>
      <c r="C713" s="9">
        <v>40.6</v>
      </c>
      <c r="D713" s="9">
        <v>42.5</v>
      </c>
      <c r="E713" s="10">
        <v>42.7</v>
      </c>
      <c r="F713" s="9">
        <f t="shared" si="46"/>
        <v>12.923381379061903</v>
      </c>
      <c r="G713" s="9">
        <f t="shared" si="47"/>
        <v>13.528170162811104</v>
      </c>
      <c r="H713" s="10">
        <f t="shared" si="48"/>
        <v>13.591832140047863</v>
      </c>
      <c r="K713" s="11">
        <f>_xlfn.XLOOKUP(F713,Ref!$B$3:$B$12,Ref!$C$3:$C$12,"",1)</f>
        <v>1</v>
      </c>
      <c r="L713" s="11">
        <f>_xlfn.XLOOKUP(G713,Ref!$B$3:$B$12,Ref!$C$3:$C$12,"",1)</f>
        <v>1</v>
      </c>
      <c r="M713" s="11">
        <f>_xlfn.XLOOKUP(H713,Ref!$B$3:$B$12,Ref!$C$3:$C$12,"",1)</f>
        <v>1</v>
      </c>
    </row>
    <row r="714" spans="2:13" x14ac:dyDescent="0.25">
      <c r="B714" s="15" t="s">
        <v>12</v>
      </c>
      <c r="C714" s="9">
        <v>42</v>
      </c>
      <c r="D714" s="9">
        <v>46.8</v>
      </c>
      <c r="E714" s="10">
        <v>50.8</v>
      </c>
      <c r="F714" s="9">
        <f t="shared" si="46"/>
        <v>13.369015219719209</v>
      </c>
      <c r="G714" s="9">
        <f t="shared" si="47"/>
        <v>14.896902673401403</v>
      </c>
      <c r="H714" s="10">
        <f t="shared" si="48"/>
        <v>16.170142218136565</v>
      </c>
      <c r="K714" s="11">
        <f>_xlfn.XLOOKUP(F714,Ref!$B$3:$B$12,Ref!$C$3:$C$12,"",1)</f>
        <v>1</v>
      </c>
      <c r="L714" s="11">
        <f>_xlfn.XLOOKUP(G714,Ref!$B$3:$B$12,Ref!$C$3:$C$12,"",1)</f>
        <v>1</v>
      </c>
      <c r="M714" s="11">
        <f>_xlfn.XLOOKUP(H714,Ref!$B$3:$B$12,Ref!$C$3:$C$12,"",1)</f>
        <v>1</v>
      </c>
    </row>
    <row r="715" spans="2:13" x14ac:dyDescent="0.25">
      <c r="B715" s="15" t="s">
        <v>24</v>
      </c>
      <c r="C715" s="9">
        <v>51.7</v>
      </c>
      <c r="D715" s="9">
        <v>66.099999999999994</v>
      </c>
      <c r="E715" s="10">
        <v>74.900000000000006</v>
      </c>
      <c r="F715" s="9">
        <f t="shared" si="46"/>
        <v>16.456621115701978</v>
      </c>
      <c r="G715" s="9">
        <f t="shared" si="47"/>
        <v>21.040283476748563</v>
      </c>
      <c r="H715" s="10">
        <f t="shared" si="48"/>
        <v>23.841410475165922</v>
      </c>
      <c r="K715" s="11">
        <f>_xlfn.XLOOKUP(F715,Ref!$B$3:$B$12,Ref!$C$3:$C$12,"",1)</f>
        <v>1</v>
      </c>
      <c r="L715" s="11">
        <f>_xlfn.XLOOKUP(G715,Ref!$B$3:$B$12,Ref!$C$3:$C$12,"",1)</f>
        <v>2</v>
      </c>
      <c r="M715" s="11">
        <f>_xlfn.XLOOKUP(H715,Ref!$B$3:$B$12,Ref!$C$3:$C$12,"",1)</f>
        <v>2</v>
      </c>
    </row>
    <row r="716" spans="2:13" x14ac:dyDescent="0.25">
      <c r="B716" s="15" t="s">
        <v>49</v>
      </c>
      <c r="C716" s="9">
        <v>48</v>
      </c>
      <c r="D716" s="9">
        <v>42.3</v>
      </c>
      <c r="E716" s="10">
        <v>48.5</v>
      </c>
      <c r="F716" s="9">
        <f t="shared" si="46"/>
        <v>15.278874536821952</v>
      </c>
      <c r="G716" s="9">
        <f t="shared" si="47"/>
        <v>13.464508185574346</v>
      </c>
      <c r="H716" s="10">
        <f t="shared" si="48"/>
        <v>15.438029479913848</v>
      </c>
      <c r="K716" s="11">
        <f>_xlfn.XLOOKUP(F716,Ref!$B$3:$B$12,Ref!$C$3:$C$12,"",1)</f>
        <v>1</v>
      </c>
      <c r="L716" s="11">
        <f>_xlfn.XLOOKUP(G716,Ref!$B$3:$B$12,Ref!$C$3:$C$12,"",1)</f>
        <v>1</v>
      </c>
      <c r="M716" s="11">
        <f>_xlfn.XLOOKUP(H716,Ref!$B$3:$B$12,Ref!$C$3:$C$12,"",1)</f>
        <v>1</v>
      </c>
    </row>
    <row r="717" spans="2:13" x14ac:dyDescent="0.25">
      <c r="B717" s="15" t="s">
        <v>44</v>
      </c>
      <c r="C717" s="9">
        <v>40.5</v>
      </c>
      <c r="D717" s="9">
        <v>41.1</v>
      </c>
      <c r="E717" s="10">
        <v>41.2</v>
      </c>
      <c r="F717" s="9">
        <f t="shared" si="46"/>
        <v>12.891550390443523</v>
      </c>
      <c r="G717" s="9">
        <f t="shared" si="47"/>
        <v>13.082536322153798</v>
      </c>
      <c r="H717" s="10">
        <f t="shared" si="48"/>
        <v>13.114367310772177</v>
      </c>
      <c r="K717" s="11">
        <f>_xlfn.XLOOKUP(F717,Ref!$B$3:$B$12,Ref!$C$3:$C$12,"",1)</f>
        <v>1</v>
      </c>
      <c r="L717" s="11">
        <f>_xlfn.XLOOKUP(G717,Ref!$B$3:$B$12,Ref!$C$3:$C$12,"",1)</f>
        <v>1</v>
      </c>
      <c r="M717" s="11">
        <f>_xlfn.XLOOKUP(H717,Ref!$B$3:$B$12,Ref!$C$3:$C$12,"",1)</f>
        <v>1</v>
      </c>
    </row>
    <row r="718" spans="2:13" x14ac:dyDescent="0.25">
      <c r="B718" s="15" t="s">
        <v>40</v>
      </c>
      <c r="C718" s="9"/>
      <c r="D718" s="9">
        <v>31.8</v>
      </c>
      <c r="E718" s="10">
        <v>32.700000000000003</v>
      </c>
      <c r="F718" s="9" t="str">
        <f t="shared" si="46"/>
        <v/>
      </c>
      <c r="G718" s="9">
        <f t="shared" si="47"/>
        <v>10.122254380644543</v>
      </c>
      <c r="H718" s="10">
        <f t="shared" si="48"/>
        <v>10.408733278209956</v>
      </c>
      <c r="K718" s="11" t="str">
        <f>_xlfn.XLOOKUP(F718,Ref!$B$3:$B$12,Ref!$C$3:$C$12,"",1)</f>
        <v/>
      </c>
      <c r="L718" s="11">
        <f>_xlfn.XLOOKUP(G718,Ref!$B$3:$B$12,Ref!$C$3:$C$12,"",1)</f>
        <v>1</v>
      </c>
      <c r="M718" s="11">
        <f>_xlfn.XLOOKUP(H718,Ref!$B$3:$B$12,Ref!$C$3:$C$12,"",1)</f>
        <v>1</v>
      </c>
    </row>
    <row r="719" spans="2:13" x14ac:dyDescent="0.25">
      <c r="B719" s="15" t="s">
        <v>10</v>
      </c>
      <c r="C719" s="9"/>
      <c r="D719" s="9">
        <v>31.8</v>
      </c>
      <c r="E719" s="10">
        <v>35</v>
      </c>
      <c r="F719" s="9" t="str">
        <f t="shared" si="46"/>
        <v/>
      </c>
      <c r="G719" s="9">
        <f t="shared" si="47"/>
        <v>10.122254380644543</v>
      </c>
      <c r="H719" s="10">
        <f t="shared" si="48"/>
        <v>11.140846016432674</v>
      </c>
      <c r="K719" s="11" t="str">
        <f>_xlfn.XLOOKUP(F719,Ref!$B$3:$B$12,Ref!$C$3:$C$12,"",1)</f>
        <v/>
      </c>
      <c r="L719" s="11">
        <f>_xlfn.XLOOKUP(G719,Ref!$B$3:$B$12,Ref!$C$3:$C$12,"",1)</f>
        <v>1</v>
      </c>
      <c r="M719" s="11">
        <f>_xlfn.XLOOKUP(H719,Ref!$B$3:$B$12,Ref!$C$3:$C$12,"",1)</f>
        <v>1</v>
      </c>
    </row>
    <row r="720" spans="2:13" x14ac:dyDescent="0.25">
      <c r="B720" s="15" t="s">
        <v>6</v>
      </c>
      <c r="C720" s="9"/>
      <c r="D720" s="9">
        <v>34.200000000000003</v>
      </c>
      <c r="E720" s="10">
        <v>35.5</v>
      </c>
      <c r="F720" s="9" t="str">
        <f t="shared" ref="F720:F782" si="49">IF(C720="", "", C720/PI())</f>
        <v/>
      </c>
      <c r="G720" s="9">
        <f t="shared" ref="G720:G782" si="50">IF(D720="", "", D720/PI())</f>
        <v>10.886198107485642</v>
      </c>
      <c r="H720" s="10">
        <f t="shared" ref="H720:H782" si="51">IF(E720="", "", E720/PI())</f>
        <v>11.300000959524569</v>
      </c>
      <c r="K720" s="11" t="str">
        <f>_xlfn.XLOOKUP(F720,Ref!$B$3:$B$12,Ref!$C$3:$C$12,"",1)</f>
        <v/>
      </c>
      <c r="L720" s="11">
        <f>_xlfn.XLOOKUP(G720,Ref!$B$3:$B$12,Ref!$C$3:$C$12,"",1)</f>
        <v>1</v>
      </c>
      <c r="M720" s="11">
        <f>_xlfn.XLOOKUP(H720,Ref!$B$3:$B$12,Ref!$C$3:$C$12,"",1)</f>
        <v>1</v>
      </c>
    </row>
    <row r="721" spans="2:13" x14ac:dyDescent="0.25">
      <c r="B721" s="15" t="s">
        <v>6</v>
      </c>
      <c r="C721" s="9"/>
      <c r="D721" s="9">
        <v>31.9</v>
      </c>
      <c r="E721" s="10">
        <v>33.799999999999997</v>
      </c>
      <c r="F721" s="9" t="str">
        <f t="shared" si="49"/>
        <v/>
      </c>
      <c r="G721" s="9">
        <f t="shared" si="50"/>
        <v>10.154085369262923</v>
      </c>
      <c r="H721" s="10">
        <f t="shared" si="51"/>
        <v>10.758874153012124</v>
      </c>
      <c r="K721" s="11" t="str">
        <f>_xlfn.XLOOKUP(F721,Ref!$B$3:$B$12,Ref!$C$3:$C$12,"",1)</f>
        <v/>
      </c>
      <c r="L721" s="11">
        <f>_xlfn.XLOOKUP(G721,Ref!$B$3:$B$12,Ref!$C$3:$C$12,"",1)</f>
        <v>1</v>
      </c>
      <c r="M721" s="11">
        <f>_xlfn.XLOOKUP(H721,Ref!$B$3:$B$12,Ref!$C$3:$C$12,"",1)</f>
        <v>1</v>
      </c>
    </row>
    <row r="722" spans="2:13" x14ac:dyDescent="0.25">
      <c r="B722" s="15" t="s">
        <v>57</v>
      </c>
      <c r="C722" s="9"/>
      <c r="D722" s="9">
        <v>31.9</v>
      </c>
      <c r="E722" s="10">
        <v>34.6</v>
      </c>
      <c r="F722" s="9" t="str">
        <f t="shared" si="49"/>
        <v/>
      </c>
      <c r="G722" s="9">
        <f t="shared" si="50"/>
        <v>10.154085369262923</v>
      </c>
      <c r="H722" s="10">
        <f t="shared" si="51"/>
        <v>11.013522061959158</v>
      </c>
      <c r="K722" s="11" t="str">
        <f>_xlfn.XLOOKUP(F722,Ref!$B$3:$B$12,Ref!$C$3:$C$12,"",1)</f>
        <v/>
      </c>
      <c r="L722" s="11">
        <f>_xlfn.XLOOKUP(G722,Ref!$B$3:$B$12,Ref!$C$3:$C$12,"",1)</f>
        <v>1</v>
      </c>
      <c r="M722" s="11">
        <f>_xlfn.XLOOKUP(H722,Ref!$B$3:$B$12,Ref!$C$3:$C$12,"",1)</f>
        <v>1</v>
      </c>
    </row>
    <row r="723" spans="2:13" x14ac:dyDescent="0.25">
      <c r="B723" s="15" t="s">
        <v>56</v>
      </c>
      <c r="C723" s="9">
        <v>54.7</v>
      </c>
      <c r="D723" s="9">
        <v>59</v>
      </c>
      <c r="E723" s="10">
        <v>65.5</v>
      </c>
      <c r="F723" s="9">
        <f t="shared" si="49"/>
        <v>17.411550774253353</v>
      </c>
      <c r="G723" s="9">
        <f t="shared" si="50"/>
        <v>18.780283284843652</v>
      </c>
      <c r="H723" s="10">
        <f t="shared" si="51"/>
        <v>20.84929754503829</v>
      </c>
      <c r="K723" s="11">
        <f>_xlfn.XLOOKUP(F723,Ref!$B$3:$B$12,Ref!$C$3:$C$12,"",1)</f>
        <v>1</v>
      </c>
      <c r="L723" s="11">
        <f>_xlfn.XLOOKUP(G723,Ref!$B$3:$B$12,Ref!$C$3:$C$12,"",1)</f>
        <v>1</v>
      </c>
      <c r="M723" s="11">
        <f>_xlfn.XLOOKUP(H723,Ref!$B$3:$B$12,Ref!$C$3:$C$12,"",1)</f>
        <v>2</v>
      </c>
    </row>
    <row r="724" spans="2:13" x14ac:dyDescent="0.25">
      <c r="B724" s="15" t="s">
        <v>40</v>
      </c>
      <c r="C724" s="9"/>
      <c r="D724" s="9"/>
      <c r="E724" s="10">
        <v>31.9</v>
      </c>
      <c r="F724" s="9" t="str">
        <f t="shared" si="49"/>
        <v/>
      </c>
      <c r="G724" s="9" t="str">
        <f t="shared" si="50"/>
        <v/>
      </c>
      <c r="H724" s="10">
        <f t="shared" si="51"/>
        <v>10.154085369262923</v>
      </c>
      <c r="K724" s="11" t="str">
        <f>_xlfn.XLOOKUP(F724,Ref!$B$3:$B$12,Ref!$C$3:$C$12,"",1)</f>
        <v/>
      </c>
      <c r="L724" s="11" t="str">
        <f>_xlfn.XLOOKUP(G724,Ref!$B$3:$B$12,Ref!$C$3:$C$12,"",1)</f>
        <v/>
      </c>
      <c r="M724" s="11">
        <f>_xlfn.XLOOKUP(H724,Ref!$B$3:$B$12,Ref!$C$3:$C$12,"",1)</f>
        <v>1</v>
      </c>
    </row>
    <row r="725" spans="2:13" x14ac:dyDescent="0.25">
      <c r="B725" s="15" t="s">
        <v>56</v>
      </c>
      <c r="C725" s="9"/>
      <c r="D725" s="9"/>
      <c r="E725" s="10">
        <v>33</v>
      </c>
      <c r="F725" s="9" t="str">
        <f t="shared" si="49"/>
        <v/>
      </c>
      <c r="G725" s="9" t="str">
        <f t="shared" si="50"/>
        <v/>
      </c>
      <c r="H725" s="10">
        <f t="shared" si="51"/>
        <v>10.504226244065093</v>
      </c>
      <c r="K725" s="11" t="str">
        <f>_xlfn.XLOOKUP(F725,Ref!$B$3:$B$12,Ref!$C$3:$C$12,"",1)</f>
        <v/>
      </c>
      <c r="L725" s="11" t="str">
        <f>_xlfn.XLOOKUP(G725,Ref!$B$3:$B$12,Ref!$C$3:$C$12,"",1)</f>
        <v/>
      </c>
      <c r="M725" s="11">
        <f>_xlfn.XLOOKUP(H725,Ref!$B$3:$B$12,Ref!$C$3:$C$12,"",1)</f>
        <v>1</v>
      </c>
    </row>
    <row r="726" spans="2:13" x14ac:dyDescent="0.25">
      <c r="B726" s="15" t="s">
        <v>10</v>
      </c>
      <c r="C726" s="9">
        <v>35.200000000000003</v>
      </c>
      <c r="D726" s="9">
        <v>39.200000000000003</v>
      </c>
      <c r="E726" s="10">
        <v>46</v>
      </c>
      <c r="F726" s="9">
        <f t="shared" si="49"/>
        <v>11.204507993669433</v>
      </c>
      <c r="G726" s="9">
        <f t="shared" si="50"/>
        <v>12.477747538404596</v>
      </c>
      <c r="H726" s="10">
        <f t="shared" si="51"/>
        <v>14.642254764454371</v>
      </c>
      <c r="K726" s="11">
        <f>_xlfn.XLOOKUP(F726,Ref!$B$3:$B$12,Ref!$C$3:$C$12,"",1)</f>
        <v>1</v>
      </c>
      <c r="L726" s="11">
        <f>_xlfn.XLOOKUP(G726,Ref!$B$3:$B$12,Ref!$C$3:$C$12,"",1)</f>
        <v>1</v>
      </c>
      <c r="M726" s="11">
        <f>_xlfn.XLOOKUP(H726,Ref!$B$3:$B$12,Ref!$C$3:$C$12,"",1)</f>
        <v>1</v>
      </c>
    </row>
    <row r="727" spans="2:13" x14ac:dyDescent="0.25">
      <c r="B727" s="15" t="s">
        <v>12</v>
      </c>
      <c r="C727" s="9">
        <v>67.8</v>
      </c>
      <c r="D727" s="9">
        <v>74.5</v>
      </c>
      <c r="E727" s="10">
        <v>78.599999999999994</v>
      </c>
      <c r="F727" s="9">
        <f t="shared" si="49"/>
        <v>21.581410283261008</v>
      </c>
      <c r="G727" s="9">
        <f t="shared" si="50"/>
        <v>23.714086520692405</v>
      </c>
      <c r="H727" s="10">
        <f t="shared" si="51"/>
        <v>25.019157054045944</v>
      </c>
      <c r="K727" s="11">
        <f>_xlfn.XLOOKUP(F727,Ref!$B$3:$B$12,Ref!$C$3:$C$12,"",1)</f>
        <v>2</v>
      </c>
      <c r="L727" s="11">
        <f>_xlfn.XLOOKUP(G727,Ref!$B$3:$B$12,Ref!$C$3:$C$12,"",1)</f>
        <v>2</v>
      </c>
      <c r="M727" s="11">
        <f>_xlfn.XLOOKUP(H727,Ref!$B$3:$B$12,Ref!$C$3:$C$12,"",1)</f>
        <v>2</v>
      </c>
    </row>
    <row r="728" spans="2:13" x14ac:dyDescent="0.25">
      <c r="B728" s="15" t="s">
        <v>12</v>
      </c>
      <c r="C728" s="9">
        <v>51.9</v>
      </c>
      <c r="D728" s="9">
        <v>56.7</v>
      </c>
      <c r="E728" s="10">
        <v>59.7</v>
      </c>
      <c r="F728" s="9">
        <f t="shared" si="49"/>
        <v>16.520283092938737</v>
      </c>
      <c r="G728" s="9">
        <f t="shared" si="50"/>
        <v>18.048170546620934</v>
      </c>
      <c r="H728" s="10">
        <f t="shared" si="51"/>
        <v>19.003100205172306</v>
      </c>
      <c r="K728" s="11">
        <f>_xlfn.XLOOKUP(F728,Ref!$B$3:$B$12,Ref!$C$3:$C$12,"",1)</f>
        <v>1</v>
      </c>
      <c r="L728" s="11">
        <f>_xlfn.XLOOKUP(G728,Ref!$B$3:$B$12,Ref!$C$3:$C$12,"",1)</f>
        <v>1</v>
      </c>
      <c r="M728" s="11">
        <f>_xlfn.XLOOKUP(H728,Ref!$B$3:$B$12,Ref!$C$3:$C$12,"",1)</f>
        <v>1</v>
      </c>
    </row>
    <row r="729" spans="2:13" x14ac:dyDescent="0.25">
      <c r="B729" s="15" t="s">
        <v>6</v>
      </c>
      <c r="C729" s="9">
        <v>42.3</v>
      </c>
      <c r="D729" s="9">
        <v>42.6</v>
      </c>
      <c r="E729" s="10">
        <v>43.1</v>
      </c>
      <c r="F729" s="9">
        <f t="shared" si="49"/>
        <v>13.464508185574346</v>
      </c>
      <c r="G729" s="9">
        <f t="shared" si="50"/>
        <v>13.560001151429484</v>
      </c>
      <c r="H729" s="10">
        <f t="shared" si="51"/>
        <v>13.719156094521379</v>
      </c>
      <c r="K729" s="11">
        <f>_xlfn.XLOOKUP(F729,Ref!$B$3:$B$12,Ref!$C$3:$C$12,"",1)</f>
        <v>1</v>
      </c>
      <c r="L729" s="11">
        <f>_xlfn.XLOOKUP(G729,Ref!$B$3:$B$12,Ref!$C$3:$C$12,"",1)</f>
        <v>1</v>
      </c>
      <c r="M729" s="11">
        <f>_xlfn.XLOOKUP(H729,Ref!$B$3:$B$12,Ref!$C$3:$C$12,"",1)</f>
        <v>1</v>
      </c>
    </row>
    <row r="730" spans="2:13" x14ac:dyDescent="0.25">
      <c r="B730" s="15" t="s">
        <v>14</v>
      </c>
      <c r="C730" s="9">
        <v>61.3</v>
      </c>
      <c r="D730" s="9">
        <v>68</v>
      </c>
      <c r="E730" s="10">
        <v>73.5</v>
      </c>
      <c r="F730" s="9">
        <f t="shared" si="49"/>
        <v>19.512396023066369</v>
      </c>
      <c r="G730" s="9">
        <f t="shared" si="50"/>
        <v>21.645072260497766</v>
      </c>
      <c r="H730" s="10">
        <f t="shared" si="51"/>
        <v>23.395776634508614</v>
      </c>
      <c r="K730" s="11">
        <f>_xlfn.XLOOKUP(F730,Ref!$B$3:$B$12,Ref!$C$3:$C$12,"",1)</f>
        <v>1</v>
      </c>
      <c r="L730" s="11">
        <f>_xlfn.XLOOKUP(G730,Ref!$B$3:$B$12,Ref!$C$3:$C$12,"",1)</f>
        <v>2</v>
      </c>
      <c r="M730" s="11">
        <f>_xlfn.XLOOKUP(H730,Ref!$B$3:$B$12,Ref!$C$3:$C$12,"",1)</f>
        <v>2</v>
      </c>
    </row>
    <row r="731" spans="2:13" x14ac:dyDescent="0.25">
      <c r="B731" s="15" t="s">
        <v>14</v>
      </c>
      <c r="C731" s="9"/>
      <c r="D731" s="9">
        <v>31.6</v>
      </c>
      <c r="E731" s="10">
        <v>32.299999999999997</v>
      </c>
      <c r="F731" s="9" t="str">
        <f t="shared" si="49"/>
        <v/>
      </c>
      <c r="G731" s="9">
        <f t="shared" si="50"/>
        <v>10.058592403407786</v>
      </c>
      <c r="H731" s="10">
        <f t="shared" si="51"/>
        <v>10.281409323736439</v>
      </c>
      <c r="K731" s="11" t="str">
        <f>_xlfn.XLOOKUP(F731,Ref!$B$3:$B$12,Ref!$C$3:$C$12,"",1)</f>
        <v/>
      </c>
      <c r="L731" s="11">
        <f>_xlfn.XLOOKUP(G731,Ref!$B$3:$B$12,Ref!$C$3:$C$12,"",1)</f>
        <v>1</v>
      </c>
      <c r="M731" s="11">
        <f>_xlfn.XLOOKUP(H731,Ref!$B$3:$B$12,Ref!$C$3:$C$12,"",1)</f>
        <v>1</v>
      </c>
    </row>
    <row r="732" spans="2:13" x14ac:dyDescent="0.25">
      <c r="B732" s="15" t="s">
        <v>12</v>
      </c>
      <c r="C732" s="9">
        <v>54.5</v>
      </c>
      <c r="D732" s="9">
        <v>54.5</v>
      </c>
      <c r="E732" s="10">
        <v>54.5</v>
      </c>
      <c r="F732" s="9">
        <f t="shared" si="49"/>
        <v>17.347888797016591</v>
      </c>
      <c r="G732" s="9">
        <f t="shared" si="50"/>
        <v>17.347888797016591</v>
      </c>
      <c r="H732" s="10">
        <f t="shared" si="51"/>
        <v>17.347888797016591</v>
      </c>
      <c r="K732" s="11">
        <f>_xlfn.XLOOKUP(F732,Ref!$B$3:$B$12,Ref!$C$3:$C$12,"",1)</f>
        <v>1</v>
      </c>
      <c r="L732" s="11">
        <f>_xlfn.XLOOKUP(G732,Ref!$B$3:$B$12,Ref!$C$3:$C$12,"",1)</f>
        <v>1</v>
      </c>
      <c r="M732" s="11">
        <f>_xlfn.XLOOKUP(H732,Ref!$B$3:$B$12,Ref!$C$3:$C$12,"",1)</f>
        <v>1</v>
      </c>
    </row>
    <row r="733" spans="2:13" x14ac:dyDescent="0.25">
      <c r="B733" s="15" t="s">
        <v>12</v>
      </c>
      <c r="C733" s="9">
        <v>36.200000000000003</v>
      </c>
      <c r="D733" s="9">
        <v>37.4</v>
      </c>
      <c r="E733" s="10">
        <v>37.4</v>
      </c>
      <c r="F733" s="9">
        <f t="shared" si="49"/>
        <v>11.522817879853223</v>
      </c>
      <c r="G733" s="9">
        <f t="shared" si="50"/>
        <v>11.904789743273771</v>
      </c>
      <c r="H733" s="10">
        <f t="shared" si="51"/>
        <v>11.904789743273771</v>
      </c>
      <c r="K733" s="11">
        <f>_xlfn.XLOOKUP(F733,Ref!$B$3:$B$12,Ref!$C$3:$C$12,"",1)</f>
        <v>1</v>
      </c>
      <c r="L733" s="11">
        <f>_xlfn.XLOOKUP(G733,Ref!$B$3:$B$12,Ref!$C$3:$C$12,"",1)</f>
        <v>1</v>
      </c>
      <c r="M733" s="11">
        <f>_xlfn.XLOOKUP(H733,Ref!$B$3:$B$12,Ref!$C$3:$C$12,"",1)</f>
        <v>1</v>
      </c>
    </row>
    <row r="734" spans="2:13" x14ac:dyDescent="0.25">
      <c r="B734" s="15" t="s">
        <v>36</v>
      </c>
      <c r="C734" s="9">
        <v>32.5</v>
      </c>
      <c r="D734" s="9">
        <v>35</v>
      </c>
      <c r="E734" s="10">
        <v>37.200000000000003</v>
      </c>
      <c r="F734" s="9">
        <f t="shared" si="49"/>
        <v>10.345071300973197</v>
      </c>
      <c r="G734" s="9">
        <f t="shared" si="50"/>
        <v>11.140846016432674</v>
      </c>
      <c r="H734" s="10">
        <f t="shared" si="51"/>
        <v>11.841127766037014</v>
      </c>
      <c r="K734" s="11">
        <f>_xlfn.XLOOKUP(F734,Ref!$B$3:$B$12,Ref!$C$3:$C$12,"",1)</f>
        <v>1</v>
      </c>
      <c r="L734" s="11">
        <f>_xlfn.XLOOKUP(G734,Ref!$B$3:$B$12,Ref!$C$3:$C$12,"",1)</f>
        <v>1</v>
      </c>
      <c r="M734" s="11">
        <f>_xlfn.XLOOKUP(H734,Ref!$B$3:$B$12,Ref!$C$3:$C$12,"",1)</f>
        <v>1</v>
      </c>
    </row>
    <row r="735" spans="2:13" x14ac:dyDescent="0.25">
      <c r="B735" s="15" t="s">
        <v>6</v>
      </c>
      <c r="C735" s="9">
        <v>36.299999999999997</v>
      </c>
      <c r="D735" s="9">
        <v>37</v>
      </c>
      <c r="E735" s="10">
        <v>39.200000000000003</v>
      </c>
      <c r="F735" s="9">
        <f t="shared" si="49"/>
        <v>11.554648868471601</v>
      </c>
      <c r="G735" s="9">
        <f t="shared" si="50"/>
        <v>11.777465788800255</v>
      </c>
      <c r="H735" s="10">
        <f t="shared" si="51"/>
        <v>12.477747538404596</v>
      </c>
      <c r="K735" s="11">
        <f>_xlfn.XLOOKUP(F735,Ref!$B$3:$B$12,Ref!$C$3:$C$12,"",1)</f>
        <v>1</v>
      </c>
      <c r="L735" s="11">
        <f>_xlfn.XLOOKUP(G735,Ref!$B$3:$B$12,Ref!$C$3:$C$12,"",1)</f>
        <v>1</v>
      </c>
      <c r="M735" s="11">
        <f>_xlfn.XLOOKUP(H735,Ref!$B$3:$B$12,Ref!$C$3:$C$12,"",1)</f>
        <v>1</v>
      </c>
    </row>
    <row r="736" spans="2:13" x14ac:dyDescent="0.25">
      <c r="B736" s="15" t="s">
        <v>25</v>
      </c>
      <c r="C736" s="9">
        <v>35</v>
      </c>
      <c r="D736" s="9">
        <v>35.9</v>
      </c>
      <c r="E736" s="10">
        <v>36</v>
      </c>
      <c r="F736" s="9">
        <f t="shared" si="49"/>
        <v>11.140846016432674</v>
      </c>
      <c r="G736" s="9">
        <f t="shared" si="50"/>
        <v>11.427324913998085</v>
      </c>
      <c r="H736" s="10">
        <f t="shared" si="51"/>
        <v>11.459155902616464</v>
      </c>
      <c r="K736" s="11">
        <f>_xlfn.XLOOKUP(F736,Ref!$B$3:$B$12,Ref!$C$3:$C$12,"",1)</f>
        <v>1</v>
      </c>
      <c r="L736" s="11">
        <f>_xlfn.XLOOKUP(G736,Ref!$B$3:$B$12,Ref!$C$3:$C$12,"",1)</f>
        <v>1</v>
      </c>
      <c r="M736" s="11">
        <f>_xlfn.XLOOKUP(H736,Ref!$B$3:$B$12,Ref!$C$3:$C$12,"",1)</f>
        <v>1</v>
      </c>
    </row>
    <row r="737" spans="2:13" x14ac:dyDescent="0.25">
      <c r="B737" s="15" t="s">
        <v>32</v>
      </c>
      <c r="C737" s="9">
        <v>32.5</v>
      </c>
      <c r="D737" s="9">
        <v>33.200000000000003</v>
      </c>
      <c r="E737" s="10">
        <v>33.4</v>
      </c>
      <c r="F737" s="9">
        <f t="shared" si="49"/>
        <v>10.345071300973197</v>
      </c>
      <c r="G737" s="9">
        <f t="shared" si="50"/>
        <v>10.567888221301851</v>
      </c>
      <c r="H737" s="10">
        <f t="shared" si="51"/>
        <v>10.631550198538608</v>
      </c>
      <c r="K737" s="11">
        <f>_xlfn.XLOOKUP(F737,Ref!$B$3:$B$12,Ref!$C$3:$C$12,"",1)</f>
        <v>1</v>
      </c>
      <c r="L737" s="11">
        <f>_xlfn.XLOOKUP(G737,Ref!$B$3:$B$12,Ref!$C$3:$C$12,"",1)</f>
        <v>1</v>
      </c>
      <c r="M737" s="11">
        <f>_xlfn.XLOOKUP(H737,Ref!$B$3:$B$12,Ref!$C$3:$C$12,"",1)</f>
        <v>1</v>
      </c>
    </row>
    <row r="738" spans="2:13" x14ac:dyDescent="0.25">
      <c r="B738" s="15" t="s">
        <v>33</v>
      </c>
      <c r="C738" s="9">
        <v>120.5</v>
      </c>
      <c r="D738" s="9">
        <v>124</v>
      </c>
      <c r="E738" s="10">
        <v>124</v>
      </c>
      <c r="F738" s="9">
        <f t="shared" si="49"/>
        <v>38.356341285146776</v>
      </c>
      <c r="G738" s="9">
        <f t="shared" si="50"/>
        <v>39.470425886790046</v>
      </c>
      <c r="H738" s="10">
        <f t="shared" si="51"/>
        <v>39.470425886790046</v>
      </c>
      <c r="K738" s="11">
        <f>_xlfn.XLOOKUP(F738,Ref!$B$3:$B$12,Ref!$C$3:$C$12,"",1)</f>
        <v>3</v>
      </c>
      <c r="L738" s="11">
        <f>_xlfn.XLOOKUP(G738,Ref!$B$3:$B$12,Ref!$C$3:$C$12,"",1)</f>
        <v>3</v>
      </c>
      <c r="M738" s="11">
        <f>_xlfn.XLOOKUP(H738,Ref!$B$3:$B$12,Ref!$C$3:$C$12,"",1)</f>
        <v>3</v>
      </c>
    </row>
    <row r="739" spans="2:13" x14ac:dyDescent="0.25">
      <c r="B739" s="15" t="s">
        <v>12</v>
      </c>
      <c r="C739" s="9">
        <v>33</v>
      </c>
      <c r="D739" s="9">
        <v>36.299999999999997</v>
      </c>
      <c r="E739" s="10">
        <v>39.5</v>
      </c>
      <c r="F739" s="9">
        <f t="shared" si="49"/>
        <v>10.504226244065093</v>
      </c>
      <c r="G739" s="9">
        <f t="shared" si="50"/>
        <v>11.554648868471601</v>
      </c>
      <c r="H739" s="10">
        <f t="shared" si="51"/>
        <v>12.573240504259733</v>
      </c>
      <c r="K739" s="11">
        <f>_xlfn.XLOOKUP(F739,Ref!$B$3:$B$12,Ref!$C$3:$C$12,"",1)</f>
        <v>1</v>
      </c>
      <c r="L739" s="11">
        <f>_xlfn.XLOOKUP(G739,Ref!$B$3:$B$12,Ref!$C$3:$C$12,"",1)</f>
        <v>1</v>
      </c>
      <c r="M739" s="11">
        <f>_xlfn.XLOOKUP(H739,Ref!$B$3:$B$12,Ref!$C$3:$C$12,"",1)</f>
        <v>1</v>
      </c>
    </row>
    <row r="740" spans="2:13" x14ac:dyDescent="0.25">
      <c r="B740" s="15" t="s">
        <v>65</v>
      </c>
      <c r="C740" s="9">
        <v>59.4</v>
      </c>
      <c r="D740" s="9">
        <v>63.1</v>
      </c>
      <c r="E740" s="10">
        <v>64.3</v>
      </c>
      <c r="F740" s="9">
        <f t="shared" si="49"/>
        <v>18.907607239317166</v>
      </c>
      <c r="G740" s="9">
        <f t="shared" si="50"/>
        <v>20.085353818197191</v>
      </c>
      <c r="H740" s="10">
        <f t="shared" si="51"/>
        <v>20.467325681617741</v>
      </c>
      <c r="K740" s="11">
        <f>_xlfn.XLOOKUP(F740,Ref!$B$3:$B$12,Ref!$C$3:$C$12,"",1)</f>
        <v>1</v>
      </c>
      <c r="L740" s="11">
        <f>_xlfn.XLOOKUP(G740,Ref!$B$3:$B$12,Ref!$C$3:$C$12,"",1)</f>
        <v>2</v>
      </c>
      <c r="M740" s="11">
        <f>_xlfn.XLOOKUP(H740,Ref!$B$3:$B$12,Ref!$C$3:$C$12,"",1)</f>
        <v>2</v>
      </c>
    </row>
    <row r="741" spans="2:13" x14ac:dyDescent="0.25">
      <c r="B741" s="15" t="s">
        <v>40</v>
      </c>
      <c r="C741" s="9">
        <v>36</v>
      </c>
      <c r="D741" s="9">
        <v>37.200000000000003</v>
      </c>
      <c r="E741" s="10">
        <v>38.299999999999997</v>
      </c>
      <c r="F741" s="9">
        <f t="shared" si="49"/>
        <v>11.459155902616464</v>
      </c>
      <c r="G741" s="9">
        <f t="shared" si="50"/>
        <v>11.841127766037014</v>
      </c>
      <c r="H741" s="10">
        <f t="shared" si="51"/>
        <v>12.191268640839182</v>
      </c>
      <c r="K741" s="11">
        <f>_xlfn.XLOOKUP(F741,Ref!$B$3:$B$12,Ref!$C$3:$C$12,"",1)</f>
        <v>1</v>
      </c>
      <c r="L741" s="11">
        <f>_xlfn.XLOOKUP(G741,Ref!$B$3:$B$12,Ref!$C$3:$C$12,"",1)</f>
        <v>1</v>
      </c>
      <c r="M741" s="11">
        <f>_xlfn.XLOOKUP(H741,Ref!$B$3:$B$12,Ref!$C$3:$C$12,"",1)</f>
        <v>1</v>
      </c>
    </row>
    <row r="742" spans="2:13" x14ac:dyDescent="0.25">
      <c r="B742" s="15" t="s">
        <v>8</v>
      </c>
      <c r="C742" s="9">
        <v>38.5</v>
      </c>
      <c r="D742" s="9">
        <v>41.3</v>
      </c>
      <c r="E742" s="10">
        <v>43</v>
      </c>
      <c r="F742" s="9">
        <f t="shared" si="49"/>
        <v>12.254930618075941</v>
      </c>
      <c r="G742" s="9">
        <f t="shared" si="50"/>
        <v>13.146198299390555</v>
      </c>
      <c r="H742" s="10">
        <f t="shared" si="51"/>
        <v>13.687325105903</v>
      </c>
      <c r="K742" s="11">
        <f>_xlfn.XLOOKUP(F742,Ref!$B$3:$B$12,Ref!$C$3:$C$12,"",1)</f>
        <v>1</v>
      </c>
      <c r="L742" s="11">
        <f>_xlfn.XLOOKUP(G742,Ref!$B$3:$B$12,Ref!$C$3:$C$12,"",1)</f>
        <v>1</v>
      </c>
      <c r="M742" s="11">
        <f>_xlfn.XLOOKUP(H742,Ref!$B$3:$B$12,Ref!$C$3:$C$12,"",1)</f>
        <v>1</v>
      </c>
    </row>
    <row r="743" spans="2:13" x14ac:dyDescent="0.25">
      <c r="B743" s="15" t="s">
        <v>7</v>
      </c>
      <c r="C743" s="9">
        <v>37.5</v>
      </c>
      <c r="D743" s="9">
        <v>40.299999999999997</v>
      </c>
      <c r="E743" s="10">
        <v>41</v>
      </c>
      <c r="F743" s="9">
        <f t="shared" si="49"/>
        <v>11.93662073189215</v>
      </c>
      <c r="G743" s="9">
        <f t="shared" si="50"/>
        <v>12.827888413206765</v>
      </c>
      <c r="H743" s="10">
        <f t="shared" si="51"/>
        <v>13.050705333535419</v>
      </c>
      <c r="K743" s="11">
        <f>_xlfn.XLOOKUP(F743,Ref!$B$3:$B$12,Ref!$C$3:$C$12,"",1)</f>
        <v>1</v>
      </c>
      <c r="L743" s="11">
        <f>_xlfn.XLOOKUP(G743,Ref!$B$3:$B$12,Ref!$C$3:$C$12,"",1)</f>
        <v>1</v>
      </c>
      <c r="M743" s="11">
        <f>_xlfn.XLOOKUP(H743,Ref!$B$3:$B$12,Ref!$C$3:$C$12,"",1)</f>
        <v>1</v>
      </c>
    </row>
    <row r="744" spans="2:13" x14ac:dyDescent="0.25">
      <c r="B744" s="15" t="s">
        <v>7</v>
      </c>
      <c r="C744" s="9">
        <v>39.4</v>
      </c>
      <c r="D744" s="9">
        <v>40.1</v>
      </c>
      <c r="E744" s="10">
        <v>40.9</v>
      </c>
      <c r="F744" s="9">
        <f t="shared" si="49"/>
        <v>12.541409515641352</v>
      </c>
      <c r="G744" s="9">
        <f t="shared" si="50"/>
        <v>12.764226435970008</v>
      </c>
      <c r="H744" s="10">
        <f t="shared" si="51"/>
        <v>13.018874344917039</v>
      </c>
      <c r="K744" s="11">
        <f>_xlfn.XLOOKUP(F744,Ref!$B$3:$B$12,Ref!$C$3:$C$12,"",1)</f>
        <v>1</v>
      </c>
      <c r="L744" s="11">
        <f>_xlfn.XLOOKUP(G744,Ref!$B$3:$B$12,Ref!$C$3:$C$12,"",1)</f>
        <v>1</v>
      </c>
      <c r="M744" s="11">
        <f>_xlfn.XLOOKUP(H744,Ref!$B$3:$B$12,Ref!$C$3:$C$12,"",1)</f>
        <v>1</v>
      </c>
    </row>
    <row r="745" spans="2:13" x14ac:dyDescent="0.25">
      <c r="B745" s="15" t="s">
        <v>26</v>
      </c>
      <c r="C745" s="9">
        <v>212</v>
      </c>
      <c r="D745" s="9">
        <v>218</v>
      </c>
      <c r="E745" s="10">
        <v>233</v>
      </c>
      <c r="F745" s="9">
        <f t="shared" si="49"/>
        <v>67.48169587096362</v>
      </c>
      <c r="G745" s="9">
        <f t="shared" si="50"/>
        <v>69.391555188066363</v>
      </c>
      <c r="H745" s="10">
        <f t="shared" si="51"/>
        <v>74.166203480823228</v>
      </c>
      <c r="K745" s="11">
        <f>_xlfn.XLOOKUP(F745,Ref!$B$3:$B$12,Ref!$C$3:$C$12,"",1)</f>
        <v>6</v>
      </c>
      <c r="L745" s="11">
        <f>_xlfn.XLOOKUP(G745,Ref!$B$3:$B$12,Ref!$C$3:$C$12,"",1)</f>
        <v>6</v>
      </c>
      <c r="M745" s="11">
        <f>_xlfn.XLOOKUP(H745,Ref!$B$3:$B$12,Ref!$C$3:$C$12,"",1)</f>
        <v>7</v>
      </c>
    </row>
    <row r="746" spans="2:13" x14ac:dyDescent="0.25">
      <c r="B746" s="15" t="s">
        <v>6</v>
      </c>
      <c r="C746" s="9"/>
      <c r="D746" s="9">
        <v>32</v>
      </c>
      <c r="E746" s="10">
        <v>33.799999999999997</v>
      </c>
      <c r="F746" s="9" t="str">
        <f t="shared" si="49"/>
        <v/>
      </c>
      <c r="G746" s="9">
        <f t="shared" si="50"/>
        <v>10.185916357881302</v>
      </c>
      <c r="H746" s="10">
        <f t="shared" si="51"/>
        <v>10.758874153012124</v>
      </c>
      <c r="K746" s="11" t="str">
        <f>_xlfn.XLOOKUP(F746,Ref!$B$3:$B$12,Ref!$C$3:$C$12,"",1)</f>
        <v/>
      </c>
      <c r="L746" s="11">
        <f>_xlfn.XLOOKUP(G746,Ref!$B$3:$B$12,Ref!$C$3:$C$12,"",1)</f>
        <v>1</v>
      </c>
      <c r="M746" s="11">
        <f>_xlfn.XLOOKUP(H746,Ref!$B$3:$B$12,Ref!$C$3:$C$12,"",1)</f>
        <v>1</v>
      </c>
    </row>
    <row r="747" spans="2:13" x14ac:dyDescent="0.25">
      <c r="B747" s="15" t="s">
        <v>6</v>
      </c>
      <c r="C747" s="9"/>
      <c r="D747" s="9">
        <v>32.700000000000003</v>
      </c>
      <c r="E747" s="10">
        <v>33</v>
      </c>
      <c r="F747" s="9" t="str">
        <f t="shared" si="49"/>
        <v/>
      </c>
      <c r="G747" s="9">
        <f t="shared" si="50"/>
        <v>10.408733278209956</v>
      </c>
      <c r="H747" s="10">
        <f t="shared" si="51"/>
        <v>10.504226244065093</v>
      </c>
      <c r="K747" s="11" t="str">
        <f>_xlfn.XLOOKUP(F747,Ref!$B$3:$B$12,Ref!$C$3:$C$12,"",1)</f>
        <v/>
      </c>
      <c r="L747" s="11">
        <f>_xlfn.XLOOKUP(G747,Ref!$B$3:$B$12,Ref!$C$3:$C$12,"",1)</f>
        <v>1</v>
      </c>
      <c r="M747" s="11">
        <f>_xlfn.XLOOKUP(H747,Ref!$B$3:$B$12,Ref!$C$3:$C$12,"",1)</f>
        <v>1</v>
      </c>
    </row>
    <row r="748" spans="2:13" x14ac:dyDescent="0.25">
      <c r="B748" s="15" t="s">
        <v>40</v>
      </c>
      <c r="C748" s="9"/>
      <c r="D748" s="9"/>
      <c r="E748" s="10">
        <v>32</v>
      </c>
      <c r="F748" s="9" t="str">
        <f t="shared" si="49"/>
        <v/>
      </c>
      <c r="G748" s="9" t="str">
        <f t="shared" si="50"/>
        <v/>
      </c>
      <c r="H748" s="10">
        <f t="shared" si="51"/>
        <v>10.185916357881302</v>
      </c>
      <c r="K748" s="11" t="str">
        <f>_xlfn.XLOOKUP(F748,Ref!$B$3:$B$12,Ref!$C$3:$C$12,"",1)</f>
        <v/>
      </c>
      <c r="L748" s="11" t="str">
        <f>_xlfn.XLOOKUP(G748,Ref!$B$3:$B$12,Ref!$C$3:$C$12,"",1)</f>
        <v/>
      </c>
      <c r="M748" s="11">
        <f>_xlfn.XLOOKUP(H748,Ref!$B$3:$B$12,Ref!$C$3:$C$12,"",1)</f>
        <v>1</v>
      </c>
    </row>
    <row r="749" spans="2:13" x14ac:dyDescent="0.25">
      <c r="B749" s="15" t="s">
        <v>8</v>
      </c>
      <c r="C749" s="9"/>
      <c r="D749" s="9"/>
      <c r="E749" s="10">
        <v>32</v>
      </c>
      <c r="F749" s="9" t="str">
        <f t="shared" si="49"/>
        <v/>
      </c>
      <c r="G749" s="9" t="str">
        <f t="shared" si="50"/>
        <v/>
      </c>
      <c r="H749" s="10">
        <f t="shared" si="51"/>
        <v>10.185916357881302</v>
      </c>
      <c r="K749" s="11" t="str">
        <f>_xlfn.XLOOKUP(F749,Ref!$B$3:$B$12,Ref!$C$3:$C$12,"",1)</f>
        <v/>
      </c>
      <c r="L749" s="11" t="str">
        <f>_xlfn.XLOOKUP(G749,Ref!$B$3:$B$12,Ref!$C$3:$C$12,"",1)</f>
        <v/>
      </c>
      <c r="M749" s="11">
        <f>_xlfn.XLOOKUP(H749,Ref!$B$3:$B$12,Ref!$C$3:$C$12,"",1)</f>
        <v>1</v>
      </c>
    </row>
    <row r="750" spans="2:13" x14ac:dyDescent="0.25">
      <c r="B750" s="15" t="s">
        <v>12</v>
      </c>
      <c r="C750" s="9"/>
      <c r="D750" s="9">
        <v>33.700000000000003</v>
      </c>
      <c r="E750" s="10">
        <v>36.5</v>
      </c>
      <c r="F750" s="9" t="str">
        <f t="shared" si="49"/>
        <v/>
      </c>
      <c r="G750" s="9">
        <f t="shared" si="50"/>
        <v>10.727043164393747</v>
      </c>
      <c r="H750" s="10">
        <f t="shared" si="51"/>
        <v>11.618310845708359</v>
      </c>
      <c r="K750" s="11" t="str">
        <f>_xlfn.XLOOKUP(F750,Ref!$B$3:$B$12,Ref!$C$3:$C$12,"",1)</f>
        <v/>
      </c>
      <c r="L750" s="11">
        <f>_xlfn.XLOOKUP(G750,Ref!$B$3:$B$12,Ref!$C$3:$C$12,"",1)</f>
        <v>1</v>
      </c>
      <c r="M750" s="11">
        <f>_xlfn.XLOOKUP(H750,Ref!$B$3:$B$12,Ref!$C$3:$C$12,"",1)</f>
        <v>1</v>
      </c>
    </row>
    <row r="751" spans="2:13" x14ac:dyDescent="0.25">
      <c r="B751" s="15" t="s">
        <v>49</v>
      </c>
      <c r="C751" s="9">
        <v>48.2</v>
      </c>
      <c r="D751" s="9">
        <v>62.5</v>
      </c>
      <c r="E751" s="10">
        <v>55</v>
      </c>
      <c r="F751" s="9">
        <f t="shared" si="49"/>
        <v>15.342536514058711</v>
      </c>
      <c r="G751" s="9">
        <f t="shared" si="50"/>
        <v>19.894367886486918</v>
      </c>
      <c r="H751" s="10">
        <f t="shared" si="51"/>
        <v>17.507043740108486</v>
      </c>
      <c r="K751" s="11">
        <f>_xlfn.XLOOKUP(F751,Ref!$B$3:$B$12,Ref!$C$3:$C$12,"",1)</f>
        <v>1</v>
      </c>
      <c r="L751" s="11">
        <f>_xlfn.XLOOKUP(G751,Ref!$B$3:$B$12,Ref!$C$3:$C$12,"",1)</f>
        <v>1</v>
      </c>
      <c r="M751" s="11">
        <f>_xlfn.XLOOKUP(H751,Ref!$B$3:$B$12,Ref!$C$3:$C$12,"",1)</f>
        <v>1</v>
      </c>
    </row>
    <row r="752" spans="2:13" x14ac:dyDescent="0.25">
      <c r="B752" s="15" t="s">
        <v>68</v>
      </c>
      <c r="C752" s="9">
        <v>35.1</v>
      </c>
      <c r="D752" s="9">
        <v>40.299999999999997</v>
      </c>
      <c r="E752" s="10">
        <v>44.5</v>
      </c>
      <c r="F752" s="9">
        <f t="shared" si="49"/>
        <v>11.172677005051053</v>
      </c>
      <c r="G752" s="9">
        <f t="shared" si="50"/>
        <v>12.827888413206765</v>
      </c>
      <c r="H752" s="10">
        <f t="shared" si="51"/>
        <v>14.164789935178685</v>
      </c>
      <c r="K752" s="11">
        <f>_xlfn.XLOOKUP(F752,Ref!$B$3:$B$12,Ref!$C$3:$C$12,"",1)</f>
        <v>1</v>
      </c>
      <c r="L752" s="11">
        <f>_xlfn.XLOOKUP(G752,Ref!$B$3:$B$12,Ref!$C$3:$C$12,"",1)</f>
        <v>1</v>
      </c>
      <c r="M752" s="11">
        <f>_xlfn.XLOOKUP(H752,Ref!$B$3:$B$12,Ref!$C$3:$C$12,"",1)</f>
        <v>1</v>
      </c>
    </row>
    <row r="753" spans="2:13" x14ac:dyDescent="0.25">
      <c r="B753" s="15" t="s">
        <v>12</v>
      </c>
      <c r="C753" s="9">
        <v>41</v>
      </c>
      <c r="D753" s="9">
        <v>42</v>
      </c>
      <c r="E753" s="10">
        <v>44.5</v>
      </c>
      <c r="F753" s="9">
        <f t="shared" si="49"/>
        <v>13.050705333535419</v>
      </c>
      <c r="G753" s="9">
        <f t="shared" si="50"/>
        <v>13.369015219719209</v>
      </c>
      <c r="H753" s="10">
        <f t="shared" si="51"/>
        <v>14.164789935178685</v>
      </c>
      <c r="K753" s="11">
        <f>_xlfn.XLOOKUP(F753,Ref!$B$3:$B$12,Ref!$C$3:$C$12,"",1)</f>
        <v>1</v>
      </c>
      <c r="L753" s="11">
        <f>_xlfn.XLOOKUP(G753,Ref!$B$3:$B$12,Ref!$C$3:$C$12,"",1)</f>
        <v>1</v>
      </c>
      <c r="M753" s="11">
        <f>_xlfn.XLOOKUP(H753,Ref!$B$3:$B$12,Ref!$C$3:$C$12,"",1)</f>
        <v>1</v>
      </c>
    </row>
    <row r="754" spans="2:13" x14ac:dyDescent="0.25">
      <c r="B754" s="15" t="s">
        <v>12</v>
      </c>
      <c r="C754" s="9">
        <v>36.4</v>
      </c>
      <c r="D754" s="9">
        <v>0</v>
      </c>
      <c r="E754" s="10">
        <v>0</v>
      </c>
      <c r="F754" s="9">
        <f t="shared" si="49"/>
        <v>11.58647985708998</v>
      </c>
      <c r="G754" s="9">
        <f t="shared" si="50"/>
        <v>0</v>
      </c>
      <c r="H754" s="10">
        <f t="shared" si="51"/>
        <v>0</v>
      </c>
      <c r="K754" s="11">
        <f>_xlfn.XLOOKUP(F754,Ref!$B$3:$B$12,Ref!$C$3:$C$12,"",1)</f>
        <v>1</v>
      </c>
      <c r="L754" s="11" t="str">
        <f>_xlfn.XLOOKUP(G754,Ref!$B$3:$B$12,Ref!$C$3:$C$12,"",1)</f>
        <v>Morta</v>
      </c>
      <c r="M754" s="11" t="str">
        <f>_xlfn.XLOOKUP(H754,Ref!$B$3:$B$12,Ref!$C$3:$C$12,"",1)</f>
        <v>Morta</v>
      </c>
    </row>
    <row r="755" spans="2:13" x14ac:dyDescent="0.25">
      <c r="B755" s="15" t="s">
        <v>28</v>
      </c>
      <c r="C755" s="9">
        <v>76.3</v>
      </c>
      <c r="D755" s="9">
        <v>76.5</v>
      </c>
      <c r="E755" s="10">
        <v>76.5</v>
      </c>
      <c r="F755" s="9">
        <f t="shared" si="49"/>
        <v>24.287044315823227</v>
      </c>
      <c r="G755" s="9">
        <f t="shared" si="50"/>
        <v>24.350706293059986</v>
      </c>
      <c r="H755" s="10">
        <f t="shared" si="51"/>
        <v>24.350706293059986</v>
      </c>
      <c r="K755" s="11">
        <f>_xlfn.XLOOKUP(F755,Ref!$B$3:$B$12,Ref!$C$3:$C$12,"",1)</f>
        <v>2</v>
      </c>
      <c r="L755" s="11">
        <f>_xlfn.XLOOKUP(G755,Ref!$B$3:$B$12,Ref!$C$3:$C$12,"",1)</f>
        <v>2</v>
      </c>
      <c r="M755" s="11">
        <f>_xlfn.XLOOKUP(H755,Ref!$B$3:$B$12,Ref!$C$3:$C$12,"",1)</f>
        <v>2</v>
      </c>
    </row>
    <row r="756" spans="2:13" x14ac:dyDescent="0.25">
      <c r="B756" s="15" t="s">
        <v>8</v>
      </c>
      <c r="C756" s="9">
        <v>190.5</v>
      </c>
      <c r="D756" s="9">
        <v>196.5</v>
      </c>
      <c r="E756" s="10">
        <v>203</v>
      </c>
      <c r="F756" s="9">
        <f t="shared" si="49"/>
        <v>60.638033318012127</v>
      </c>
      <c r="G756" s="9">
        <f t="shared" si="50"/>
        <v>62.54789263511487</v>
      </c>
      <c r="H756" s="10">
        <f t="shared" si="51"/>
        <v>64.616906895309512</v>
      </c>
      <c r="K756" s="11">
        <f>_xlfn.XLOOKUP(F756,Ref!$B$3:$B$12,Ref!$C$3:$C$12,"",1)</f>
        <v>6</v>
      </c>
      <c r="L756" s="11">
        <f>_xlfn.XLOOKUP(G756,Ref!$B$3:$B$12,Ref!$C$3:$C$12,"",1)</f>
        <v>6</v>
      </c>
      <c r="M756" s="11">
        <f>_xlfn.XLOOKUP(H756,Ref!$B$3:$B$12,Ref!$C$3:$C$12,"",1)</f>
        <v>6</v>
      </c>
    </row>
    <row r="757" spans="2:13" x14ac:dyDescent="0.25">
      <c r="B757" s="15" t="s">
        <v>32</v>
      </c>
      <c r="C757" s="9">
        <v>36.9</v>
      </c>
      <c r="D757" s="9">
        <v>36.9</v>
      </c>
      <c r="E757" s="10">
        <v>37.299999999999997</v>
      </c>
      <c r="F757" s="9">
        <f t="shared" si="49"/>
        <v>11.745634800181875</v>
      </c>
      <c r="G757" s="9">
        <f t="shared" si="50"/>
        <v>11.745634800181875</v>
      </c>
      <c r="H757" s="10">
        <f t="shared" si="51"/>
        <v>11.872958754655391</v>
      </c>
      <c r="K757" s="11">
        <f>_xlfn.XLOOKUP(F757,Ref!$B$3:$B$12,Ref!$C$3:$C$12,"",1)</f>
        <v>1</v>
      </c>
      <c r="L757" s="11">
        <f>_xlfn.XLOOKUP(G757,Ref!$B$3:$B$12,Ref!$C$3:$C$12,"",1)</f>
        <v>1</v>
      </c>
      <c r="M757" s="11">
        <f>_xlfn.XLOOKUP(H757,Ref!$B$3:$B$12,Ref!$C$3:$C$12,"",1)</f>
        <v>1</v>
      </c>
    </row>
    <row r="758" spans="2:13" x14ac:dyDescent="0.25">
      <c r="B758" s="15" t="s">
        <v>32</v>
      </c>
      <c r="C758" s="9">
        <v>31.8</v>
      </c>
      <c r="D758" s="9">
        <v>32.799999999999997</v>
      </c>
      <c r="E758" s="10">
        <v>33.5</v>
      </c>
      <c r="F758" s="9">
        <f t="shared" si="49"/>
        <v>10.122254380644543</v>
      </c>
      <c r="G758" s="9">
        <f t="shared" si="50"/>
        <v>10.440564266828334</v>
      </c>
      <c r="H758" s="10">
        <f t="shared" si="51"/>
        <v>10.663381187156988</v>
      </c>
      <c r="K758" s="11">
        <f>_xlfn.XLOOKUP(F758,Ref!$B$3:$B$12,Ref!$C$3:$C$12,"",1)</f>
        <v>1</v>
      </c>
      <c r="L758" s="11">
        <f>_xlfn.XLOOKUP(G758,Ref!$B$3:$B$12,Ref!$C$3:$C$12,"",1)</f>
        <v>1</v>
      </c>
      <c r="M758" s="11">
        <f>_xlfn.XLOOKUP(H758,Ref!$B$3:$B$12,Ref!$C$3:$C$12,"",1)</f>
        <v>1</v>
      </c>
    </row>
    <row r="759" spans="2:13" x14ac:dyDescent="0.25">
      <c r="B759" s="15" t="s">
        <v>25</v>
      </c>
      <c r="C759" s="9">
        <v>51.6</v>
      </c>
      <c r="D759" s="9">
        <v>58.4</v>
      </c>
      <c r="E759" s="10">
        <v>59.3</v>
      </c>
      <c r="F759" s="9">
        <f t="shared" si="49"/>
        <v>16.4247901270836</v>
      </c>
      <c r="G759" s="9">
        <f t="shared" si="50"/>
        <v>18.589297353133375</v>
      </c>
      <c r="H759" s="10">
        <f t="shared" si="51"/>
        <v>18.875776250698788</v>
      </c>
      <c r="K759" s="11">
        <f>_xlfn.XLOOKUP(F759,Ref!$B$3:$B$12,Ref!$C$3:$C$12,"",1)</f>
        <v>1</v>
      </c>
      <c r="L759" s="11">
        <f>_xlfn.XLOOKUP(G759,Ref!$B$3:$B$12,Ref!$C$3:$C$12,"",1)</f>
        <v>1</v>
      </c>
      <c r="M759" s="11">
        <f>_xlfn.XLOOKUP(H759,Ref!$B$3:$B$12,Ref!$C$3:$C$12,"",1)</f>
        <v>1</v>
      </c>
    </row>
    <row r="760" spans="2:13" x14ac:dyDescent="0.25">
      <c r="B760" s="15" t="s">
        <v>26</v>
      </c>
      <c r="C760" s="9">
        <v>180</v>
      </c>
      <c r="D760" s="9">
        <v>187</v>
      </c>
      <c r="E760" s="10">
        <v>199</v>
      </c>
      <c r="F760" s="9">
        <f t="shared" si="49"/>
        <v>57.295779513082323</v>
      </c>
      <c r="G760" s="9">
        <f t="shared" si="50"/>
        <v>59.523948716368857</v>
      </c>
      <c r="H760" s="10">
        <f t="shared" si="51"/>
        <v>63.343667350574343</v>
      </c>
      <c r="K760" s="11">
        <f>_xlfn.XLOOKUP(F760,Ref!$B$3:$B$12,Ref!$C$3:$C$12,"",1)</f>
        <v>5</v>
      </c>
      <c r="L760" s="11">
        <f>_xlfn.XLOOKUP(G760,Ref!$B$3:$B$12,Ref!$C$3:$C$12,"",1)</f>
        <v>5</v>
      </c>
      <c r="M760" s="11">
        <f>_xlfn.XLOOKUP(H760,Ref!$B$3:$B$12,Ref!$C$3:$C$12,"",1)</f>
        <v>6</v>
      </c>
    </row>
    <row r="761" spans="2:13" x14ac:dyDescent="0.25">
      <c r="B761" s="15" t="s">
        <v>12</v>
      </c>
      <c r="C761" s="9">
        <v>51.6</v>
      </c>
      <c r="D761" s="9">
        <v>58</v>
      </c>
      <c r="E761" s="10">
        <v>56.3</v>
      </c>
      <c r="F761" s="9">
        <f t="shared" si="49"/>
        <v>16.4247901270836</v>
      </c>
      <c r="G761" s="9">
        <f t="shared" si="50"/>
        <v>18.461973398659861</v>
      </c>
      <c r="H761" s="10">
        <f t="shared" si="51"/>
        <v>17.920846592147413</v>
      </c>
      <c r="K761" s="11">
        <f>_xlfn.XLOOKUP(F761,Ref!$B$3:$B$12,Ref!$C$3:$C$12,"",1)</f>
        <v>1</v>
      </c>
      <c r="L761" s="11">
        <f>_xlfn.XLOOKUP(G761,Ref!$B$3:$B$12,Ref!$C$3:$C$12,"",1)</f>
        <v>1</v>
      </c>
      <c r="M761" s="11">
        <f>_xlfn.XLOOKUP(H761,Ref!$B$3:$B$12,Ref!$C$3:$C$12,"",1)</f>
        <v>1</v>
      </c>
    </row>
    <row r="762" spans="2:13" x14ac:dyDescent="0.25">
      <c r="B762" s="15" t="s">
        <v>42</v>
      </c>
      <c r="C762" s="9">
        <v>100.5</v>
      </c>
      <c r="D762" s="9">
        <v>102.5</v>
      </c>
      <c r="E762" s="10">
        <v>103.7</v>
      </c>
      <c r="F762" s="9">
        <f t="shared" si="49"/>
        <v>31.990143561470965</v>
      </c>
      <c r="G762" s="9">
        <f t="shared" si="50"/>
        <v>32.626763333838547</v>
      </c>
      <c r="H762" s="10">
        <f t="shared" si="51"/>
        <v>33.008735197259092</v>
      </c>
      <c r="K762" s="11">
        <f>_xlfn.XLOOKUP(F762,Ref!$B$3:$B$12,Ref!$C$3:$C$12,"",1)</f>
        <v>3</v>
      </c>
      <c r="L762" s="11">
        <f>_xlfn.XLOOKUP(G762,Ref!$B$3:$B$12,Ref!$C$3:$C$12,"",1)</f>
        <v>3</v>
      </c>
      <c r="M762" s="11">
        <f>_xlfn.XLOOKUP(H762,Ref!$B$3:$B$12,Ref!$C$3:$C$12,"",1)</f>
        <v>3</v>
      </c>
    </row>
    <row r="763" spans="2:13" x14ac:dyDescent="0.25">
      <c r="B763" s="15" t="s">
        <v>12</v>
      </c>
      <c r="C763" s="9">
        <v>46.9</v>
      </c>
      <c r="D763" s="9">
        <v>51</v>
      </c>
      <c r="E763" s="10">
        <v>53.7</v>
      </c>
      <c r="F763" s="9">
        <f t="shared" si="49"/>
        <v>14.928733662019782</v>
      </c>
      <c r="G763" s="9">
        <f t="shared" si="50"/>
        <v>16.233804195373324</v>
      </c>
      <c r="H763" s="10">
        <f t="shared" si="51"/>
        <v>17.093240888069559</v>
      </c>
      <c r="K763" s="11">
        <f>_xlfn.XLOOKUP(F763,Ref!$B$3:$B$12,Ref!$C$3:$C$12,"",1)</f>
        <v>1</v>
      </c>
      <c r="L763" s="11">
        <f>_xlfn.XLOOKUP(G763,Ref!$B$3:$B$12,Ref!$C$3:$C$12,"",1)</f>
        <v>1</v>
      </c>
      <c r="M763" s="11">
        <f>_xlfn.XLOOKUP(H763,Ref!$B$3:$B$12,Ref!$C$3:$C$12,"",1)</f>
        <v>1</v>
      </c>
    </row>
    <row r="764" spans="2:13" x14ac:dyDescent="0.25">
      <c r="B764" s="15" t="s">
        <v>12</v>
      </c>
      <c r="C764" s="9">
        <v>35</v>
      </c>
      <c r="D764" s="9">
        <v>37.9</v>
      </c>
      <c r="E764" s="10">
        <v>39.299999999999997</v>
      </c>
      <c r="F764" s="9">
        <f t="shared" si="49"/>
        <v>11.140846016432674</v>
      </c>
      <c r="G764" s="9">
        <f t="shared" si="50"/>
        <v>12.063944686365666</v>
      </c>
      <c r="H764" s="10">
        <f t="shared" si="51"/>
        <v>12.509578527022972</v>
      </c>
      <c r="K764" s="11">
        <f>_xlfn.XLOOKUP(F764,Ref!$B$3:$B$12,Ref!$C$3:$C$12,"",1)</f>
        <v>1</v>
      </c>
      <c r="L764" s="11">
        <f>_xlfn.XLOOKUP(G764,Ref!$B$3:$B$12,Ref!$C$3:$C$12,"",1)</f>
        <v>1</v>
      </c>
      <c r="M764" s="11">
        <f>_xlfn.XLOOKUP(H764,Ref!$B$3:$B$12,Ref!$C$3:$C$12,"",1)</f>
        <v>1</v>
      </c>
    </row>
    <row r="765" spans="2:13" x14ac:dyDescent="0.25">
      <c r="B765" s="15" t="s">
        <v>40</v>
      </c>
      <c r="C765" s="9">
        <v>33.299999999999997</v>
      </c>
      <c r="D765" s="9">
        <v>32</v>
      </c>
      <c r="E765" s="10">
        <v>33.299999999999997</v>
      </c>
      <c r="F765" s="9">
        <f t="shared" si="49"/>
        <v>10.599719209920229</v>
      </c>
      <c r="G765" s="9">
        <f t="shared" si="50"/>
        <v>10.185916357881302</v>
      </c>
      <c r="H765" s="10">
        <f t="shared" si="51"/>
        <v>10.599719209920229</v>
      </c>
      <c r="K765" s="11">
        <f>_xlfn.XLOOKUP(F765,Ref!$B$3:$B$12,Ref!$C$3:$C$12,"",1)</f>
        <v>1</v>
      </c>
      <c r="L765" s="11">
        <f>_xlfn.XLOOKUP(G765,Ref!$B$3:$B$12,Ref!$C$3:$C$12,"",1)</f>
        <v>1</v>
      </c>
      <c r="M765" s="11">
        <f>_xlfn.XLOOKUP(H765,Ref!$B$3:$B$12,Ref!$C$3:$C$12,"",1)</f>
        <v>1</v>
      </c>
    </row>
    <row r="766" spans="2:13" x14ac:dyDescent="0.25">
      <c r="B766" s="15" t="s">
        <v>40</v>
      </c>
      <c r="C766" s="9">
        <v>38.700000000000003</v>
      </c>
      <c r="D766" s="9">
        <v>40.299999999999997</v>
      </c>
      <c r="E766" s="10">
        <v>41.1</v>
      </c>
      <c r="F766" s="9">
        <f t="shared" si="49"/>
        <v>12.318592595312701</v>
      </c>
      <c r="G766" s="9">
        <f t="shared" si="50"/>
        <v>12.827888413206765</v>
      </c>
      <c r="H766" s="10">
        <f t="shared" si="51"/>
        <v>13.082536322153798</v>
      </c>
      <c r="K766" s="11">
        <f>_xlfn.XLOOKUP(F766,Ref!$B$3:$B$12,Ref!$C$3:$C$12,"",1)</f>
        <v>1</v>
      </c>
      <c r="L766" s="11">
        <f>_xlfn.XLOOKUP(G766,Ref!$B$3:$B$12,Ref!$C$3:$C$12,"",1)</f>
        <v>1</v>
      </c>
      <c r="M766" s="11">
        <f>_xlfn.XLOOKUP(H766,Ref!$B$3:$B$12,Ref!$C$3:$C$12,"",1)</f>
        <v>1</v>
      </c>
    </row>
    <row r="767" spans="2:13" x14ac:dyDescent="0.25">
      <c r="B767" s="15" t="s">
        <v>24</v>
      </c>
      <c r="C767" s="9">
        <v>36.9</v>
      </c>
      <c r="D767" s="9">
        <v>38.299999999999997</v>
      </c>
      <c r="E767" s="10">
        <v>38.799999999999997</v>
      </c>
      <c r="F767" s="9">
        <f t="shared" si="49"/>
        <v>11.745634800181875</v>
      </c>
      <c r="G767" s="9">
        <f t="shared" si="50"/>
        <v>12.191268640839182</v>
      </c>
      <c r="H767" s="10">
        <f t="shared" si="51"/>
        <v>12.350423583931077</v>
      </c>
      <c r="K767" s="11">
        <f>_xlfn.XLOOKUP(F767,Ref!$B$3:$B$12,Ref!$C$3:$C$12,"",1)</f>
        <v>1</v>
      </c>
      <c r="L767" s="11">
        <f>_xlfn.XLOOKUP(G767,Ref!$B$3:$B$12,Ref!$C$3:$C$12,"",1)</f>
        <v>1</v>
      </c>
      <c r="M767" s="11">
        <f>_xlfn.XLOOKUP(H767,Ref!$B$3:$B$12,Ref!$C$3:$C$12,"",1)</f>
        <v>1</v>
      </c>
    </row>
    <row r="768" spans="2:13" x14ac:dyDescent="0.25">
      <c r="B768" s="15" t="s">
        <v>57</v>
      </c>
      <c r="C768" s="9">
        <v>36.1</v>
      </c>
      <c r="D768" s="9">
        <v>38.4</v>
      </c>
      <c r="E768" s="10">
        <v>39.5</v>
      </c>
      <c r="F768" s="9">
        <f t="shared" si="49"/>
        <v>11.490986891234844</v>
      </c>
      <c r="G768" s="9">
        <f t="shared" si="50"/>
        <v>12.223099629457561</v>
      </c>
      <c r="H768" s="10">
        <f t="shared" si="51"/>
        <v>12.573240504259733</v>
      </c>
      <c r="K768" s="11">
        <f>_xlfn.XLOOKUP(F768,Ref!$B$3:$B$12,Ref!$C$3:$C$12,"",1)</f>
        <v>1</v>
      </c>
      <c r="L768" s="11">
        <f>_xlfn.XLOOKUP(G768,Ref!$B$3:$B$12,Ref!$C$3:$C$12,"",1)</f>
        <v>1</v>
      </c>
      <c r="M768" s="11">
        <f>_xlfn.XLOOKUP(H768,Ref!$B$3:$B$12,Ref!$C$3:$C$12,"",1)</f>
        <v>1</v>
      </c>
    </row>
    <row r="769" spans="2:13" x14ac:dyDescent="0.25">
      <c r="B769" s="15" t="s">
        <v>10</v>
      </c>
      <c r="C769" s="9">
        <v>35.6</v>
      </c>
      <c r="D769" s="9">
        <v>37.200000000000003</v>
      </c>
      <c r="E769" s="10">
        <v>39.799999999999997</v>
      </c>
      <c r="F769" s="9">
        <f t="shared" si="49"/>
        <v>11.331831948142948</v>
      </c>
      <c r="G769" s="9">
        <f t="shared" si="50"/>
        <v>11.841127766037014</v>
      </c>
      <c r="H769" s="10">
        <f t="shared" si="51"/>
        <v>12.668733470114868</v>
      </c>
      <c r="K769" s="11">
        <f>_xlfn.XLOOKUP(F769,Ref!$B$3:$B$12,Ref!$C$3:$C$12,"",1)</f>
        <v>1</v>
      </c>
      <c r="L769" s="11">
        <f>_xlfn.XLOOKUP(G769,Ref!$B$3:$B$12,Ref!$C$3:$C$12,"",1)</f>
        <v>1</v>
      </c>
      <c r="M769" s="11">
        <f>_xlfn.XLOOKUP(H769,Ref!$B$3:$B$12,Ref!$C$3:$C$12,"",1)</f>
        <v>1</v>
      </c>
    </row>
    <row r="770" spans="2:13" x14ac:dyDescent="0.25">
      <c r="B770" s="15" t="s">
        <v>12</v>
      </c>
      <c r="C770" s="9">
        <v>40.4</v>
      </c>
      <c r="D770" s="9">
        <v>41.5</v>
      </c>
      <c r="E770" s="10">
        <v>42.9</v>
      </c>
      <c r="F770" s="9">
        <f t="shared" si="49"/>
        <v>12.859719401825144</v>
      </c>
      <c r="G770" s="9">
        <f t="shared" si="50"/>
        <v>13.209860276627314</v>
      </c>
      <c r="H770" s="10">
        <f t="shared" si="51"/>
        <v>13.65549411728462</v>
      </c>
      <c r="K770" s="11">
        <f>_xlfn.XLOOKUP(F770,Ref!$B$3:$B$12,Ref!$C$3:$C$12,"",1)</f>
        <v>1</v>
      </c>
      <c r="L770" s="11">
        <f>_xlfn.XLOOKUP(G770,Ref!$B$3:$B$12,Ref!$C$3:$C$12,"",1)</f>
        <v>1</v>
      </c>
      <c r="M770" s="11">
        <f>_xlfn.XLOOKUP(H770,Ref!$B$3:$B$12,Ref!$C$3:$C$12,"",1)</f>
        <v>1</v>
      </c>
    </row>
    <row r="771" spans="2:13" x14ac:dyDescent="0.25">
      <c r="B771" s="15" t="s">
        <v>26</v>
      </c>
      <c r="C771" s="9">
        <v>190.5</v>
      </c>
      <c r="D771" s="9">
        <v>196</v>
      </c>
      <c r="E771" s="10">
        <v>196</v>
      </c>
      <c r="F771" s="9">
        <f t="shared" si="49"/>
        <v>60.638033318012127</v>
      </c>
      <c r="G771" s="9">
        <f t="shared" si="50"/>
        <v>62.388737692022971</v>
      </c>
      <c r="H771" s="10">
        <f t="shared" si="51"/>
        <v>62.388737692022971</v>
      </c>
      <c r="K771" s="11">
        <f>_xlfn.XLOOKUP(F771,Ref!$B$3:$B$12,Ref!$C$3:$C$12,"",1)</f>
        <v>6</v>
      </c>
      <c r="L771" s="11">
        <f>_xlfn.XLOOKUP(G771,Ref!$B$3:$B$12,Ref!$C$3:$C$12,"",1)</f>
        <v>6</v>
      </c>
      <c r="M771" s="11">
        <f>_xlfn.XLOOKUP(H771,Ref!$B$3:$B$12,Ref!$C$3:$C$12,"",1)</f>
        <v>6</v>
      </c>
    </row>
    <row r="772" spans="2:13" x14ac:dyDescent="0.25">
      <c r="B772" s="15" t="s">
        <v>63</v>
      </c>
      <c r="C772" s="9">
        <v>68.5</v>
      </c>
      <c r="D772" s="9">
        <v>69.5</v>
      </c>
      <c r="E772" s="10">
        <v>70.599999999999994</v>
      </c>
      <c r="F772" s="9">
        <f t="shared" si="49"/>
        <v>21.804227203589662</v>
      </c>
      <c r="G772" s="9">
        <f t="shared" si="50"/>
        <v>22.122537089773452</v>
      </c>
      <c r="H772" s="10">
        <f t="shared" si="51"/>
        <v>22.47267796457562</v>
      </c>
      <c r="K772" s="11">
        <f>_xlfn.XLOOKUP(F772,Ref!$B$3:$B$12,Ref!$C$3:$C$12,"",1)</f>
        <v>2</v>
      </c>
      <c r="L772" s="11">
        <f>_xlfn.XLOOKUP(G772,Ref!$B$3:$B$12,Ref!$C$3:$C$12,"",1)</f>
        <v>2</v>
      </c>
      <c r="M772" s="11">
        <f>_xlfn.XLOOKUP(H772,Ref!$B$3:$B$12,Ref!$C$3:$C$12,"",1)</f>
        <v>2</v>
      </c>
    </row>
    <row r="773" spans="2:13" x14ac:dyDescent="0.25">
      <c r="B773" s="15" t="s">
        <v>12</v>
      </c>
      <c r="C773" s="9">
        <v>39</v>
      </c>
      <c r="D773" s="9">
        <v>40.5</v>
      </c>
      <c r="E773" s="10">
        <v>41.5</v>
      </c>
      <c r="F773" s="9">
        <f t="shared" si="49"/>
        <v>12.414085561167836</v>
      </c>
      <c r="G773" s="9">
        <f t="shared" si="50"/>
        <v>12.891550390443523</v>
      </c>
      <c r="H773" s="10">
        <f t="shared" si="51"/>
        <v>13.209860276627314</v>
      </c>
      <c r="K773" s="11">
        <f>_xlfn.XLOOKUP(F773,Ref!$B$3:$B$12,Ref!$C$3:$C$12,"",1)</f>
        <v>1</v>
      </c>
      <c r="L773" s="11">
        <f>_xlfn.XLOOKUP(G773,Ref!$B$3:$B$12,Ref!$C$3:$C$12,"",1)</f>
        <v>1</v>
      </c>
      <c r="M773" s="11">
        <f>_xlfn.XLOOKUP(H773,Ref!$B$3:$B$12,Ref!$C$3:$C$12,"",1)</f>
        <v>1</v>
      </c>
    </row>
    <row r="774" spans="2:13" x14ac:dyDescent="0.25">
      <c r="B774" s="15" t="s">
        <v>40</v>
      </c>
      <c r="C774" s="9">
        <v>38.299999999999997</v>
      </c>
      <c r="D774" s="9">
        <v>40.200000000000003</v>
      </c>
      <c r="E774" s="10">
        <v>40.200000000000003</v>
      </c>
      <c r="F774" s="9">
        <f t="shared" si="49"/>
        <v>12.191268640839182</v>
      </c>
      <c r="G774" s="9">
        <f t="shared" si="50"/>
        <v>12.796057424588387</v>
      </c>
      <c r="H774" s="10">
        <f t="shared" si="51"/>
        <v>12.796057424588387</v>
      </c>
      <c r="K774" s="11">
        <f>_xlfn.XLOOKUP(F774,Ref!$B$3:$B$12,Ref!$C$3:$C$12,"",1)</f>
        <v>1</v>
      </c>
      <c r="L774" s="11">
        <f>_xlfn.XLOOKUP(G774,Ref!$B$3:$B$12,Ref!$C$3:$C$12,"",1)</f>
        <v>1</v>
      </c>
      <c r="M774" s="11">
        <f>_xlfn.XLOOKUP(H774,Ref!$B$3:$B$12,Ref!$C$3:$C$12,"",1)</f>
        <v>1</v>
      </c>
    </row>
    <row r="775" spans="2:13" x14ac:dyDescent="0.25">
      <c r="B775" s="15" t="s">
        <v>42</v>
      </c>
      <c r="C775" s="9">
        <v>61.8</v>
      </c>
      <c r="D775" s="9">
        <v>63</v>
      </c>
      <c r="E775" s="10">
        <v>63.3</v>
      </c>
      <c r="F775" s="9">
        <f t="shared" si="49"/>
        <v>19.671550966158264</v>
      </c>
      <c r="G775" s="9">
        <f t="shared" si="50"/>
        <v>20.053522829578814</v>
      </c>
      <c r="H775" s="10">
        <f t="shared" si="51"/>
        <v>20.14901579543395</v>
      </c>
      <c r="K775" s="11">
        <f>_xlfn.XLOOKUP(F775,Ref!$B$3:$B$12,Ref!$C$3:$C$12,"",1)</f>
        <v>1</v>
      </c>
      <c r="L775" s="11">
        <f>_xlfn.XLOOKUP(G775,Ref!$B$3:$B$12,Ref!$C$3:$C$12,"",1)</f>
        <v>2</v>
      </c>
      <c r="M775" s="11">
        <f>_xlfn.XLOOKUP(H775,Ref!$B$3:$B$12,Ref!$C$3:$C$12,"",1)</f>
        <v>2</v>
      </c>
    </row>
    <row r="776" spans="2:13" x14ac:dyDescent="0.25">
      <c r="B776" s="15" t="s">
        <v>68</v>
      </c>
      <c r="C776" s="9">
        <v>122.2</v>
      </c>
      <c r="D776" s="9">
        <v>122.3</v>
      </c>
      <c r="E776" s="10">
        <v>122.3</v>
      </c>
      <c r="F776" s="9">
        <f t="shared" si="49"/>
        <v>38.897468091659221</v>
      </c>
      <c r="G776" s="9">
        <f t="shared" si="50"/>
        <v>38.929299080277602</v>
      </c>
      <c r="H776" s="10">
        <f t="shared" si="51"/>
        <v>38.929299080277602</v>
      </c>
      <c r="K776" s="11">
        <f>_xlfn.XLOOKUP(F776,Ref!$B$3:$B$12,Ref!$C$3:$C$12,"",1)</f>
        <v>3</v>
      </c>
      <c r="L776" s="11">
        <f>_xlfn.XLOOKUP(G776,Ref!$B$3:$B$12,Ref!$C$3:$C$12,"",1)</f>
        <v>3</v>
      </c>
      <c r="M776" s="11">
        <f>_xlfn.XLOOKUP(H776,Ref!$B$3:$B$12,Ref!$C$3:$C$12,"",1)</f>
        <v>3</v>
      </c>
    </row>
    <row r="777" spans="2:13" x14ac:dyDescent="0.25">
      <c r="B777" s="15" t="s">
        <v>42</v>
      </c>
      <c r="C777" s="9">
        <v>75.5</v>
      </c>
      <c r="D777" s="9">
        <v>76</v>
      </c>
      <c r="E777" s="10">
        <v>76.900000000000006</v>
      </c>
      <c r="F777" s="9">
        <f t="shared" si="49"/>
        <v>24.032396406876195</v>
      </c>
      <c r="G777" s="9">
        <f t="shared" si="50"/>
        <v>24.191551349968091</v>
      </c>
      <c r="H777" s="10">
        <f t="shared" si="51"/>
        <v>24.478030247533507</v>
      </c>
      <c r="K777" s="11">
        <f>_xlfn.XLOOKUP(F777,Ref!$B$3:$B$12,Ref!$C$3:$C$12,"",1)</f>
        <v>2</v>
      </c>
      <c r="L777" s="11">
        <f>_xlfn.XLOOKUP(G777,Ref!$B$3:$B$12,Ref!$C$3:$C$12,"",1)</f>
        <v>2</v>
      </c>
      <c r="M777" s="11">
        <f>_xlfn.XLOOKUP(H777,Ref!$B$3:$B$12,Ref!$C$3:$C$12,"",1)</f>
        <v>2</v>
      </c>
    </row>
    <row r="778" spans="2:13" x14ac:dyDescent="0.25">
      <c r="B778" s="15" t="s">
        <v>12</v>
      </c>
      <c r="C778" s="9">
        <v>41.2</v>
      </c>
      <c r="D778" s="9">
        <v>41.2</v>
      </c>
      <c r="E778" s="10">
        <v>41.2</v>
      </c>
      <c r="F778" s="9">
        <f t="shared" si="49"/>
        <v>13.114367310772177</v>
      </c>
      <c r="G778" s="9">
        <f t="shared" si="50"/>
        <v>13.114367310772177</v>
      </c>
      <c r="H778" s="10">
        <f t="shared" si="51"/>
        <v>13.114367310772177</v>
      </c>
      <c r="K778" s="11">
        <f>_xlfn.XLOOKUP(F778,Ref!$B$3:$B$12,Ref!$C$3:$C$12,"",1)</f>
        <v>1</v>
      </c>
      <c r="L778" s="11">
        <f>_xlfn.XLOOKUP(G778,Ref!$B$3:$B$12,Ref!$C$3:$C$12,"",1)</f>
        <v>1</v>
      </c>
      <c r="M778" s="11">
        <f>_xlfn.XLOOKUP(H778,Ref!$B$3:$B$12,Ref!$C$3:$C$12,"",1)</f>
        <v>1</v>
      </c>
    </row>
    <row r="779" spans="2:13" x14ac:dyDescent="0.25">
      <c r="B779" s="15" t="s">
        <v>42</v>
      </c>
      <c r="C779" s="9">
        <v>79.3</v>
      </c>
      <c r="D779" s="9">
        <v>80.900000000000006</v>
      </c>
      <c r="E779" s="10">
        <v>81</v>
      </c>
      <c r="F779" s="9">
        <f t="shared" si="49"/>
        <v>25.241973974374602</v>
      </c>
      <c r="G779" s="9">
        <f t="shared" si="50"/>
        <v>25.751269792268669</v>
      </c>
      <c r="H779" s="10">
        <f t="shared" si="51"/>
        <v>25.783100780887047</v>
      </c>
      <c r="K779" s="11">
        <f>_xlfn.XLOOKUP(F779,Ref!$B$3:$B$12,Ref!$C$3:$C$12,"",1)</f>
        <v>2</v>
      </c>
      <c r="L779" s="11">
        <f>_xlfn.XLOOKUP(G779,Ref!$B$3:$B$12,Ref!$C$3:$C$12,"",1)</f>
        <v>2</v>
      </c>
      <c r="M779" s="11">
        <f>_xlfn.XLOOKUP(H779,Ref!$B$3:$B$12,Ref!$C$3:$C$12,"",1)</f>
        <v>2</v>
      </c>
    </row>
    <row r="780" spans="2:13" x14ac:dyDescent="0.25">
      <c r="B780" s="15" t="s">
        <v>10</v>
      </c>
      <c r="C780" s="9">
        <v>112.2</v>
      </c>
      <c r="D780" s="9">
        <v>113.8</v>
      </c>
      <c r="E780" s="10">
        <v>114.2</v>
      </c>
      <c r="F780" s="9">
        <f t="shared" si="49"/>
        <v>35.714369229821315</v>
      </c>
      <c r="G780" s="9">
        <f t="shared" si="50"/>
        <v>36.223665047715379</v>
      </c>
      <c r="H780" s="10">
        <f t="shared" si="51"/>
        <v>36.350989002188896</v>
      </c>
      <c r="K780" s="11">
        <f>_xlfn.XLOOKUP(F780,Ref!$B$3:$B$12,Ref!$C$3:$C$12,"",1)</f>
        <v>3</v>
      </c>
      <c r="L780" s="11">
        <f>_xlfn.XLOOKUP(G780,Ref!$B$3:$B$12,Ref!$C$3:$C$12,"",1)</f>
        <v>3</v>
      </c>
      <c r="M780" s="11">
        <f>_xlfn.XLOOKUP(H780,Ref!$B$3:$B$12,Ref!$C$3:$C$12,"",1)</f>
        <v>3</v>
      </c>
    </row>
    <row r="781" spans="2:13" x14ac:dyDescent="0.25">
      <c r="B781" s="15" t="s">
        <v>42</v>
      </c>
      <c r="C781" s="9">
        <v>78</v>
      </c>
      <c r="D781" s="9">
        <v>78.8</v>
      </c>
      <c r="E781" s="10">
        <v>80.099999999999994</v>
      </c>
      <c r="F781" s="9">
        <f t="shared" si="49"/>
        <v>24.828171122335672</v>
      </c>
      <c r="G781" s="9">
        <f t="shared" si="50"/>
        <v>25.082819031282703</v>
      </c>
      <c r="H781" s="10">
        <f t="shared" si="51"/>
        <v>25.49662188332163</v>
      </c>
      <c r="K781" s="11">
        <f>_xlfn.XLOOKUP(F781,Ref!$B$3:$B$12,Ref!$C$3:$C$12,"",1)</f>
        <v>2</v>
      </c>
      <c r="L781" s="11">
        <f>_xlfn.XLOOKUP(G781,Ref!$B$3:$B$12,Ref!$C$3:$C$12,"",1)</f>
        <v>2</v>
      </c>
      <c r="M781" s="11">
        <f>_xlfn.XLOOKUP(H781,Ref!$B$3:$B$12,Ref!$C$3:$C$12,"",1)</f>
        <v>2</v>
      </c>
    </row>
    <row r="782" spans="2:13" x14ac:dyDescent="0.25">
      <c r="B782" s="15" t="s">
        <v>39</v>
      </c>
      <c r="C782" s="9">
        <v>82.5</v>
      </c>
      <c r="D782" s="9">
        <v>84.6</v>
      </c>
      <c r="E782" s="10">
        <v>88.4</v>
      </c>
      <c r="F782" s="9">
        <f t="shared" si="49"/>
        <v>26.260565610162732</v>
      </c>
      <c r="G782" s="9">
        <f t="shared" si="50"/>
        <v>26.929016371148691</v>
      </c>
      <c r="H782" s="10">
        <f t="shared" si="51"/>
        <v>28.138593938647098</v>
      </c>
      <c r="K782" s="11">
        <f>_xlfn.XLOOKUP(F782,Ref!$B$3:$B$12,Ref!$C$3:$C$12,"",1)</f>
        <v>2</v>
      </c>
      <c r="L782" s="11">
        <f>_xlfn.XLOOKUP(G782,Ref!$B$3:$B$12,Ref!$C$3:$C$12,"",1)</f>
        <v>2</v>
      </c>
      <c r="M782" s="11">
        <f>_xlfn.XLOOKUP(H782,Ref!$B$3:$B$12,Ref!$C$3:$C$12,"",1)</f>
        <v>2</v>
      </c>
    </row>
    <row r="783" spans="2:13" x14ac:dyDescent="0.25">
      <c r="B783" s="15" t="s">
        <v>8</v>
      </c>
      <c r="C783" s="9">
        <v>166.7</v>
      </c>
      <c r="D783" s="9">
        <v>168</v>
      </c>
      <c r="E783" s="10">
        <v>168</v>
      </c>
      <c r="F783" s="9">
        <f t="shared" ref="F783:F843" si="52">IF(C783="", "", C783/PI())</f>
        <v>53.062258026837902</v>
      </c>
      <c r="G783" s="9">
        <f t="shared" ref="G783:G843" si="53">IF(D783="", "", D783/PI())</f>
        <v>53.476060878876837</v>
      </c>
      <c r="H783" s="10">
        <f t="shared" ref="H783:H843" si="54">IF(E783="", "", E783/PI())</f>
        <v>53.476060878876837</v>
      </c>
      <c r="K783" s="11">
        <f>_xlfn.XLOOKUP(F783,Ref!$B$3:$B$12,Ref!$C$3:$C$12,"",1)</f>
        <v>5</v>
      </c>
      <c r="L783" s="11">
        <f>_xlfn.XLOOKUP(G783,Ref!$B$3:$B$12,Ref!$C$3:$C$12,"",1)</f>
        <v>5</v>
      </c>
      <c r="M783" s="11">
        <f>_xlfn.XLOOKUP(H783,Ref!$B$3:$B$12,Ref!$C$3:$C$12,"",1)</f>
        <v>5</v>
      </c>
    </row>
    <row r="784" spans="2:13" x14ac:dyDescent="0.25">
      <c r="B784" s="15" t="s">
        <v>8</v>
      </c>
      <c r="C784" s="9">
        <v>60.8</v>
      </c>
      <c r="D784" s="9">
        <v>65</v>
      </c>
      <c r="E784" s="10">
        <v>67.599999999999994</v>
      </c>
      <c r="F784" s="9">
        <f t="shared" si="52"/>
        <v>19.353241079974474</v>
      </c>
      <c r="G784" s="9">
        <f t="shared" si="53"/>
        <v>20.690142601946395</v>
      </c>
      <c r="H784" s="10">
        <f t="shared" si="54"/>
        <v>21.517748306024249</v>
      </c>
      <c r="K784" s="11">
        <f>_xlfn.XLOOKUP(F784,Ref!$B$3:$B$12,Ref!$C$3:$C$12,"",1)</f>
        <v>1</v>
      </c>
      <c r="L784" s="11">
        <f>_xlfn.XLOOKUP(G784,Ref!$B$3:$B$12,Ref!$C$3:$C$12,"",1)</f>
        <v>2</v>
      </c>
      <c r="M784" s="11">
        <f>_xlfn.XLOOKUP(H784,Ref!$B$3:$B$12,Ref!$C$3:$C$12,"",1)</f>
        <v>2</v>
      </c>
    </row>
    <row r="785" spans="2:13" x14ac:dyDescent="0.25">
      <c r="B785" s="15" t="s">
        <v>28</v>
      </c>
      <c r="C785" s="9">
        <v>88.7</v>
      </c>
      <c r="D785" s="9">
        <v>88.7</v>
      </c>
      <c r="E785" s="10">
        <v>89.5</v>
      </c>
      <c r="F785" s="9">
        <f t="shared" si="52"/>
        <v>28.234086904502234</v>
      </c>
      <c r="G785" s="9">
        <f t="shared" si="53"/>
        <v>28.234086904502234</v>
      </c>
      <c r="H785" s="10">
        <f t="shared" si="54"/>
        <v>28.488734813449266</v>
      </c>
      <c r="K785" s="11">
        <f>_xlfn.XLOOKUP(F785,Ref!$B$3:$B$12,Ref!$C$3:$C$12,"",1)</f>
        <v>2</v>
      </c>
      <c r="L785" s="11">
        <f>_xlfn.XLOOKUP(G785,Ref!$B$3:$B$12,Ref!$C$3:$C$12,"",1)</f>
        <v>2</v>
      </c>
      <c r="M785" s="11">
        <f>_xlfn.XLOOKUP(H785,Ref!$B$3:$B$12,Ref!$C$3:$C$12,"",1)</f>
        <v>2</v>
      </c>
    </row>
    <row r="786" spans="2:13" x14ac:dyDescent="0.25">
      <c r="B786" s="15" t="s">
        <v>11</v>
      </c>
      <c r="C786" s="9"/>
      <c r="D786" s="9">
        <v>32.6</v>
      </c>
      <c r="E786" s="10">
        <v>36.200000000000003</v>
      </c>
      <c r="F786" s="9" t="str">
        <f t="shared" si="52"/>
        <v/>
      </c>
      <c r="G786" s="9">
        <f t="shared" si="53"/>
        <v>10.376902289591577</v>
      </c>
      <c r="H786" s="10">
        <f t="shared" si="54"/>
        <v>11.522817879853223</v>
      </c>
      <c r="K786" s="11" t="str">
        <f>_xlfn.XLOOKUP(F786,Ref!$B$3:$B$12,Ref!$C$3:$C$12,"",1)</f>
        <v/>
      </c>
      <c r="L786" s="11">
        <f>_xlfn.XLOOKUP(G786,Ref!$B$3:$B$12,Ref!$C$3:$C$12,"",1)</f>
        <v>1</v>
      </c>
      <c r="M786" s="11">
        <f>_xlfn.XLOOKUP(H786,Ref!$B$3:$B$12,Ref!$C$3:$C$12,"",1)</f>
        <v>1</v>
      </c>
    </row>
    <row r="787" spans="2:13" x14ac:dyDescent="0.25">
      <c r="B787" s="15" t="s">
        <v>12</v>
      </c>
      <c r="C787" s="9">
        <v>72</v>
      </c>
      <c r="D787" s="9">
        <v>79.599999999999994</v>
      </c>
      <c r="E787" s="10">
        <v>79.599999999999994</v>
      </c>
      <c r="F787" s="9">
        <f t="shared" si="52"/>
        <v>22.918311805232928</v>
      </c>
      <c r="G787" s="9">
        <f t="shared" si="53"/>
        <v>25.337466940229735</v>
      </c>
      <c r="H787" s="10">
        <f t="shared" si="54"/>
        <v>25.337466940229735</v>
      </c>
      <c r="K787" s="11">
        <f>_xlfn.XLOOKUP(F787,Ref!$B$3:$B$12,Ref!$C$3:$C$12,"",1)</f>
        <v>2</v>
      </c>
      <c r="L787" s="11">
        <f>_xlfn.XLOOKUP(G787,Ref!$B$3:$B$12,Ref!$C$3:$C$12,"",1)</f>
        <v>2</v>
      </c>
      <c r="M787" s="11">
        <f>_xlfn.XLOOKUP(H787,Ref!$B$3:$B$12,Ref!$C$3:$C$12,"",1)</f>
        <v>2</v>
      </c>
    </row>
    <row r="788" spans="2:13" x14ac:dyDescent="0.25">
      <c r="B788" s="15" t="s">
        <v>42</v>
      </c>
      <c r="C788" s="9">
        <v>71.400000000000006</v>
      </c>
      <c r="D788" s="9">
        <v>73</v>
      </c>
      <c r="E788" s="10">
        <v>73</v>
      </c>
      <c r="F788" s="9">
        <f t="shared" si="52"/>
        <v>22.727325873522656</v>
      </c>
      <c r="G788" s="9">
        <f t="shared" si="53"/>
        <v>23.236621691416719</v>
      </c>
      <c r="H788" s="10">
        <f t="shared" si="54"/>
        <v>23.236621691416719</v>
      </c>
      <c r="K788" s="11">
        <f>_xlfn.XLOOKUP(F788,Ref!$B$3:$B$12,Ref!$C$3:$C$12,"",1)</f>
        <v>2</v>
      </c>
      <c r="L788" s="11">
        <f>_xlfn.XLOOKUP(G788,Ref!$B$3:$B$12,Ref!$C$3:$C$12,"",1)</f>
        <v>2</v>
      </c>
      <c r="M788" s="11">
        <f>_xlfn.XLOOKUP(H788,Ref!$B$3:$B$12,Ref!$C$3:$C$12,"",1)</f>
        <v>2</v>
      </c>
    </row>
    <row r="789" spans="2:13" x14ac:dyDescent="0.25">
      <c r="B789" s="15" t="s">
        <v>6</v>
      </c>
      <c r="C789" s="9">
        <v>35.4</v>
      </c>
      <c r="D789" s="9">
        <v>36.6</v>
      </c>
      <c r="E789" s="10">
        <v>36.6</v>
      </c>
      <c r="F789" s="9">
        <f t="shared" si="52"/>
        <v>11.26816997090619</v>
      </c>
      <c r="G789" s="9">
        <f t="shared" si="53"/>
        <v>11.650141834326739</v>
      </c>
      <c r="H789" s="10">
        <f t="shared" si="54"/>
        <v>11.650141834326739</v>
      </c>
      <c r="K789" s="11">
        <f>_xlfn.XLOOKUP(F789,Ref!$B$3:$B$12,Ref!$C$3:$C$12,"",1)</f>
        <v>1</v>
      </c>
      <c r="L789" s="11">
        <f>_xlfn.XLOOKUP(G789,Ref!$B$3:$B$12,Ref!$C$3:$C$12,"",1)</f>
        <v>1</v>
      </c>
      <c r="M789" s="11">
        <f>_xlfn.XLOOKUP(H789,Ref!$B$3:$B$12,Ref!$C$3:$C$12,"",1)</f>
        <v>1</v>
      </c>
    </row>
    <row r="790" spans="2:13" x14ac:dyDescent="0.25">
      <c r="B790" s="15" t="s">
        <v>12</v>
      </c>
      <c r="C790" s="9">
        <v>51.6</v>
      </c>
      <c r="D790" s="9">
        <v>55.8</v>
      </c>
      <c r="E790" s="10">
        <v>57.6</v>
      </c>
      <c r="F790" s="9">
        <f t="shared" si="52"/>
        <v>16.4247901270836</v>
      </c>
      <c r="G790" s="9">
        <f t="shared" si="53"/>
        <v>17.761691649055518</v>
      </c>
      <c r="H790" s="10">
        <f t="shared" si="54"/>
        <v>18.334649444186343</v>
      </c>
      <c r="K790" s="11">
        <f>_xlfn.XLOOKUP(F790,Ref!$B$3:$B$12,Ref!$C$3:$C$12,"",1)</f>
        <v>1</v>
      </c>
      <c r="L790" s="11">
        <f>_xlfn.XLOOKUP(G790,Ref!$B$3:$B$12,Ref!$C$3:$C$12,"",1)</f>
        <v>1</v>
      </c>
      <c r="M790" s="11">
        <f>_xlfn.XLOOKUP(H790,Ref!$B$3:$B$12,Ref!$C$3:$C$12,"",1)</f>
        <v>1</v>
      </c>
    </row>
    <row r="791" spans="2:13" x14ac:dyDescent="0.25">
      <c r="B791" s="15" t="s">
        <v>26</v>
      </c>
      <c r="C791" s="9">
        <v>188</v>
      </c>
      <c r="D791" s="9">
        <v>192</v>
      </c>
      <c r="E791" s="10">
        <v>198</v>
      </c>
      <c r="F791" s="9">
        <f t="shared" si="52"/>
        <v>59.842258602552647</v>
      </c>
      <c r="G791" s="9">
        <f t="shared" si="53"/>
        <v>61.115498147287809</v>
      </c>
      <c r="H791" s="10">
        <f t="shared" si="54"/>
        <v>63.025357464390552</v>
      </c>
      <c r="K791" s="11">
        <f>_xlfn.XLOOKUP(F791,Ref!$B$3:$B$12,Ref!$C$3:$C$12,"",1)</f>
        <v>5</v>
      </c>
      <c r="L791" s="11">
        <f>_xlfn.XLOOKUP(G791,Ref!$B$3:$B$12,Ref!$C$3:$C$12,"",1)</f>
        <v>6</v>
      </c>
      <c r="M791" s="11">
        <f>_xlfn.XLOOKUP(H791,Ref!$B$3:$B$12,Ref!$C$3:$C$12,"",1)</f>
        <v>6</v>
      </c>
    </row>
    <row r="792" spans="2:13" x14ac:dyDescent="0.25">
      <c r="B792" s="15" t="s">
        <v>12</v>
      </c>
      <c r="C792" s="9">
        <v>36.9</v>
      </c>
      <c r="D792" s="9">
        <v>37.6</v>
      </c>
      <c r="E792" s="10">
        <v>37.4</v>
      </c>
      <c r="F792" s="9">
        <f t="shared" si="52"/>
        <v>11.745634800181875</v>
      </c>
      <c r="G792" s="9">
        <f t="shared" si="53"/>
        <v>11.968451720510529</v>
      </c>
      <c r="H792" s="10">
        <f t="shared" si="54"/>
        <v>11.904789743273771</v>
      </c>
      <c r="K792" s="11">
        <f>_xlfn.XLOOKUP(F792,Ref!$B$3:$B$12,Ref!$C$3:$C$12,"",1)</f>
        <v>1</v>
      </c>
      <c r="L792" s="11">
        <f>_xlfn.XLOOKUP(G792,Ref!$B$3:$B$12,Ref!$C$3:$C$12,"",1)</f>
        <v>1</v>
      </c>
      <c r="M792" s="11">
        <f>_xlfn.XLOOKUP(H792,Ref!$B$3:$B$12,Ref!$C$3:$C$12,"",1)</f>
        <v>1</v>
      </c>
    </row>
    <row r="793" spans="2:13" x14ac:dyDescent="0.25">
      <c r="B793" s="15" t="s">
        <v>7</v>
      </c>
      <c r="C793" s="9">
        <v>65.599999999999994</v>
      </c>
      <c r="D793" s="9">
        <v>68.2</v>
      </c>
      <c r="E793" s="10">
        <v>71.400000000000006</v>
      </c>
      <c r="F793" s="9">
        <f t="shared" si="52"/>
        <v>20.881128533656668</v>
      </c>
      <c r="G793" s="9">
        <f t="shared" si="53"/>
        <v>21.708734237734525</v>
      </c>
      <c r="H793" s="10">
        <f t="shared" si="54"/>
        <v>22.727325873522656</v>
      </c>
      <c r="K793" s="11">
        <f>_xlfn.XLOOKUP(F793,Ref!$B$3:$B$12,Ref!$C$3:$C$12,"",1)</f>
        <v>2</v>
      </c>
      <c r="L793" s="11">
        <f>_xlfn.XLOOKUP(G793,Ref!$B$3:$B$12,Ref!$C$3:$C$12,"",1)</f>
        <v>2</v>
      </c>
      <c r="M793" s="11">
        <f>_xlfn.XLOOKUP(H793,Ref!$B$3:$B$12,Ref!$C$3:$C$12,"",1)</f>
        <v>2</v>
      </c>
    </row>
    <row r="794" spans="2:13" x14ac:dyDescent="0.25">
      <c r="B794" s="15" t="s">
        <v>8</v>
      </c>
      <c r="C794" s="9">
        <v>163</v>
      </c>
      <c r="D794" s="9">
        <v>160.19999999999999</v>
      </c>
      <c r="E794" s="10">
        <v>161.5</v>
      </c>
      <c r="F794" s="9">
        <f t="shared" si="52"/>
        <v>51.884511447957884</v>
      </c>
      <c r="G794" s="9">
        <f t="shared" si="53"/>
        <v>50.993243766643261</v>
      </c>
      <c r="H794" s="10">
        <f t="shared" si="54"/>
        <v>51.407046618682195</v>
      </c>
      <c r="K794" s="11">
        <f>_xlfn.XLOOKUP(F794,Ref!$B$3:$B$12,Ref!$C$3:$C$12,"",1)</f>
        <v>5</v>
      </c>
      <c r="L794" s="11">
        <f>_xlfn.XLOOKUP(G794,Ref!$B$3:$B$12,Ref!$C$3:$C$12,"",1)</f>
        <v>5</v>
      </c>
      <c r="M794" s="11">
        <f>_xlfn.XLOOKUP(H794,Ref!$B$3:$B$12,Ref!$C$3:$C$12,"",1)</f>
        <v>5</v>
      </c>
    </row>
    <row r="795" spans="2:13" x14ac:dyDescent="0.25">
      <c r="B795" s="15" t="s">
        <v>6</v>
      </c>
      <c r="C795" s="9">
        <v>33.6</v>
      </c>
      <c r="D795" s="9">
        <v>36.299999999999997</v>
      </c>
      <c r="E795" s="10">
        <v>39.700000000000003</v>
      </c>
      <c r="F795" s="9">
        <f t="shared" si="52"/>
        <v>10.695212175775367</v>
      </c>
      <c r="G795" s="9">
        <f t="shared" si="53"/>
        <v>11.554648868471601</v>
      </c>
      <c r="H795" s="10">
        <f t="shared" si="54"/>
        <v>12.636902481496492</v>
      </c>
      <c r="K795" s="11">
        <f>_xlfn.XLOOKUP(F795,Ref!$B$3:$B$12,Ref!$C$3:$C$12,"",1)</f>
        <v>1</v>
      </c>
      <c r="L795" s="11">
        <f>_xlfn.XLOOKUP(G795,Ref!$B$3:$B$12,Ref!$C$3:$C$12,"",1)</f>
        <v>1</v>
      </c>
      <c r="M795" s="11">
        <f>_xlfn.XLOOKUP(H795,Ref!$B$3:$B$12,Ref!$C$3:$C$12,"",1)</f>
        <v>1</v>
      </c>
    </row>
    <row r="796" spans="2:13" x14ac:dyDescent="0.25">
      <c r="B796" s="15" t="s">
        <v>10</v>
      </c>
      <c r="C796" s="9">
        <v>41.9</v>
      </c>
      <c r="D796" s="9">
        <v>44.5</v>
      </c>
      <c r="E796" s="10">
        <v>47.8</v>
      </c>
      <c r="F796" s="9">
        <f t="shared" si="52"/>
        <v>13.33718423110083</v>
      </c>
      <c r="G796" s="9">
        <f t="shared" si="53"/>
        <v>14.164789935178685</v>
      </c>
      <c r="H796" s="10">
        <f t="shared" si="54"/>
        <v>15.215212559585193</v>
      </c>
      <c r="K796" s="11">
        <f>_xlfn.XLOOKUP(F796,Ref!$B$3:$B$12,Ref!$C$3:$C$12,"",1)</f>
        <v>1</v>
      </c>
      <c r="L796" s="11">
        <f>_xlfn.XLOOKUP(G796,Ref!$B$3:$B$12,Ref!$C$3:$C$12,"",1)</f>
        <v>1</v>
      </c>
      <c r="M796" s="11">
        <f>_xlfn.XLOOKUP(H796,Ref!$B$3:$B$12,Ref!$C$3:$C$12,"",1)</f>
        <v>1</v>
      </c>
    </row>
    <row r="797" spans="2:13" x14ac:dyDescent="0.25">
      <c r="B797" s="15" t="s">
        <v>7</v>
      </c>
      <c r="C797" s="9">
        <v>63.9</v>
      </c>
      <c r="D797" s="9">
        <v>68</v>
      </c>
      <c r="E797" s="10">
        <v>69.8</v>
      </c>
      <c r="F797" s="9">
        <f t="shared" si="52"/>
        <v>20.340001727144223</v>
      </c>
      <c r="G797" s="9">
        <f t="shared" si="53"/>
        <v>21.645072260497766</v>
      </c>
      <c r="H797" s="10">
        <f t="shared" si="54"/>
        <v>22.218030055628589</v>
      </c>
      <c r="K797" s="11">
        <f>_xlfn.XLOOKUP(F797,Ref!$B$3:$B$12,Ref!$C$3:$C$12,"",1)</f>
        <v>2</v>
      </c>
      <c r="L797" s="11">
        <f>_xlfn.XLOOKUP(G797,Ref!$B$3:$B$12,Ref!$C$3:$C$12,"",1)</f>
        <v>2</v>
      </c>
      <c r="M797" s="11">
        <f>_xlfn.XLOOKUP(H797,Ref!$B$3:$B$12,Ref!$C$3:$C$12,"",1)</f>
        <v>2</v>
      </c>
    </row>
    <row r="798" spans="2:13" x14ac:dyDescent="0.25">
      <c r="B798" s="15" t="s">
        <v>12</v>
      </c>
      <c r="C798" s="9">
        <v>35.1</v>
      </c>
      <c r="D798" s="9">
        <v>35.5</v>
      </c>
      <c r="E798" s="10">
        <v>37</v>
      </c>
      <c r="F798" s="9">
        <f t="shared" si="52"/>
        <v>11.172677005051053</v>
      </c>
      <c r="G798" s="9">
        <f t="shared" si="53"/>
        <v>11.300000959524569</v>
      </c>
      <c r="H798" s="10">
        <f t="shared" si="54"/>
        <v>11.777465788800255</v>
      </c>
      <c r="K798" s="11">
        <f>_xlfn.XLOOKUP(F798,Ref!$B$3:$B$12,Ref!$C$3:$C$12,"",1)</f>
        <v>1</v>
      </c>
      <c r="L798" s="11">
        <f>_xlfn.XLOOKUP(G798,Ref!$B$3:$B$12,Ref!$C$3:$C$12,"",1)</f>
        <v>1</v>
      </c>
      <c r="M798" s="11">
        <f>_xlfn.XLOOKUP(H798,Ref!$B$3:$B$12,Ref!$C$3:$C$12,"",1)</f>
        <v>1</v>
      </c>
    </row>
    <row r="799" spans="2:13" x14ac:dyDescent="0.25">
      <c r="B799" s="15" t="s">
        <v>12</v>
      </c>
      <c r="C799" s="9">
        <v>41.9</v>
      </c>
      <c r="D799" s="9">
        <v>42</v>
      </c>
      <c r="E799" s="10">
        <v>42.6</v>
      </c>
      <c r="F799" s="9">
        <f t="shared" si="52"/>
        <v>13.33718423110083</v>
      </c>
      <c r="G799" s="9">
        <f t="shared" si="53"/>
        <v>13.369015219719209</v>
      </c>
      <c r="H799" s="10">
        <f t="shared" si="54"/>
        <v>13.560001151429484</v>
      </c>
      <c r="K799" s="11">
        <f>_xlfn.XLOOKUP(F799,Ref!$B$3:$B$12,Ref!$C$3:$C$12,"",1)</f>
        <v>1</v>
      </c>
      <c r="L799" s="11">
        <f>_xlfn.XLOOKUP(G799,Ref!$B$3:$B$12,Ref!$C$3:$C$12,"",1)</f>
        <v>1</v>
      </c>
      <c r="M799" s="11">
        <f>_xlfn.XLOOKUP(H799,Ref!$B$3:$B$12,Ref!$C$3:$C$12,"",1)</f>
        <v>1</v>
      </c>
    </row>
    <row r="800" spans="2:13" x14ac:dyDescent="0.25">
      <c r="B800" s="15" t="s">
        <v>48</v>
      </c>
      <c r="C800" s="9">
        <v>33.4</v>
      </c>
      <c r="D800" s="9">
        <v>33</v>
      </c>
      <c r="E800" s="10">
        <v>0</v>
      </c>
      <c r="F800" s="9">
        <f t="shared" si="52"/>
        <v>10.631550198538608</v>
      </c>
      <c r="G800" s="9">
        <f t="shared" si="53"/>
        <v>10.504226244065093</v>
      </c>
      <c r="H800" s="10">
        <f t="shared" si="54"/>
        <v>0</v>
      </c>
      <c r="K800" s="11">
        <f>_xlfn.XLOOKUP(F800,Ref!$B$3:$B$12,Ref!$C$3:$C$12,"",1)</f>
        <v>1</v>
      </c>
      <c r="L800" s="11">
        <f>_xlfn.XLOOKUP(G800,Ref!$B$3:$B$12,Ref!$C$3:$C$12,"",1)</f>
        <v>1</v>
      </c>
      <c r="M800" s="11" t="str">
        <f>_xlfn.XLOOKUP(H800,Ref!$B$3:$B$12,Ref!$C$3:$C$12,"",1)</f>
        <v>Morta</v>
      </c>
    </row>
    <row r="801" spans="2:13" x14ac:dyDescent="0.25">
      <c r="B801" s="15" t="s">
        <v>65</v>
      </c>
      <c r="C801" s="9">
        <v>58.4</v>
      </c>
      <c r="D801" s="9">
        <v>62.5</v>
      </c>
      <c r="E801" s="10">
        <v>64.2</v>
      </c>
      <c r="F801" s="9">
        <f t="shared" si="52"/>
        <v>18.589297353133375</v>
      </c>
      <c r="G801" s="9">
        <f t="shared" si="53"/>
        <v>19.894367886486918</v>
      </c>
      <c r="H801" s="10">
        <f t="shared" si="54"/>
        <v>20.435494692999363</v>
      </c>
      <c r="K801" s="11">
        <f>_xlfn.XLOOKUP(F801,Ref!$B$3:$B$12,Ref!$C$3:$C$12,"",1)</f>
        <v>1</v>
      </c>
      <c r="L801" s="11">
        <f>_xlfn.XLOOKUP(G801,Ref!$B$3:$B$12,Ref!$C$3:$C$12,"",1)</f>
        <v>1</v>
      </c>
      <c r="M801" s="11">
        <f>_xlfn.XLOOKUP(H801,Ref!$B$3:$B$12,Ref!$C$3:$C$12,"",1)</f>
        <v>2</v>
      </c>
    </row>
    <row r="802" spans="2:13" x14ac:dyDescent="0.25">
      <c r="B802" s="15" t="s">
        <v>12</v>
      </c>
      <c r="C802" s="9">
        <v>34.700000000000003</v>
      </c>
      <c r="D802" s="9">
        <v>37.1</v>
      </c>
      <c r="E802" s="10">
        <v>35.799999999999997</v>
      </c>
      <c r="F802" s="9">
        <f t="shared" si="52"/>
        <v>11.045353050577537</v>
      </c>
      <c r="G802" s="9">
        <f t="shared" si="53"/>
        <v>11.809296777418634</v>
      </c>
      <c r="H802" s="10">
        <f t="shared" si="54"/>
        <v>11.395493925379705</v>
      </c>
      <c r="K802" s="11">
        <f>_xlfn.XLOOKUP(F802,Ref!$B$3:$B$12,Ref!$C$3:$C$12,"",1)</f>
        <v>1</v>
      </c>
      <c r="L802" s="11">
        <f>_xlfn.XLOOKUP(G802,Ref!$B$3:$B$12,Ref!$C$3:$C$12,"",1)</f>
        <v>1</v>
      </c>
      <c r="M802" s="11">
        <f>_xlfn.XLOOKUP(H802,Ref!$B$3:$B$12,Ref!$C$3:$C$12,"",1)</f>
        <v>1</v>
      </c>
    </row>
    <row r="803" spans="2:13" x14ac:dyDescent="0.25">
      <c r="B803" s="15" t="s">
        <v>12</v>
      </c>
      <c r="C803" s="9">
        <v>49.4</v>
      </c>
      <c r="D803" s="9">
        <v>51.2</v>
      </c>
      <c r="E803" s="10">
        <v>52.9</v>
      </c>
      <c r="F803" s="9">
        <f t="shared" si="52"/>
        <v>15.724508377479259</v>
      </c>
      <c r="G803" s="9">
        <f t="shared" si="53"/>
        <v>16.297466172610083</v>
      </c>
      <c r="H803" s="10">
        <f t="shared" si="54"/>
        <v>16.838592979122527</v>
      </c>
      <c r="K803" s="11">
        <f>_xlfn.XLOOKUP(F803,Ref!$B$3:$B$12,Ref!$C$3:$C$12,"",1)</f>
        <v>1</v>
      </c>
      <c r="L803" s="11">
        <f>_xlfn.XLOOKUP(G803,Ref!$B$3:$B$12,Ref!$C$3:$C$12,"",1)</f>
        <v>1</v>
      </c>
      <c r="M803" s="11">
        <f>_xlfn.XLOOKUP(H803,Ref!$B$3:$B$12,Ref!$C$3:$C$12,"",1)</f>
        <v>1</v>
      </c>
    </row>
    <row r="804" spans="2:13" x14ac:dyDescent="0.25">
      <c r="B804" s="15" t="s">
        <v>12</v>
      </c>
      <c r="C804" s="9">
        <v>48.1</v>
      </c>
      <c r="D804" s="9">
        <v>49.5</v>
      </c>
      <c r="E804" s="10">
        <v>49.8</v>
      </c>
      <c r="F804" s="9">
        <f t="shared" si="52"/>
        <v>15.310705525440332</v>
      </c>
      <c r="G804" s="9">
        <f t="shared" si="53"/>
        <v>15.756339366097638</v>
      </c>
      <c r="H804" s="10">
        <f t="shared" si="54"/>
        <v>15.851832331952775</v>
      </c>
      <c r="K804" s="11">
        <f>_xlfn.XLOOKUP(F804,Ref!$B$3:$B$12,Ref!$C$3:$C$12,"",1)</f>
        <v>1</v>
      </c>
      <c r="L804" s="11">
        <f>_xlfn.XLOOKUP(G804,Ref!$B$3:$B$12,Ref!$C$3:$C$12,"",1)</f>
        <v>1</v>
      </c>
      <c r="M804" s="11">
        <f>_xlfn.XLOOKUP(H804,Ref!$B$3:$B$12,Ref!$C$3:$C$12,"",1)</f>
        <v>1</v>
      </c>
    </row>
    <row r="805" spans="2:13" x14ac:dyDescent="0.25">
      <c r="B805" s="15" t="s">
        <v>12</v>
      </c>
      <c r="C805" s="9">
        <v>35.299999999999997</v>
      </c>
      <c r="D805" s="9">
        <v>36.799999999999997</v>
      </c>
      <c r="E805" s="10">
        <v>36.799999999999997</v>
      </c>
      <c r="F805" s="9">
        <f t="shared" si="52"/>
        <v>11.23633898228781</v>
      </c>
      <c r="G805" s="9">
        <f t="shared" si="53"/>
        <v>11.713803811563496</v>
      </c>
      <c r="H805" s="10">
        <f t="shared" si="54"/>
        <v>11.713803811563496</v>
      </c>
      <c r="K805" s="11">
        <f>_xlfn.XLOOKUP(F805,Ref!$B$3:$B$12,Ref!$C$3:$C$12,"",1)</f>
        <v>1</v>
      </c>
      <c r="L805" s="11">
        <f>_xlfn.XLOOKUP(G805,Ref!$B$3:$B$12,Ref!$C$3:$C$12,"",1)</f>
        <v>1</v>
      </c>
      <c r="M805" s="11">
        <f>_xlfn.XLOOKUP(H805,Ref!$B$3:$B$12,Ref!$C$3:$C$12,"",1)</f>
        <v>1</v>
      </c>
    </row>
    <row r="806" spans="2:13" x14ac:dyDescent="0.25">
      <c r="B806" s="15" t="s">
        <v>40</v>
      </c>
      <c r="C806" s="9">
        <v>32.9</v>
      </c>
      <c r="D806" s="9">
        <v>34</v>
      </c>
      <c r="E806" s="10">
        <v>34.5</v>
      </c>
      <c r="F806" s="9">
        <f t="shared" si="52"/>
        <v>10.472395255446713</v>
      </c>
      <c r="G806" s="9">
        <f t="shared" si="53"/>
        <v>10.822536130248883</v>
      </c>
      <c r="H806" s="10">
        <f t="shared" si="54"/>
        <v>10.981691073340778</v>
      </c>
      <c r="K806" s="11">
        <f>_xlfn.XLOOKUP(F806,Ref!$B$3:$B$12,Ref!$C$3:$C$12,"",1)</f>
        <v>1</v>
      </c>
      <c r="L806" s="11">
        <f>_xlfn.XLOOKUP(G806,Ref!$B$3:$B$12,Ref!$C$3:$C$12,"",1)</f>
        <v>1</v>
      </c>
      <c r="M806" s="11">
        <f>_xlfn.XLOOKUP(H806,Ref!$B$3:$B$12,Ref!$C$3:$C$12,"",1)</f>
        <v>1</v>
      </c>
    </row>
    <row r="807" spans="2:13" x14ac:dyDescent="0.25">
      <c r="B807" s="15" t="s">
        <v>40</v>
      </c>
      <c r="C807" s="9">
        <v>31.5</v>
      </c>
      <c r="D807" s="9">
        <v>31.7</v>
      </c>
      <c r="E807" s="10">
        <v>31.8</v>
      </c>
      <c r="F807" s="9">
        <f t="shared" si="52"/>
        <v>10.026761414789407</v>
      </c>
      <c r="G807" s="9">
        <f t="shared" si="53"/>
        <v>10.090423392026164</v>
      </c>
      <c r="H807" s="10">
        <f t="shared" si="54"/>
        <v>10.122254380644543</v>
      </c>
      <c r="K807" s="11">
        <f>_xlfn.XLOOKUP(F807,Ref!$B$3:$B$12,Ref!$C$3:$C$12,"",1)</f>
        <v>1</v>
      </c>
      <c r="L807" s="11">
        <f>_xlfn.XLOOKUP(G807,Ref!$B$3:$B$12,Ref!$C$3:$C$12,"",1)</f>
        <v>1</v>
      </c>
      <c r="M807" s="11">
        <f>_xlfn.XLOOKUP(H807,Ref!$B$3:$B$12,Ref!$C$3:$C$12,"",1)</f>
        <v>1</v>
      </c>
    </row>
    <row r="808" spans="2:13" x14ac:dyDescent="0.25">
      <c r="B808" s="15" t="s">
        <v>15</v>
      </c>
      <c r="C808" s="9">
        <v>33.1</v>
      </c>
      <c r="D808" s="9">
        <v>33.1</v>
      </c>
      <c r="E808" s="10">
        <v>0</v>
      </c>
      <c r="F808" s="9">
        <f t="shared" si="52"/>
        <v>10.536057232683472</v>
      </c>
      <c r="G808" s="9">
        <f t="shared" si="53"/>
        <v>10.536057232683472</v>
      </c>
      <c r="H808" s="10">
        <f t="shared" si="54"/>
        <v>0</v>
      </c>
      <c r="K808" s="11">
        <f>_xlfn.XLOOKUP(F808,Ref!$B$3:$B$12,Ref!$C$3:$C$12,"",1)</f>
        <v>1</v>
      </c>
      <c r="L808" s="11">
        <f>_xlfn.XLOOKUP(G808,Ref!$B$3:$B$12,Ref!$C$3:$C$12,"",1)</f>
        <v>1</v>
      </c>
      <c r="M808" s="11" t="str">
        <f>_xlfn.XLOOKUP(H808,Ref!$B$3:$B$12,Ref!$C$3:$C$12,"",1)</f>
        <v>Morta</v>
      </c>
    </row>
    <row r="809" spans="2:13" x14ac:dyDescent="0.25">
      <c r="B809" s="15" t="s">
        <v>32</v>
      </c>
      <c r="C809" s="9">
        <v>58.2</v>
      </c>
      <c r="D809" s="9">
        <v>58.8</v>
      </c>
      <c r="E809" s="10">
        <v>58.8</v>
      </c>
      <c r="F809" s="9">
        <f t="shared" si="52"/>
        <v>18.52563537589662</v>
      </c>
      <c r="G809" s="9">
        <f t="shared" si="53"/>
        <v>18.716621307606893</v>
      </c>
      <c r="H809" s="10">
        <f t="shared" si="54"/>
        <v>18.716621307606893</v>
      </c>
      <c r="K809" s="11">
        <f>_xlfn.XLOOKUP(F809,Ref!$B$3:$B$12,Ref!$C$3:$C$12,"",1)</f>
        <v>1</v>
      </c>
      <c r="L809" s="11">
        <f>_xlfn.XLOOKUP(G809,Ref!$B$3:$B$12,Ref!$C$3:$C$12,"",1)</f>
        <v>1</v>
      </c>
      <c r="M809" s="11">
        <f>_xlfn.XLOOKUP(H809,Ref!$B$3:$B$12,Ref!$C$3:$C$12,"",1)</f>
        <v>1</v>
      </c>
    </row>
    <row r="810" spans="2:13" x14ac:dyDescent="0.25">
      <c r="B810" s="15" t="s">
        <v>44</v>
      </c>
      <c r="C810" s="9">
        <v>43.4</v>
      </c>
      <c r="D810" s="9">
        <v>44.8</v>
      </c>
      <c r="E810" s="10">
        <v>45.6</v>
      </c>
      <c r="F810" s="9">
        <f t="shared" si="52"/>
        <v>13.814649060376516</v>
      </c>
      <c r="G810" s="9">
        <f t="shared" si="53"/>
        <v>14.260282901033822</v>
      </c>
      <c r="H810" s="10">
        <f t="shared" si="54"/>
        <v>14.514930809980855</v>
      </c>
      <c r="K810" s="11">
        <f>_xlfn.XLOOKUP(F810,Ref!$B$3:$B$12,Ref!$C$3:$C$12,"",1)</f>
        <v>1</v>
      </c>
      <c r="L810" s="11">
        <f>_xlfn.XLOOKUP(G810,Ref!$B$3:$B$12,Ref!$C$3:$C$12,"",1)</f>
        <v>1</v>
      </c>
      <c r="M810" s="11">
        <f>_xlfn.XLOOKUP(H810,Ref!$B$3:$B$12,Ref!$C$3:$C$12,"",1)</f>
        <v>1</v>
      </c>
    </row>
    <row r="811" spans="2:13" x14ac:dyDescent="0.25">
      <c r="B811" s="15" t="s">
        <v>12</v>
      </c>
      <c r="C811" s="9">
        <v>65.3</v>
      </c>
      <c r="D811" s="9">
        <v>70.3</v>
      </c>
      <c r="E811" s="10">
        <v>73.2</v>
      </c>
      <c r="F811" s="9">
        <f t="shared" si="52"/>
        <v>20.785635567801531</v>
      </c>
      <c r="G811" s="9">
        <f t="shared" si="53"/>
        <v>22.377184998720484</v>
      </c>
      <c r="H811" s="10">
        <f t="shared" si="54"/>
        <v>23.300283668653478</v>
      </c>
      <c r="K811" s="11">
        <f>_xlfn.XLOOKUP(F811,Ref!$B$3:$B$12,Ref!$C$3:$C$12,"",1)</f>
        <v>2</v>
      </c>
      <c r="L811" s="11">
        <f>_xlfn.XLOOKUP(G811,Ref!$B$3:$B$12,Ref!$C$3:$C$12,"",1)</f>
        <v>2</v>
      </c>
      <c r="M811" s="11">
        <f>_xlfn.XLOOKUP(H811,Ref!$B$3:$B$12,Ref!$C$3:$C$12,"",1)</f>
        <v>2</v>
      </c>
    </row>
    <row r="812" spans="2:13" x14ac:dyDescent="0.25">
      <c r="B812" s="15" t="s">
        <v>51</v>
      </c>
      <c r="C812" s="9">
        <v>32.200000000000003</v>
      </c>
      <c r="D812" s="9">
        <v>32.4</v>
      </c>
      <c r="E812" s="10">
        <v>32.4</v>
      </c>
      <c r="F812" s="9">
        <f t="shared" si="52"/>
        <v>10.249578335118061</v>
      </c>
      <c r="G812" s="9">
        <f t="shared" si="53"/>
        <v>10.313240312354818</v>
      </c>
      <c r="H812" s="10">
        <f t="shared" si="54"/>
        <v>10.313240312354818</v>
      </c>
      <c r="K812" s="11">
        <f>_xlfn.XLOOKUP(F812,Ref!$B$3:$B$12,Ref!$C$3:$C$12,"",1)</f>
        <v>1</v>
      </c>
      <c r="L812" s="11">
        <f>_xlfn.XLOOKUP(G812,Ref!$B$3:$B$12,Ref!$C$3:$C$12,"",1)</f>
        <v>1</v>
      </c>
      <c r="M812" s="11">
        <f>_xlfn.XLOOKUP(H812,Ref!$B$3:$B$12,Ref!$C$3:$C$12,"",1)</f>
        <v>1</v>
      </c>
    </row>
    <row r="813" spans="2:13" x14ac:dyDescent="0.25">
      <c r="B813" s="15" t="s">
        <v>36</v>
      </c>
      <c r="C813" s="9">
        <v>37.799999999999997</v>
      </c>
      <c r="D813" s="9">
        <v>42.3</v>
      </c>
      <c r="E813" s="10">
        <v>44.9</v>
      </c>
      <c r="F813" s="9">
        <f t="shared" si="52"/>
        <v>12.032113697747286</v>
      </c>
      <c r="G813" s="9">
        <f t="shared" si="53"/>
        <v>13.464508185574346</v>
      </c>
      <c r="H813" s="10">
        <f t="shared" si="54"/>
        <v>14.292113889652201</v>
      </c>
      <c r="K813" s="11">
        <f>_xlfn.XLOOKUP(F813,Ref!$B$3:$B$12,Ref!$C$3:$C$12,"",1)</f>
        <v>1</v>
      </c>
      <c r="L813" s="11">
        <f>_xlfn.XLOOKUP(G813,Ref!$B$3:$B$12,Ref!$C$3:$C$12,"",1)</f>
        <v>1</v>
      </c>
      <c r="M813" s="11">
        <f>_xlfn.XLOOKUP(H813,Ref!$B$3:$B$12,Ref!$C$3:$C$12,"",1)</f>
        <v>1</v>
      </c>
    </row>
    <row r="814" spans="2:13" x14ac:dyDescent="0.25">
      <c r="B814" s="15" t="s">
        <v>10</v>
      </c>
      <c r="C814" s="9">
        <v>47.4</v>
      </c>
      <c r="D814" s="9">
        <v>54.3</v>
      </c>
      <c r="E814" s="10">
        <v>58.4</v>
      </c>
      <c r="F814" s="9">
        <f t="shared" si="52"/>
        <v>15.087888605111678</v>
      </c>
      <c r="G814" s="9">
        <f t="shared" si="53"/>
        <v>17.284226819779832</v>
      </c>
      <c r="H814" s="10">
        <f t="shared" si="54"/>
        <v>18.589297353133375</v>
      </c>
      <c r="K814" s="11">
        <f>_xlfn.XLOOKUP(F814,Ref!$B$3:$B$12,Ref!$C$3:$C$12,"",1)</f>
        <v>1</v>
      </c>
      <c r="L814" s="11">
        <f>_xlfn.XLOOKUP(G814,Ref!$B$3:$B$12,Ref!$C$3:$C$12,"",1)</f>
        <v>1</v>
      </c>
      <c r="M814" s="11">
        <f>_xlfn.XLOOKUP(H814,Ref!$B$3:$B$12,Ref!$C$3:$C$12,"",1)</f>
        <v>1</v>
      </c>
    </row>
    <row r="815" spans="2:13" x14ac:dyDescent="0.25">
      <c r="B815" s="15" t="s">
        <v>8</v>
      </c>
      <c r="C815" s="9">
        <v>174</v>
      </c>
      <c r="D815" s="9">
        <v>175</v>
      </c>
      <c r="E815" s="10">
        <v>175</v>
      </c>
      <c r="F815" s="9">
        <f t="shared" si="52"/>
        <v>55.38592019597958</v>
      </c>
      <c r="G815" s="9">
        <f t="shared" si="53"/>
        <v>55.70423008216337</v>
      </c>
      <c r="H815" s="10">
        <f t="shared" si="54"/>
        <v>55.70423008216337</v>
      </c>
      <c r="K815" s="11">
        <f>_xlfn.XLOOKUP(F815,Ref!$B$3:$B$12,Ref!$C$3:$C$12,"",1)</f>
        <v>5</v>
      </c>
      <c r="L815" s="11">
        <f>_xlfn.XLOOKUP(G815,Ref!$B$3:$B$12,Ref!$C$3:$C$12,"",1)</f>
        <v>5</v>
      </c>
      <c r="M815" s="11">
        <f>_xlfn.XLOOKUP(H815,Ref!$B$3:$B$12,Ref!$C$3:$C$12,"",1)</f>
        <v>5</v>
      </c>
    </row>
    <row r="816" spans="2:13" x14ac:dyDescent="0.25">
      <c r="B816" s="15" t="s">
        <v>8</v>
      </c>
      <c r="C816" s="9">
        <v>53.2</v>
      </c>
      <c r="D816" s="9">
        <v>54.9</v>
      </c>
      <c r="E816" s="10">
        <v>56</v>
      </c>
      <c r="F816" s="9">
        <f t="shared" si="52"/>
        <v>16.934085944977664</v>
      </c>
      <c r="G816" s="9">
        <f t="shared" si="53"/>
        <v>17.475212751490108</v>
      </c>
      <c r="H816" s="10">
        <f t="shared" si="54"/>
        <v>17.82535362629228</v>
      </c>
      <c r="K816" s="11">
        <f>_xlfn.XLOOKUP(F816,Ref!$B$3:$B$12,Ref!$C$3:$C$12,"",1)</f>
        <v>1</v>
      </c>
      <c r="L816" s="11">
        <f>_xlfn.XLOOKUP(G816,Ref!$B$3:$B$12,Ref!$C$3:$C$12,"",1)</f>
        <v>1</v>
      </c>
      <c r="M816" s="11">
        <f>_xlfn.XLOOKUP(H816,Ref!$B$3:$B$12,Ref!$C$3:$C$12,"",1)</f>
        <v>1</v>
      </c>
    </row>
    <row r="817" spans="2:13" x14ac:dyDescent="0.25">
      <c r="B817" s="15" t="s">
        <v>12</v>
      </c>
      <c r="C817" s="9">
        <v>31.8</v>
      </c>
      <c r="D817" s="9">
        <v>31.8</v>
      </c>
      <c r="E817" s="10">
        <v>33.5</v>
      </c>
      <c r="F817" s="9">
        <f t="shared" si="52"/>
        <v>10.122254380644543</v>
      </c>
      <c r="G817" s="9">
        <f t="shared" si="53"/>
        <v>10.122254380644543</v>
      </c>
      <c r="H817" s="10">
        <f t="shared" si="54"/>
        <v>10.663381187156988</v>
      </c>
      <c r="K817" s="11">
        <f>_xlfn.XLOOKUP(F817,Ref!$B$3:$B$12,Ref!$C$3:$C$12,"",1)</f>
        <v>1</v>
      </c>
      <c r="L817" s="11">
        <f>_xlfn.XLOOKUP(G817,Ref!$B$3:$B$12,Ref!$C$3:$C$12,"",1)</f>
        <v>1</v>
      </c>
      <c r="M817" s="11">
        <f>_xlfn.XLOOKUP(H817,Ref!$B$3:$B$12,Ref!$C$3:$C$12,"",1)</f>
        <v>1</v>
      </c>
    </row>
    <row r="818" spans="2:13" x14ac:dyDescent="0.25">
      <c r="B818" s="15" t="s">
        <v>41</v>
      </c>
      <c r="C818" s="9">
        <v>36.799999999999997</v>
      </c>
      <c r="D818" s="9">
        <v>37.9</v>
      </c>
      <c r="E818" s="10">
        <v>37.9</v>
      </c>
      <c r="F818" s="9">
        <f t="shared" si="52"/>
        <v>11.713803811563496</v>
      </c>
      <c r="G818" s="9">
        <f t="shared" si="53"/>
        <v>12.063944686365666</v>
      </c>
      <c r="H818" s="10">
        <f t="shared" si="54"/>
        <v>12.063944686365666</v>
      </c>
      <c r="K818" s="11">
        <f>_xlfn.XLOOKUP(F818,Ref!$B$3:$B$12,Ref!$C$3:$C$12,"",1)</f>
        <v>1</v>
      </c>
      <c r="L818" s="11">
        <f>_xlfn.XLOOKUP(G818,Ref!$B$3:$B$12,Ref!$C$3:$C$12,"",1)</f>
        <v>1</v>
      </c>
      <c r="M818" s="11">
        <f>_xlfn.XLOOKUP(H818,Ref!$B$3:$B$12,Ref!$C$3:$C$12,"",1)</f>
        <v>1</v>
      </c>
    </row>
    <row r="819" spans="2:13" x14ac:dyDescent="0.25">
      <c r="B819" s="15" t="s">
        <v>12</v>
      </c>
      <c r="C819" s="9">
        <v>36.799999999999997</v>
      </c>
      <c r="D819" s="9">
        <v>37.299999999999997</v>
      </c>
      <c r="E819" s="10">
        <v>37.700000000000003</v>
      </c>
      <c r="F819" s="9">
        <f t="shared" si="52"/>
        <v>11.713803811563496</v>
      </c>
      <c r="G819" s="9">
        <f t="shared" si="53"/>
        <v>11.872958754655391</v>
      </c>
      <c r="H819" s="10">
        <f t="shared" si="54"/>
        <v>12.000282709128909</v>
      </c>
      <c r="K819" s="11">
        <f>_xlfn.XLOOKUP(F819,Ref!$B$3:$B$12,Ref!$C$3:$C$12,"",1)</f>
        <v>1</v>
      </c>
      <c r="L819" s="11">
        <f>_xlfn.XLOOKUP(G819,Ref!$B$3:$B$12,Ref!$C$3:$C$12,"",1)</f>
        <v>1</v>
      </c>
      <c r="M819" s="11">
        <f>_xlfn.XLOOKUP(H819,Ref!$B$3:$B$12,Ref!$C$3:$C$12,"",1)</f>
        <v>1</v>
      </c>
    </row>
    <row r="820" spans="2:13" x14ac:dyDescent="0.25">
      <c r="B820" s="15" t="s">
        <v>12</v>
      </c>
      <c r="C820" s="9">
        <v>43.7</v>
      </c>
      <c r="D820" s="9">
        <v>46.2</v>
      </c>
      <c r="E820" s="10">
        <v>49.6</v>
      </c>
      <c r="F820" s="9">
        <f t="shared" si="52"/>
        <v>13.910142026231654</v>
      </c>
      <c r="G820" s="9">
        <f t="shared" si="53"/>
        <v>14.70591674169113</v>
      </c>
      <c r="H820" s="10">
        <f t="shared" si="54"/>
        <v>15.788170354716019</v>
      </c>
      <c r="K820" s="11">
        <f>_xlfn.XLOOKUP(F820,Ref!$B$3:$B$12,Ref!$C$3:$C$12,"",1)</f>
        <v>1</v>
      </c>
      <c r="L820" s="11">
        <f>_xlfn.XLOOKUP(G820,Ref!$B$3:$B$12,Ref!$C$3:$C$12,"",1)</f>
        <v>1</v>
      </c>
      <c r="M820" s="11">
        <f>_xlfn.XLOOKUP(H820,Ref!$B$3:$B$12,Ref!$C$3:$C$12,"",1)</f>
        <v>1</v>
      </c>
    </row>
    <row r="821" spans="2:13" x14ac:dyDescent="0.25">
      <c r="B821" s="15" t="s">
        <v>40</v>
      </c>
      <c r="C821" s="9"/>
      <c r="D821" s="9">
        <v>32.1</v>
      </c>
      <c r="E821" s="10">
        <v>32.5</v>
      </c>
      <c r="F821" s="9" t="str">
        <f t="shared" si="52"/>
        <v/>
      </c>
      <c r="G821" s="9">
        <f t="shared" si="53"/>
        <v>10.217747346499682</v>
      </c>
      <c r="H821" s="10">
        <f t="shared" si="54"/>
        <v>10.345071300973197</v>
      </c>
      <c r="K821" s="11" t="str">
        <f>_xlfn.XLOOKUP(F821,Ref!$B$3:$B$12,Ref!$C$3:$C$12,"",1)</f>
        <v/>
      </c>
      <c r="L821" s="11">
        <f>_xlfn.XLOOKUP(G821,Ref!$B$3:$B$12,Ref!$C$3:$C$12,"",1)</f>
        <v>1</v>
      </c>
      <c r="M821" s="11">
        <f>_xlfn.XLOOKUP(H821,Ref!$B$3:$B$12,Ref!$C$3:$C$12,"",1)</f>
        <v>1</v>
      </c>
    </row>
    <row r="822" spans="2:13" x14ac:dyDescent="0.25">
      <c r="B822" s="15" t="s">
        <v>12</v>
      </c>
      <c r="C822" s="9">
        <v>32.5</v>
      </c>
      <c r="D822" s="9">
        <v>34.799999999999997</v>
      </c>
      <c r="E822" s="10">
        <v>35.799999999999997</v>
      </c>
      <c r="F822" s="9">
        <f t="shared" si="52"/>
        <v>10.345071300973197</v>
      </c>
      <c r="G822" s="9">
        <f t="shared" si="53"/>
        <v>11.077184039195915</v>
      </c>
      <c r="H822" s="10">
        <f t="shared" si="54"/>
        <v>11.395493925379705</v>
      </c>
      <c r="K822" s="11">
        <f>_xlfn.XLOOKUP(F822,Ref!$B$3:$B$12,Ref!$C$3:$C$12,"",1)</f>
        <v>1</v>
      </c>
      <c r="L822" s="11">
        <f>_xlfn.XLOOKUP(G822,Ref!$B$3:$B$12,Ref!$C$3:$C$12,"",1)</f>
        <v>1</v>
      </c>
      <c r="M822" s="11">
        <f>_xlfn.XLOOKUP(H822,Ref!$B$3:$B$12,Ref!$C$3:$C$12,"",1)</f>
        <v>1</v>
      </c>
    </row>
    <row r="823" spans="2:13" x14ac:dyDescent="0.25">
      <c r="B823" s="15" t="s">
        <v>73</v>
      </c>
      <c r="C823" s="9">
        <v>46.4</v>
      </c>
      <c r="D823" s="9">
        <v>49</v>
      </c>
      <c r="E823" s="10">
        <v>52.5</v>
      </c>
      <c r="F823" s="9">
        <f t="shared" si="52"/>
        <v>14.769578718927887</v>
      </c>
      <c r="G823" s="9">
        <f t="shared" si="53"/>
        <v>15.597184423005743</v>
      </c>
      <c r="H823" s="10">
        <f t="shared" si="54"/>
        <v>16.71126902464901</v>
      </c>
      <c r="K823" s="11">
        <f>_xlfn.XLOOKUP(F823,Ref!$B$3:$B$12,Ref!$C$3:$C$12,"",1)</f>
        <v>1</v>
      </c>
      <c r="L823" s="11">
        <f>_xlfn.XLOOKUP(G823,Ref!$B$3:$B$12,Ref!$C$3:$C$12,"",1)</f>
        <v>1</v>
      </c>
      <c r="M823" s="11">
        <f>_xlfn.XLOOKUP(H823,Ref!$B$3:$B$12,Ref!$C$3:$C$12,"",1)</f>
        <v>1</v>
      </c>
    </row>
    <row r="824" spans="2:13" x14ac:dyDescent="0.25">
      <c r="B824" s="15" t="s">
        <v>7</v>
      </c>
      <c r="C824" s="9">
        <v>86.6</v>
      </c>
      <c r="D824" s="9">
        <v>91</v>
      </c>
      <c r="E824" s="10">
        <v>97</v>
      </c>
      <c r="F824" s="9">
        <f t="shared" si="52"/>
        <v>27.565636143516272</v>
      </c>
      <c r="G824" s="9">
        <f t="shared" si="53"/>
        <v>28.966199642724952</v>
      </c>
      <c r="H824" s="10">
        <f t="shared" si="54"/>
        <v>30.876058959827695</v>
      </c>
      <c r="K824" s="11">
        <f>_xlfn.XLOOKUP(F824,Ref!$B$3:$B$12,Ref!$C$3:$C$12,"",1)</f>
        <v>2</v>
      </c>
      <c r="L824" s="11">
        <f>_xlfn.XLOOKUP(G824,Ref!$B$3:$B$12,Ref!$C$3:$C$12,"",1)</f>
        <v>2</v>
      </c>
      <c r="M824" s="11">
        <f>_xlfn.XLOOKUP(H824,Ref!$B$3:$B$12,Ref!$C$3:$C$12,"",1)</f>
        <v>3</v>
      </c>
    </row>
    <row r="825" spans="2:13" x14ac:dyDescent="0.25">
      <c r="B825" s="15" t="s">
        <v>8</v>
      </c>
      <c r="C825" s="9">
        <v>39.200000000000003</v>
      </c>
      <c r="D825" s="9">
        <v>47.7</v>
      </c>
      <c r="E825" s="10">
        <v>50.1</v>
      </c>
      <c r="F825" s="9">
        <f t="shared" si="52"/>
        <v>12.477747538404596</v>
      </c>
      <c r="G825" s="9">
        <f t="shared" si="53"/>
        <v>15.183381570966816</v>
      </c>
      <c r="H825" s="10">
        <f t="shared" si="54"/>
        <v>15.947325297807915</v>
      </c>
      <c r="K825" s="11">
        <f>_xlfn.XLOOKUP(F825,Ref!$B$3:$B$12,Ref!$C$3:$C$12,"",1)</f>
        <v>1</v>
      </c>
      <c r="L825" s="11">
        <f>_xlfn.XLOOKUP(G825,Ref!$B$3:$B$12,Ref!$C$3:$C$12,"",1)</f>
        <v>1</v>
      </c>
      <c r="M825" s="11">
        <f>_xlfn.XLOOKUP(H825,Ref!$B$3:$B$12,Ref!$C$3:$C$12,"",1)</f>
        <v>1</v>
      </c>
    </row>
    <row r="826" spans="2:13" x14ac:dyDescent="0.25">
      <c r="B826" s="15" t="s">
        <v>12</v>
      </c>
      <c r="C826" s="9">
        <v>46.3</v>
      </c>
      <c r="D826" s="9">
        <v>42</v>
      </c>
      <c r="E826" s="10">
        <v>42.7</v>
      </c>
      <c r="F826" s="9">
        <f t="shared" si="52"/>
        <v>14.737747730309508</v>
      </c>
      <c r="G826" s="9">
        <f t="shared" si="53"/>
        <v>13.369015219719209</v>
      </c>
      <c r="H826" s="10">
        <f t="shared" si="54"/>
        <v>13.591832140047863</v>
      </c>
      <c r="K826" s="11">
        <f>_xlfn.XLOOKUP(F826,Ref!$B$3:$B$12,Ref!$C$3:$C$12,"",1)</f>
        <v>1</v>
      </c>
      <c r="L826" s="11">
        <f>_xlfn.XLOOKUP(G826,Ref!$B$3:$B$12,Ref!$C$3:$C$12,"",1)</f>
        <v>1</v>
      </c>
      <c r="M826" s="11">
        <f>_xlfn.XLOOKUP(H826,Ref!$B$3:$B$12,Ref!$C$3:$C$12,"",1)</f>
        <v>1</v>
      </c>
    </row>
    <row r="827" spans="2:13" x14ac:dyDescent="0.25">
      <c r="B827" s="15" t="s">
        <v>12</v>
      </c>
      <c r="C827" s="9">
        <v>33.4</v>
      </c>
      <c r="D827" s="9">
        <v>34.4</v>
      </c>
      <c r="E827" s="10">
        <v>35.4</v>
      </c>
      <c r="F827" s="9">
        <f t="shared" si="52"/>
        <v>10.631550198538608</v>
      </c>
      <c r="G827" s="9">
        <f t="shared" si="53"/>
        <v>10.949860084722399</v>
      </c>
      <c r="H827" s="10">
        <f t="shared" si="54"/>
        <v>11.26816997090619</v>
      </c>
      <c r="K827" s="11">
        <f>_xlfn.XLOOKUP(F827,Ref!$B$3:$B$12,Ref!$C$3:$C$12,"",1)</f>
        <v>1</v>
      </c>
      <c r="L827" s="11">
        <f>_xlfn.XLOOKUP(G827,Ref!$B$3:$B$12,Ref!$C$3:$C$12,"",1)</f>
        <v>1</v>
      </c>
      <c r="M827" s="11">
        <f>_xlfn.XLOOKUP(H827,Ref!$B$3:$B$12,Ref!$C$3:$C$12,"",1)</f>
        <v>1</v>
      </c>
    </row>
    <row r="828" spans="2:13" x14ac:dyDescent="0.25">
      <c r="B828" s="15" t="s">
        <v>12</v>
      </c>
      <c r="C828" s="9">
        <v>42.3</v>
      </c>
      <c r="D828" s="9">
        <v>45.2</v>
      </c>
      <c r="E828" s="10">
        <v>47.2</v>
      </c>
      <c r="F828" s="9">
        <f t="shared" si="52"/>
        <v>13.464508185574346</v>
      </c>
      <c r="G828" s="9">
        <f t="shared" si="53"/>
        <v>14.38760685550734</v>
      </c>
      <c r="H828" s="10">
        <f t="shared" si="54"/>
        <v>15.024226627874921</v>
      </c>
      <c r="K828" s="11">
        <f>_xlfn.XLOOKUP(F828,Ref!$B$3:$B$12,Ref!$C$3:$C$12,"",1)</f>
        <v>1</v>
      </c>
      <c r="L828" s="11">
        <f>_xlfn.XLOOKUP(G828,Ref!$B$3:$B$12,Ref!$C$3:$C$12,"",1)</f>
        <v>1</v>
      </c>
      <c r="M828" s="11">
        <f>_xlfn.XLOOKUP(H828,Ref!$B$3:$B$12,Ref!$C$3:$C$12,"",1)</f>
        <v>1</v>
      </c>
    </row>
    <row r="829" spans="2:13" x14ac:dyDescent="0.25">
      <c r="B829" s="15" t="s">
        <v>12</v>
      </c>
      <c r="C829" s="9">
        <v>46.7</v>
      </c>
      <c r="D829" s="9">
        <v>0</v>
      </c>
      <c r="E829" s="10">
        <v>0</v>
      </c>
      <c r="F829" s="9">
        <f t="shared" si="52"/>
        <v>14.865071684783025</v>
      </c>
      <c r="G829" s="9">
        <f t="shared" si="53"/>
        <v>0</v>
      </c>
      <c r="H829" s="10">
        <f t="shared" si="54"/>
        <v>0</v>
      </c>
      <c r="K829" s="11">
        <f>_xlfn.XLOOKUP(F829,Ref!$B$3:$B$12,Ref!$C$3:$C$12,"",1)</f>
        <v>1</v>
      </c>
      <c r="L829" s="11" t="str">
        <f>_xlfn.XLOOKUP(G829,Ref!$B$3:$B$12,Ref!$C$3:$C$12,"",1)</f>
        <v>Morta</v>
      </c>
      <c r="M829" s="11" t="str">
        <f>_xlfn.XLOOKUP(H829,Ref!$B$3:$B$12,Ref!$C$3:$C$12,"",1)</f>
        <v>Morta</v>
      </c>
    </row>
    <row r="830" spans="2:13" x14ac:dyDescent="0.25">
      <c r="B830" s="15" t="s">
        <v>12</v>
      </c>
      <c r="C830" s="9">
        <v>36.799999999999997</v>
      </c>
      <c r="D830" s="9">
        <v>0</v>
      </c>
      <c r="E830" s="10">
        <v>0</v>
      </c>
      <c r="F830" s="9">
        <f t="shared" si="52"/>
        <v>11.713803811563496</v>
      </c>
      <c r="G830" s="9">
        <f t="shared" si="53"/>
        <v>0</v>
      </c>
      <c r="H830" s="10">
        <f t="shared" si="54"/>
        <v>0</v>
      </c>
      <c r="K830" s="11">
        <f>_xlfn.XLOOKUP(F830,Ref!$B$3:$B$12,Ref!$C$3:$C$12,"",1)</f>
        <v>1</v>
      </c>
      <c r="L830" s="11" t="str">
        <f>_xlfn.XLOOKUP(G830,Ref!$B$3:$B$12,Ref!$C$3:$C$12,"",1)</f>
        <v>Morta</v>
      </c>
      <c r="M830" s="11" t="str">
        <f>_xlfn.XLOOKUP(H830,Ref!$B$3:$B$12,Ref!$C$3:$C$12,"",1)</f>
        <v>Morta</v>
      </c>
    </row>
    <row r="831" spans="2:13" x14ac:dyDescent="0.25">
      <c r="B831" s="15" t="s">
        <v>65</v>
      </c>
      <c r="C831" s="9">
        <v>69.3</v>
      </c>
      <c r="D831" s="9">
        <v>73.099999999999994</v>
      </c>
      <c r="E831" s="10">
        <v>75.3</v>
      </c>
      <c r="F831" s="9">
        <f t="shared" si="52"/>
        <v>22.058875112536693</v>
      </c>
      <c r="G831" s="9">
        <f t="shared" si="53"/>
        <v>23.268452680035097</v>
      </c>
      <c r="H831" s="10">
        <f t="shared" si="54"/>
        <v>23.968734429639436</v>
      </c>
      <c r="K831" s="11">
        <f>_xlfn.XLOOKUP(F831,Ref!$B$3:$B$12,Ref!$C$3:$C$12,"",1)</f>
        <v>2</v>
      </c>
      <c r="L831" s="11">
        <f>_xlfn.XLOOKUP(G831,Ref!$B$3:$B$12,Ref!$C$3:$C$12,"",1)</f>
        <v>2</v>
      </c>
      <c r="M831" s="11">
        <f>_xlfn.XLOOKUP(H831,Ref!$B$3:$B$12,Ref!$C$3:$C$12,"",1)</f>
        <v>2</v>
      </c>
    </row>
    <row r="832" spans="2:13" x14ac:dyDescent="0.25">
      <c r="B832" s="15" t="s">
        <v>74</v>
      </c>
      <c r="C832" s="9">
        <v>34.299999999999997</v>
      </c>
      <c r="D832" s="9">
        <v>38</v>
      </c>
      <c r="E832" s="10">
        <v>41.6</v>
      </c>
      <c r="F832" s="9">
        <f t="shared" si="52"/>
        <v>10.91802909610402</v>
      </c>
      <c r="G832" s="9">
        <f t="shared" si="53"/>
        <v>12.095775674984045</v>
      </c>
      <c r="H832" s="10">
        <f t="shared" si="54"/>
        <v>13.241691265245693</v>
      </c>
      <c r="K832" s="11">
        <f>_xlfn.XLOOKUP(F832,Ref!$B$3:$B$12,Ref!$C$3:$C$12,"",1)</f>
        <v>1</v>
      </c>
      <c r="L832" s="11">
        <f>_xlfn.XLOOKUP(G832,Ref!$B$3:$B$12,Ref!$C$3:$C$12,"",1)</f>
        <v>1</v>
      </c>
      <c r="M832" s="11">
        <f>_xlfn.XLOOKUP(H832,Ref!$B$3:$B$12,Ref!$C$3:$C$12,"",1)</f>
        <v>1</v>
      </c>
    </row>
    <row r="833" spans="2:13" x14ac:dyDescent="0.25">
      <c r="B833" s="15" t="s">
        <v>12</v>
      </c>
      <c r="C833" s="9">
        <v>41.9</v>
      </c>
      <c r="D833" s="9">
        <v>42</v>
      </c>
      <c r="E833" s="10">
        <v>45</v>
      </c>
      <c r="F833" s="9">
        <f t="shared" si="52"/>
        <v>13.33718423110083</v>
      </c>
      <c r="G833" s="9">
        <f t="shared" si="53"/>
        <v>13.369015219719209</v>
      </c>
      <c r="H833" s="10">
        <f t="shared" si="54"/>
        <v>14.323944878270581</v>
      </c>
      <c r="K833" s="11">
        <f>_xlfn.XLOOKUP(F833,Ref!$B$3:$B$12,Ref!$C$3:$C$12,"",1)</f>
        <v>1</v>
      </c>
      <c r="L833" s="11">
        <f>_xlfn.XLOOKUP(G833,Ref!$B$3:$B$12,Ref!$C$3:$C$12,"",1)</f>
        <v>1</v>
      </c>
      <c r="M833" s="11">
        <f>_xlfn.XLOOKUP(H833,Ref!$B$3:$B$12,Ref!$C$3:$C$12,"",1)</f>
        <v>1</v>
      </c>
    </row>
    <row r="834" spans="2:13" x14ac:dyDescent="0.25">
      <c r="B834" s="15" t="s">
        <v>25</v>
      </c>
      <c r="C834" s="9">
        <v>43.8</v>
      </c>
      <c r="D834" s="9">
        <v>45.7</v>
      </c>
      <c r="E834" s="10">
        <v>45.7</v>
      </c>
      <c r="F834" s="9">
        <f t="shared" si="52"/>
        <v>13.941973014850031</v>
      </c>
      <c r="G834" s="9">
        <f t="shared" si="53"/>
        <v>14.546761798599235</v>
      </c>
      <c r="H834" s="10">
        <f t="shared" si="54"/>
        <v>14.546761798599235</v>
      </c>
      <c r="K834" s="11">
        <f>_xlfn.XLOOKUP(F834,Ref!$B$3:$B$12,Ref!$C$3:$C$12,"",1)</f>
        <v>1</v>
      </c>
      <c r="L834" s="11">
        <f>_xlfn.XLOOKUP(G834,Ref!$B$3:$B$12,Ref!$C$3:$C$12,"",1)</f>
        <v>1</v>
      </c>
      <c r="M834" s="11">
        <f>_xlfn.XLOOKUP(H834,Ref!$B$3:$B$12,Ref!$C$3:$C$12,"",1)</f>
        <v>1</v>
      </c>
    </row>
    <row r="835" spans="2:13" x14ac:dyDescent="0.25">
      <c r="B835" s="15" t="s">
        <v>65</v>
      </c>
      <c r="C835" s="9">
        <v>104.4</v>
      </c>
      <c r="D835" s="9">
        <v>115.8</v>
      </c>
      <c r="E835" s="10">
        <v>124.4</v>
      </c>
      <c r="F835" s="9">
        <f t="shared" si="52"/>
        <v>33.231552117587746</v>
      </c>
      <c r="G835" s="9">
        <f t="shared" si="53"/>
        <v>36.86028482008296</v>
      </c>
      <c r="H835" s="10">
        <f t="shared" si="54"/>
        <v>39.597749841263564</v>
      </c>
      <c r="K835" s="11">
        <f>_xlfn.XLOOKUP(F835,Ref!$B$3:$B$12,Ref!$C$3:$C$12,"",1)</f>
        <v>3</v>
      </c>
      <c r="L835" s="11">
        <f>_xlfn.XLOOKUP(G835,Ref!$B$3:$B$12,Ref!$C$3:$C$12,"",1)</f>
        <v>3</v>
      </c>
      <c r="M835" s="11">
        <f>_xlfn.XLOOKUP(H835,Ref!$B$3:$B$12,Ref!$C$3:$C$12,"",1)</f>
        <v>3</v>
      </c>
    </row>
    <row r="836" spans="2:13" x14ac:dyDescent="0.25">
      <c r="B836" s="15" t="s">
        <v>44</v>
      </c>
      <c r="C836" s="9">
        <v>32.200000000000003</v>
      </c>
      <c r="D836" s="9">
        <v>35.4</v>
      </c>
      <c r="E836" s="10">
        <v>36.9</v>
      </c>
      <c r="F836" s="9">
        <f t="shared" si="52"/>
        <v>10.249578335118061</v>
      </c>
      <c r="G836" s="9">
        <f t="shared" si="53"/>
        <v>11.26816997090619</v>
      </c>
      <c r="H836" s="10">
        <f t="shared" si="54"/>
        <v>11.745634800181875</v>
      </c>
      <c r="K836" s="11">
        <f>_xlfn.XLOOKUP(F836,Ref!$B$3:$B$12,Ref!$C$3:$C$12,"",1)</f>
        <v>1</v>
      </c>
      <c r="L836" s="11">
        <f>_xlfn.XLOOKUP(G836,Ref!$B$3:$B$12,Ref!$C$3:$C$12,"",1)</f>
        <v>1</v>
      </c>
      <c r="M836" s="11">
        <f>_xlfn.XLOOKUP(H836,Ref!$B$3:$B$12,Ref!$C$3:$C$12,"",1)</f>
        <v>1</v>
      </c>
    </row>
    <row r="837" spans="2:13" x14ac:dyDescent="0.25">
      <c r="B837" s="15" t="s">
        <v>12</v>
      </c>
      <c r="C837" s="9">
        <v>34.200000000000003</v>
      </c>
      <c r="D837" s="9">
        <v>35.9</v>
      </c>
      <c r="E837" s="10">
        <v>38.1</v>
      </c>
      <c r="F837" s="9">
        <f t="shared" si="52"/>
        <v>10.886198107485642</v>
      </c>
      <c r="G837" s="9">
        <f t="shared" si="53"/>
        <v>11.427324913998085</v>
      </c>
      <c r="H837" s="10">
        <f t="shared" si="54"/>
        <v>12.127606663602425</v>
      </c>
      <c r="K837" s="11">
        <f>_xlfn.XLOOKUP(F837,Ref!$B$3:$B$12,Ref!$C$3:$C$12,"",1)</f>
        <v>1</v>
      </c>
      <c r="L837" s="11">
        <f>_xlfn.XLOOKUP(G837,Ref!$B$3:$B$12,Ref!$C$3:$C$12,"",1)</f>
        <v>1</v>
      </c>
      <c r="M837" s="11">
        <f>_xlfn.XLOOKUP(H837,Ref!$B$3:$B$12,Ref!$C$3:$C$12,"",1)</f>
        <v>1</v>
      </c>
    </row>
    <row r="838" spans="2:13" x14ac:dyDescent="0.25">
      <c r="B838" s="15" t="s">
        <v>12</v>
      </c>
      <c r="C838" s="9">
        <v>33.700000000000003</v>
      </c>
      <c r="D838" s="9">
        <v>35.4</v>
      </c>
      <c r="E838" s="10">
        <v>37</v>
      </c>
      <c r="F838" s="9">
        <f t="shared" si="52"/>
        <v>10.727043164393747</v>
      </c>
      <c r="G838" s="9">
        <f t="shared" si="53"/>
        <v>11.26816997090619</v>
      </c>
      <c r="H838" s="10">
        <f t="shared" si="54"/>
        <v>11.777465788800255</v>
      </c>
      <c r="K838" s="11">
        <f>_xlfn.XLOOKUP(F838,Ref!$B$3:$B$12,Ref!$C$3:$C$12,"",1)</f>
        <v>1</v>
      </c>
      <c r="L838" s="11">
        <f>_xlfn.XLOOKUP(G838,Ref!$B$3:$B$12,Ref!$C$3:$C$12,"",1)</f>
        <v>1</v>
      </c>
      <c r="M838" s="11">
        <f>_xlfn.XLOOKUP(H838,Ref!$B$3:$B$12,Ref!$C$3:$C$12,"",1)</f>
        <v>1</v>
      </c>
    </row>
    <row r="839" spans="2:13" x14ac:dyDescent="0.25">
      <c r="B839" s="15" t="s">
        <v>2</v>
      </c>
      <c r="C839" s="9">
        <v>55.3</v>
      </c>
      <c r="D839" s="9">
        <v>0</v>
      </c>
      <c r="E839" s="10">
        <v>0</v>
      </c>
      <c r="F839" s="9">
        <f t="shared" si="52"/>
        <v>17.602536705963622</v>
      </c>
      <c r="G839" s="9">
        <f t="shared" si="53"/>
        <v>0</v>
      </c>
      <c r="H839" s="10">
        <f t="shared" si="54"/>
        <v>0</v>
      </c>
      <c r="K839" s="11">
        <f>_xlfn.XLOOKUP(F839,Ref!$B$3:$B$12,Ref!$C$3:$C$12,"",1)</f>
        <v>1</v>
      </c>
      <c r="L839" s="11" t="str">
        <f>_xlfn.XLOOKUP(G839,Ref!$B$3:$B$12,Ref!$C$3:$C$12,"",1)</f>
        <v>Morta</v>
      </c>
      <c r="M839" s="11" t="str">
        <f>_xlfn.XLOOKUP(H839,Ref!$B$3:$B$12,Ref!$C$3:$C$12,"",1)</f>
        <v>Morta</v>
      </c>
    </row>
    <row r="840" spans="2:13" x14ac:dyDescent="0.25">
      <c r="B840" s="15" t="s">
        <v>11</v>
      </c>
      <c r="C840" s="9">
        <v>68.3</v>
      </c>
      <c r="D840" s="9">
        <v>78.7</v>
      </c>
      <c r="E840" s="10">
        <v>85.5</v>
      </c>
      <c r="F840" s="9">
        <f t="shared" si="52"/>
        <v>21.740565226352903</v>
      </c>
      <c r="G840" s="9">
        <f t="shared" si="53"/>
        <v>25.050988042664329</v>
      </c>
      <c r="H840" s="10">
        <f t="shared" si="54"/>
        <v>27.215495268714104</v>
      </c>
      <c r="K840" s="11">
        <f>_xlfn.XLOOKUP(F840,Ref!$B$3:$B$12,Ref!$C$3:$C$12,"",1)</f>
        <v>2</v>
      </c>
      <c r="L840" s="11">
        <f>_xlfn.XLOOKUP(G840,Ref!$B$3:$B$12,Ref!$C$3:$C$12,"",1)</f>
        <v>2</v>
      </c>
      <c r="M840" s="11">
        <f>_xlfn.XLOOKUP(H840,Ref!$B$3:$B$12,Ref!$C$3:$C$12,"",1)</f>
        <v>2</v>
      </c>
    </row>
    <row r="841" spans="2:13" x14ac:dyDescent="0.25">
      <c r="B841" s="15" t="s">
        <v>46</v>
      </c>
      <c r="C841" s="9">
        <v>37.700000000000003</v>
      </c>
      <c r="D841" s="9">
        <v>0</v>
      </c>
      <c r="E841" s="10">
        <v>37.700000000000003</v>
      </c>
      <c r="F841" s="9">
        <f t="shared" si="52"/>
        <v>12.000282709128909</v>
      </c>
      <c r="G841" s="9">
        <f t="shared" si="53"/>
        <v>0</v>
      </c>
      <c r="H841" s="10">
        <f t="shared" si="54"/>
        <v>12.000282709128909</v>
      </c>
      <c r="K841" s="11">
        <f>_xlfn.XLOOKUP(F841,Ref!$B$3:$B$12,Ref!$C$3:$C$12,"",1)</f>
        <v>1</v>
      </c>
      <c r="L841" s="11" t="str">
        <f>_xlfn.XLOOKUP(G841,Ref!$B$3:$B$12,Ref!$C$3:$C$12,"",1)</f>
        <v>Morta</v>
      </c>
      <c r="M841" s="11">
        <f>_xlfn.XLOOKUP(H841,Ref!$B$3:$B$12,Ref!$C$3:$C$12,"",1)</f>
        <v>1</v>
      </c>
    </row>
    <row r="842" spans="2:13" x14ac:dyDescent="0.25">
      <c r="B842" s="15" t="s">
        <v>11</v>
      </c>
      <c r="C842" s="9">
        <v>57.2</v>
      </c>
      <c r="D842" s="9">
        <v>62</v>
      </c>
      <c r="E842" s="10">
        <v>63.4</v>
      </c>
      <c r="F842" s="9">
        <f t="shared" si="52"/>
        <v>18.207325489712829</v>
      </c>
      <c r="G842" s="9">
        <f t="shared" si="53"/>
        <v>19.735212943395023</v>
      </c>
      <c r="H842" s="10">
        <f t="shared" si="54"/>
        <v>20.180846784052328</v>
      </c>
      <c r="K842" s="11">
        <f>_xlfn.XLOOKUP(F842,Ref!$B$3:$B$12,Ref!$C$3:$C$12,"",1)</f>
        <v>1</v>
      </c>
      <c r="L842" s="11">
        <f>_xlfn.XLOOKUP(G842,Ref!$B$3:$B$12,Ref!$C$3:$C$12,"",1)</f>
        <v>1</v>
      </c>
      <c r="M842" s="11">
        <f>_xlfn.XLOOKUP(H842,Ref!$B$3:$B$12,Ref!$C$3:$C$12,"",1)</f>
        <v>2</v>
      </c>
    </row>
    <row r="843" spans="2:13" x14ac:dyDescent="0.25">
      <c r="B843" s="15" t="s">
        <v>7</v>
      </c>
      <c r="C843" s="9">
        <v>34.799999999999997</v>
      </c>
      <c r="D843" s="9">
        <v>35.9</v>
      </c>
      <c r="E843" s="10">
        <v>0</v>
      </c>
      <c r="F843" s="9">
        <f t="shared" si="52"/>
        <v>11.077184039195915</v>
      </c>
      <c r="G843" s="9">
        <f t="shared" si="53"/>
        <v>11.427324913998085</v>
      </c>
      <c r="H843" s="10">
        <f t="shared" si="54"/>
        <v>0</v>
      </c>
      <c r="K843" s="11">
        <f>_xlfn.XLOOKUP(F843,Ref!$B$3:$B$12,Ref!$C$3:$C$12,"",1)</f>
        <v>1</v>
      </c>
      <c r="L843" s="11">
        <f>_xlfn.XLOOKUP(G843,Ref!$B$3:$B$12,Ref!$C$3:$C$12,"",1)</f>
        <v>1</v>
      </c>
      <c r="M843" s="11" t="str">
        <f>_xlfn.XLOOKUP(H843,Ref!$B$3:$B$12,Ref!$C$3:$C$12,"",1)</f>
        <v>Morta</v>
      </c>
    </row>
    <row r="844" spans="2:13" x14ac:dyDescent="0.25">
      <c r="B844" s="15" t="s">
        <v>65</v>
      </c>
      <c r="C844" s="9">
        <v>74.099999999999994</v>
      </c>
      <c r="D844" s="9">
        <v>80.5</v>
      </c>
      <c r="E844" s="10">
        <v>82</v>
      </c>
      <c r="F844" s="9">
        <f t="shared" ref="F844:F906" si="55">IF(C844="", "", C844/PI())</f>
        <v>23.586762566218887</v>
      </c>
      <c r="G844" s="9">
        <f t="shared" ref="G844:G906" si="56">IF(D844="", "", D844/PI())</f>
        <v>25.623945837795151</v>
      </c>
      <c r="H844" s="10">
        <f t="shared" ref="H844:H906" si="57">IF(E844="", "", E844/PI())</f>
        <v>26.101410667070837</v>
      </c>
      <c r="K844" s="11">
        <f>_xlfn.XLOOKUP(F844,Ref!$B$3:$B$12,Ref!$C$3:$C$12,"",1)</f>
        <v>2</v>
      </c>
      <c r="L844" s="11">
        <f>_xlfn.XLOOKUP(G844,Ref!$B$3:$B$12,Ref!$C$3:$C$12,"",1)</f>
        <v>2</v>
      </c>
      <c r="M844" s="11">
        <f>_xlfn.XLOOKUP(H844,Ref!$B$3:$B$12,Ref!$C$3:$C$12,"",1)</f>
        <v>2</v>
      </c>
    </row>
    <row r="845" spans="2:13" x14ac:dyDescent="0.25">
      <c r="B845" s="15" t="s">
        <v>7</v>
      </c>
      <c r="C845" s="9">
        <v>85.2</v>
      </c>
      <c r="D845" s="9">
        <v>88.5</v>
      </c>
      <c r="E845" s="10">
        <v>0</v>
      </c>
      <c r="F845" s="9">
        <f t="shared" si="55"/>
        <v>27.120002302858968</v>
      </c>
      <c r="G845" s="9">
        <f t="shared" si="56"/>
        <v>28.170424927265476</v>
      </c>
      <c r="H845" s="10">
        <f t="shared" si="57"/>
        <v>0</v>
      </c>
      <c r="K845" s="11">
        <f>_xlfn.XLOOKUP(F845,Ref!$B$3:$B$12,Ref!$C$3:$C$12,"",1)</f>
        <v>2</v>
      </c>
      <c r="L845" s="11">
        <f>_xlfn.XLOOKUP(G845,Ref!$B$3:$B$12,Ref!$C$3:$C$12,"",1)</f>
        <v>2</v>
      </c>
      <c r="M845" s="11" t="str">
        <f>_xlfn.XLOOKUP(H845,Ref!$B$3:$B$12,Ref!$C$3:$C$12,"",1)</f>
        <v>Morta</v>
      </c>
    </row>
    <row r="846" spans="2:13" x14ac:dyDescent="0.25">
      <c r="B846" s="15" t="s">
        <v>60</v>
      </c>
      <c r="C846" s="9">
        <v>33.799999999999997</v>
      </c>
      <c r="D846" s="9">
        <v>0</v>
      </c>
      <c r="E846" s="10">
        <v>0</v>
      </c>
      <c r="F846" s="9">
        <f t="shared" si="55"/>
        <v>10.758874153012124</v>
      </c>
      <c r="G846" s="9">
        <f t="shared" si="56"/>
        <v>0</v>
      </c>
      <c r="H846" s="10">
        <f t="shared" si="57"/>
        <v>0</v>
      </c>
      <c r="K846" s="11">
        <f>_xlfn.XLOOKUP(F846,Ref!$B$3:$B$12,Ref!$C$3:$C$12,"",1)</f>
        <v>1</v>
      </c>
      <c r="L846" s="11" t="str">
        <f>_xlfn.XLOOKUP(G846,Ref!$B$3:$B$12,Ref!$C$3:$C$12,"",1)</f>
        <v>Morta</v>
      </c>
      <c r="M846" s="11" t="str">
        <f>_xlfn.XLOOKUP(H846,Ref!$B$3:$B$12,Ref!$C$3:$C$12,"",1)</f>
        <v>Morta</v>
      </c>
    </row>
    <row r="847" spans="2:13" x14ac:dyDescent="0.25">
      <c r="B847" s="15" t="s">
        <v>46</v>
      </c>
      <c r="C847" s="9">
        <v>42.5</v>
      </c>
      <c r="D847" s="9">
        <v>42.5</v>
      </c>
      <c r="E847" s="10">
        <v>43.1</v>
      </c>
      <c r="F847" s="9">
        <f t="shared" si="55"/>
        <v>13.528170162811104</v>
      </c>
      <c r="G847" s="9">
        <f t="shared" si="56"/>
        <v>13.528170162811104</v>
      </c>
      <c r="H847" s="10">
        <f t="shared" si="57"/>
        <v>13.719156094521379</v>
      </c>
      <c r="K847" s="11">
        <f>_xlfn.XLOOKUP(F847,Ref!$B$3:$B$12,Ref!$C$3:$C$12,"",1)</f>
        <v>1</v>
      </c>
      <c r="L847" s="11">
        <f>_xlfn.XLOOKUP(G847,Ref!$B$3:$B$12,Ref!$C$3:$C$12,"",1)</f>
        <v>1</v>
      </c>
      <c r="M847" s="11">
        <f>_xlfn.XLOOKUP(H847,Ref!$B$3:$B$12,Ref!$C$3:$C$12,"",1)</f>
        <v>1</v>
      </c>
    </row>
    <row r="848" spans="2:13" x14ac:dyDescent="0.25">
      <c r="B848" s="15" t="s">
        <v>75</v>
      </c>
      <c r="C848" s="9">
        <v>123</v>
      </c>
      <c r="D848" s="9">
        <v>125.5</v>
      </c>
      <c r="E848" s="10">
        <v>0</v>
      </c>
      <c r="F848" s="9">
        <f t="shared" si="55"/>
        <v>39.152116000606256</v>
      </c>
      <c r="G848" s="9">
        <f t="shared" si="56"/>
        <v>39.947890716065729</v>
      </c>
      <c r="H848" s="10">
        <f t="shared" si="57"/>
        <v>0</v>
      </c>
      <c r="K848" s="11">
        <f>_xlfn.XLOOKUP(F848,Ref!$B$3:$B$12,Ref!$C$3:$C$12,"",1)</f>
        <v>3</v>
      </c>
      <c r="L848" s="11">
        <f>_xlfn.XLOOKUP(G848,Ref!$B$3:$B$12,Ref!$C$3:$C$12,"",1)</f>
        <v>3</v>
      </c>
      <c r="M848" s="11" t="str">
        <f>_xlfn.XLOOKUP(H848,Ref!$B$3:$B$12,Ref!$C$3:$C$12,"",1)</f>
        <v>Morta</v>
      </c>
    </row>
    <row r="849" spans="2:13" x14ac:dyDescent="0.25">
      <c r="B849" s="15" t="s">
        <v>65</v>
      </c>
      <c r="C849" s="9">
        <v>82.3</v>
      </c>
      <c r="D849" s="9">
        <v>89.2</v>
      </c>
      <c r="E849" s="10">
        <v>95.5</v>
      </c>
      <c r="F849" s="9">
        <f t="shared" si="55"/>
        <v>26.196903632925974</v>
      </c>
      <c r="G849" s="9">
        <f t="shared" si="56"/>
        <v>28.39324184759413</v>
      </c>
      <c r="H849" s="10">
        <f t="shared" si="57"/>
        <v>30.398594130552009</v>
      </c>
      <c r="K849" s="11">
        <f>_xlfn.XLOOKUP(F849,Ref!$B$3:$B$12,Ref!$C$3:$C$12,"",1)</f>
        <v>2</v>
      </c>
      <c r="L849" s="11">
        <f>_xlfn.XLOOKUP(G849,Ref!$B$3:$B$12,Ref!$C$3:$C$12,"",1)</f>
        <v>2</v>
      </c>
      <c r="M849" s="11">
        <f>_xlfn.XLOOKUP(H849,Ref!$B$3:$B$12,Ref!$C$3:$C$12,"",1)</f>
        <v>3</v>
      </c>
    </row>
    <row r="850" spans="2:13" x14ac:dyDescent="0.25">
      <c r="B850" s="15" t="s">
        <v>65</v>
      </c>
      <c r="C850" s="9">
        <v>81.3</v>
      </c>
      <c r="D850" s="9">
        <v>88.9</v>
      </c>
      <c r="E850" s="10">
        <v>92.8</v>
      </c>
      <c r="F850" s="9">
        <f t="shared" si="55"/>
        <v>25.878593746742183</v>
      </c>
      <c r="G850" s="9">
        <f t="shared" si="56"/>
        <v>28.297748881738993</v>
      </c>
      <c r="H850" s="10">
        <f t="shared" si="57"/>
        <v>29.539157437855774</v>
      </c>
      <c r="K850" s="11">
        <f>_xlfn.XLOOKUP(F850,Ref!$B$3:$B$12,Ref!$C$3:$C$12,"",1)</f>
        <v>2</v>
      </c>
      <c r="L850" s="11">
        <f>_xlfn.XLOOKUP(G850,Ref!$B$3:$B$12,Ref!$C$3:$C$12,"",1)</f>
        <v>2</v>
      </c>
      <c r="M850" s="11">
        <f>_xlfn.XLOOKUP(H850,Ref!$B$3:$B$12,Ref!$C$3:$C$12,"",1)</f>
        <v>2</v>
      </c>
    </row>
    <row r="851" spans="2:13" x14ac:dyDescent="0.25">
      <c r="B851" s="15" t="s">
        <v>65</v>
      </c>
      <c r="C851" s="9">
        <v>40.700000000000003</v>
      </c>
      <c r="D851" s="9">
        <v>40.5</v>
      </c>
      <c r="E851" s="10">
        <v>40.700000000000003</v>
      </c>
      <c r="F851" s="9">
        <f t="shared" si="55"/>
        <v>12.955212367680282</v>
      </c>
      <c r="G851" s="9">
        <f t="shared" si="56"/>
        <v>12.891550390443523</v>
      </c>
      <c r="H851" s="10">
        <f t="shared" si="57"/>
        <v>12.955212367680282</v>
      </c>
      <c r="K851" s="11">
        <f>_xlfn.XLOOKUP(F851,Ref!$B$3:$B$12,Ref!$C$3:$C$12,"",1)</f>
        <v>1</v>
      </c>
      <c r="L851" s="11">
        <f>_xlfn.XLOOKUP(G851,Ref!$B$3:$B$12,Ref!$C$3:$C$12,"",1)</f>
        <v>1</v>
      </c>
      <c r="M851" s="11">
        <f>_xlfn.XLOOKUP(H851,Ref!$B$3:$B$12,Ref!$C$3:$C$12,"",1)</f>
        <v>1</v>
      </c>
    </row>
    <row r="852" spans="2:13" x14ac:dyDescent="0.25">
      <c r="B852" s="15" t="s">
        <v>7</v>
      </c>
      <c r="C852" s="9">
        <v>60.3</v>
      </c>
      <c r="D852" s="9">
        <v>63.6</v>
      </c>
      <c r="E852" s="10">
        <v>68.099999999999994</v>
      </c>
      <c r="F852" s="9">
        <f t="shared" si="55"/>
        <v>19.194086136882579</v>
      </c>
      <c r="G852" s="9">
        <f t="shared" si="56"/>
        <v>20.244508761289087</v>
      </c>
      <c r="H852" s="10">
        <f t="shared" si="57"/>
        <v>21.676903249116144</v>
      </c>
      <c r="K852" s="11">
        <f>_xlfn.XLOOKUP(F852,Ref!$B$3:$B$12,Ref!$C$3:$C$12,"",1)</f>
        <v>1</v>
      </c>
      <c r="L852" s="11">
        <f>_xlfn.XLOOKUP(G852,Ref!$B$3:$B$12,Ref!$C$3:$C$12,"",1)</f>
        <v>2</v>
      </c>
      <c r="M852" s="11">
        <f>_xlfn.XLOOKUP(H852,Ref!$B$3:$B$12,Ref!$C$3:$C$12,"",1)</f>
        <v>2</v>
      </c>
    </row>
    <row r="853" spans="2:13" x14ac:dyDescent="0.25">
      <c r="B853" s="15" t="s">
        <v>27</v>
      </c>
      <c r="C853" s="9">
        <v>49.6</v>
      </c>
      <c r="D853" s="9">
        <v>52</v>
      </c>
      <c r="E853" s="10">
        <v>52.2</v>
      </c>
      <c r="F853" s="9">
        <f t="shared" si="55"/>
        <v>15.788170354716019</v>
      </c>
      <c r="G853" s="9">
        <f t="shared" si="56"/>
        <v>16.552114081557114</v>
      </c>
      <c r="H853" s="10">
        <f t="shared" si="57"/>
        <v>16.615776058793873</v>
      </c>
      <c r="K853" s="11">
        <f>_xlfn.XLOOKUP(F853,Ref!$B$3:$B$12,Ref!$C$3:$C$12,"",1)</f>
        <v>1</v>
      </c>
      <c r="L853" s="11">
        <f>_xlfn.XLOOKUP(G853,Ref!$B$3:$B$12,Ref!$C$3:$C$12,"",1)</f>
        <v>1</v>
      </c>
      <c r="M853" s="11">
        <f>_xlfn.XLOOKUP(H853,Ref!$B$3:$B$12,Ref!$C$3:$C$12,"",1)</f>
        <v>1</v>
      </c>
    </row>
    <row r="854" spans="2:13" x14ac:dyDescent="0.25">
      <c r="B854" s="15" t="s">
        <v>46</v>
      </c>
      <c r="C854" s="9">
        <v>45.8</v>
      </c>
      <c r="D854" s="9">
        <v>48</v>
      </c>
      <c r="E854" s="10">
        <v>56.5</v>
      </c>
      <c r="F854" s="9">
        <f t="shared" si="55"/>
        <v>14.578592787217612</v>
      </c>
      <c r="G854" s="9">
        <f t="shared" si="56"/>
        <v>15.278874536821952</v>
      </c>
      <c r="H854" s="10">
        <f t="shared" si="57"/>
        <v>17.984508569384175</v>
      </c>
      <c r="K854" s="11">
        <f>_xlfn.XLOOKUP(F854,Ref!$B$3:$B$12,Ref!$C$3:$C$12,"",1)</f>
        <v>1</v>
      </c>
      <c r="L854" s="11">
        <f>_xlfn.XLOOKUP(G854,Ref!$B$3:$B$12,Ref!$C$3:$C$12,"",1)</f>
        <v>1</v>
      </c>
      <c r="M854" s="11">
        <f>_xlfn.XLOOKUP(H854,Ref!$B$3:$B$12,Ref!$C$3:$C$12,"",1)</f>
        <v>1</v>
      </c>
    </row>
    <row r="855" spans="2:13" x14ac:dyDescent="0.25">
      <c r="B855" s="15" t="s">
        <v>7</v>
      </c>
      <c r="C855" s="9">
        <v>75.099999999999994</v>
      </c>
      <c r="D855" s="9">
        <v>77.2</v>
      </c>
      <c r="E855" s="10">
        <v>79</v>
      </c>
      <c r="F855" s="9">
        <f t="shared" si="55"/>
        <v>23.905072452402678</v>
      </c>
      <c r="G855" s="9">
        <f t="shared" si="56"/>
        <v>24.573523213388643</v>
      </c>
      <c r="H855" s="10">
        <f t="shared" si="57"/>
        <v>25.146481008519466</v>
      </c>
      <c r="K855" s="11">
        <f>_xlfn.XLOOKUP(F855,Ref!$B$3:$B$12,Ref!$C$3:$C$12,"",1)</f>
        <v>2</v>
      </c>
      <c r="L855" s="11">
        <f>_xlfn.XLOOKUP(G855,Ref!$B$3:$B$12,Ref!$C$3:$C$12,"",1)</f>
        <v>2</v>
      </c>
      <c r="M855" s="11">
        <f>_xlfn.XLOOKUP(H855,Ref!$B$3:$B$12,Ref!$C$3:$C$12,"",1)</f>
        <v>2</v>
      </c>
    </row>
    <row r="856" spans="2:13" x14ac:dyDescent="0.25">
      <c r="B856" s="15" t="s">
        <v>10</v>
      </c>
      <c r="C856" s="9">
        <v>47.2</v>
      </c>
      <c r="D856" s="9">
        <v>53.6</v>
      </c>
      <c r="E856" s="10">
        <v>56.5</v>
      </c>
      <c r="F856" s="9">
        <f t="shared" si="55"/>
        <v>15.024226627874921</v>
      </c>
      <c r="G856" s="9">
        <f t="shared" si="56"/>
        <v>17.061409899451181</v>
      </c>
      <c r="H856" s="10">
        <f t="shared" si="57"/>
        <v>17.984508569384175</v>
      </c>
      <c r="K856" s="11">
        <f>_xlfn.XLOOKUP(F856,Ref!$B$3:$B$12,Ref!$C$3:$C$12,"",1)</f>
        <v>1</v>
      </c>
      <c r="L856" s="11">
        <f>_xlfn.XLOOKUP(G856,Ref!$B$3:$B$12,Ref!$C$3:$C$12,"",1)</f>
        <v>1</v>
      </c>
      <c r="M856" s="11">
        <f>_xlfn.XLOOKUP(H856,Ref!$B$3:$B$12,Ref!$C$3:$C$12,"",1)</f>
        <v>1</v>
      </c>
    </row>
    <row r="857" spans="2:13" x14ac:dyDescent="0.25">
      <c r="B857" s="15" t="s">
        <v>6</v>
      </c>
      <c r="C857" s="9">
        <v>38.799999999999997</v>
      </c>
      <c r="D857" s="9">
        <v>41</v>
      </c>
      <c r="E857" s="10">
        <v>43.2</v>
      </c>
      <c r="F857" s="9">
        <f t="shared" si="55"/>
        <v>12.350423583931077</v>
      </c>
      <c r="G857" s="9">
        <f t="shared" si="56"/>
        <v>13.050705333535419</v>
      </c>
      <c r="H857" s="10">
        <f t="shared" si="57"/>
        <v>13.750987083139758</v>
      </c>
      <c r="K857" s="11">
        <f>_xlfn.XLOOKUP(F857,Ref!$B$3:$B$12,Ref!$C$3:$C$12,"",1)</f>
        <v>1</v>
      </c>
      <c r="L857" s="11">
        <f>_xlfn.XLOOKUP(G857,Ref!$B$3:$B$12,Ref!$C$3:$C$12,"",1)</f>
        <v>1</v>
      </c>
      <c r="M857" s="11">
        <f>_xlfn.XLOOKUP(H857,Ref!$B$3:$B$12,Ref!$C$3:$C$12,"",1)</f>
        <v>1</v>
      </c>
    </row>
    <row r="858" spans="2:13" x14ac:dyDescent="0.25">
      <c r="B858" s="15" t="s">
        <v>7</v>
      </c>
      <c r="C858" s="9">
        <v>70</v>
      </c>
      <c r="D858" s="9">
        <v>73.3</v>
      </c>
      <c r="E858" s="10">
        <v>0</v>
      </c>
      <c r="F858" s="9">
        <f t="shared" si="55"/>
        <v>22.281692032865347</v>
      </c>
      <c r="G858" s="9">
        <f t="shared" si="56"/>
        <v>23.332114657271855</v>
      </c>
      <c r="H858" s="10">
        <f t="shared" si="57"/>
        <v>0</v>
      </c>
      <c r="K858" s="11">
        <f>_xlfn.XLOOKUP(F858,Ref!$B$3:$B$12,Ref!$C$3:$C$12,"",1)</f>
        <v>2</v>
      </c>
      <c r="L858" s="11">
        <f>_xlfn.XLOOKUP(G858,Ref!$B$3:$B$12,Ref!$C$3:$C$12,"",1)</f>
        <v>2</v>
      </c>
      <c r="M858" s="11" t="str">
        <f>_xlfn.XLOOKUP(H858,Ref!$B$3:$B$12,Ref!$C$3:$C$12,"",1)</f>
        <v>Morta</v>
      </c>
    </row>
    <row r="859" spans="2:13" x14ac:dyDescent="0.25">
      <c r="B859" s="15" t="s">
        <v>43</v>
      </c>
      <c r="C859" s="9">
        <v>51.2</v>
      </c>
      <c r="D859" s="9">
        <v>51.7</v>
      </c>
      <c r="E859" s="10">
        <v>53.1</v>
      </c>
      <c r="F859" s="9">
        <f t="shared" si="55"/>
        <v>16.297466172610083</v>
      </c>
      <c r="G859" s="9">
        <f t="shared" si="56"/>
        <v>16.456621115701978</v>
      </c>
      <c r="H859" s="10">
        <f t="shared" si="57"/>
        <v>16.902254956359286</v>
      </c>
      <c r="K859" s="11">
        <f>_xlfn.XLOOKUP(F859,Ref!$B$3:$B$12,Ref!$C$3:$C$12,"",1)</f>
        <v>1</v>
      </c>
      <c r="L859" s="11">
        <f>_xlfn.XLOOKUP(G859,Ref!$B$3:$B$12,Ref!$C$3:$C$12,"",1)</f>
        <v>1</v>
      </c>
      <c r="M859" s="11">
        <f>_xlfn.XLOOKUP(H859,Ref!$B$3:$B$12,Ref!$C$3:$C$12,"",1)</f>
        <v>1</v>
      </c>
    </row>
    <row r="860" spans="2:13" x14ac:dyDescent="0.25">
      <c r="B860" s="15" t="s">
        <v>12</v>
      </c>
      <c r="C860" s="9">
        <v>43.8</v>
      </c>
      <c r="D860" s="9">
        <v>48.5</v>
      </c>
      <c r="E860" s="10">
        <v>51</v>
      </c>
      <c r="F860" s="9">
        <f t="shared" si="55"/>
        <v>13.941973014850031</v>
      </c>
      <c r="G860" s="9">
        <f t="shared" si="56"/>
        <v>15.438029479913848</v>
      </c>
      <c r="H860" s="10">
        <f t="shared" si="57"/>
        <v>16.233804195373324</v>
      </c>
      <c r="K860" s="11">
        <f>_xlfn.XLOOKUP(F860,Ref!$B$3:$B$12,Ref!$C$3:$C$12,"",1)</f>
        <v>1</v>
      </c>
      <c r="L860" s="11">
        <f>_xlfn.XLOOKUP(G860,Ref!$B$3:$B$12,Ref!$C$3:$C$12,"",1)</f>
        <v>1</v>
      </c>
      <c r="M860" s="11">
        <f>_xlfn.XLOOKUP(H860,Ref!$B$3:$B$12,Ref!$C$3:$C$12,"",1)</f>
        <v>1</v>
      </c>
    </row>
    <row r="861" spans="2:13" x14ac:dyDescent="0.25">
      <c r="B861" s="15" t="s">
        <v>8</v>
      </c>
      <c r="C861" s="9"/>
      <c r="D861" s="9">
        <v>33.299999999999997</v>
      </c>
      <c r="E861" s="10">
        <v>35.6</v>
      </c>
      <c r="F861" s="9" t="str">
        <f t="shared" si="55"/>
        <v/>
      </c>
      <c r="G861" s="9">
        <f t="shared" si="56"/>
        <v>10.599719209920229</v>
      </c>
      <c r="H861" s="10">
        <f t="shared" si="57"/>
        <v>11.331831948142948</v>
      </c>
      <c r="K861" s="11" t="str">
        <f>_xlfn.XLOOKUP(F861,Ref!$B$3:$B$12,Ref!$C$3:$C$12,"",1)</f>
        <v/>
      </c>
      <c r="L861" s="11">
        <f>_xlfn.XLOOKUP(G861,Ref!$B$3:$B$12,Ref!$C$3:$C$12,"",1)</f>
        <v>1</v>
      </c>
      <c r="M861" s="11">
        <f>_xlfn.XLOOKUP(H861,Ref!$B$3:$B$12,Ref!$C$3:$C$12,"",1)</f>
        <v>1</v>
      </c>
    </row>
    <row r="862" spans="2:13" x14ac:dyDescent="0.25">
      <c r="B862" s="15" t="s">
        <v>13</v>
      </c>
      <c r="C862" s="9"/>
      <c r="D862" s="9">
        <v>31.7</v>
      </c>
      <c r="E862" s="10">
        <v>32.5</v>
      </c>
      <c r="F862" s="9" t="str">
        <f t="shared" si="55"/>
        <v/>
      </c>
      <c r="G862" s="9">
        <f t="shared" si="56"/>
        <v>10.090423392026164</v>
      </c>
      <c r="H862" s="10">
        <f t="shared" si="57"/>
        <v>10.345071300973197</v>
      </c>
      <c r="K862" s="11" t="str">
        <f>_xlfn.XLOOKUP(F862,Ref!$B$3:$B$12,Ref!$C$3:$C$12,"",1)</f>
        <v/>
      </c>
      <c r="L862" s="11">
        <f>_xlfn.XLOOKUP(G862,Ref!$B$3:$B$12,Ref!$C$3:$C$12,"",1)</f>
        <v>1</v>
      </c>
      <c r="M862" s="11">
        <f>_xlfn.XLOOKUP(H862,Ref!$B$3:$B$12,Ref!$C$3:$C$12,"",1)</f>
        <v>1</v>
      </c>
    </row>
    <row r="863" spans="2:13" x14ac:dyDescent="0.25">
      <c r="B863" s="15" t="s">
        <v>12</v>
      </c>
      <c r="C863" s="9"/>
      <c r="D863" s="9">
        <v>31.9</v>
      </c>
      <c r="E863" s="10">
        <v>36.200000000000003</v>
      </c>
      <c r="F863" s="9" t="str">
        <f t="shared" si="55"/>
        <v/>
      </c>
      <c r="G863" s="9">
        <f t="shared" si="56"/>
        <v>10.154085369262923</v>
      </c>
      <c r="H863" s="10">
        <f t="shared" si="57"/>
        <v>11.522817879853223</v>
      </c>
      <c r="K863" s="11" t="str">
        <f>_xlfn.XLOOKUP(F863,Ref!$B$3:$B$12,Ref!$C$3:$C$12,"",1)</f>
        <v/>
      </c>
      <c r="L863" s="11">
        <f>_xlfn.XLOOKUP(G863,Ref!$B$3:$B$12,Ref!$C$3:$C$12,"",1)</f>
        <v>1</v>
      </c>
      <c r="M863" s="11">
        <f>_xlfn.XLOOKUP(H863,Ref!$B$3:$B$12,Ref!$C$3:$C$12,"",1)</f>
        <v>1</v>
      </c>
    </row>
    <row r="864" spans="2:13" x14ac:dyDescent="0.25">
      <c r="B864" s="15" t="s">
        <v>12</v>
      </c>
      <c r="C864" s="9"/>
      <c r="D864" s="9">
        <v>32</v>
      </c>
      <c r="E864" s="10">
        <v>35.799999999999997</v>
      </c>
      <c r="F864" s="9" t="str">
        <f t="shared" si="55"/>
        <v/>
      </c>
      <c r="G864" s="9">
        <f t="shared" si="56"/>
        <v>10.185916357881302</v>
      </c>
      <c r="H864" s="10">
        <f t="shared" si="57"/>
        <v>11.395493925379705</v>
      </c>
      <c r="K864" s="11" t="str">
        <f>_xlfn.XLOOKUP(F864,Ref!$B$3:$B$12,Ref!$C$3:$C$12,"",1)</f>
        <v/>
      </c>
      <c r="L864" s="11">
        <f>_xlfn.XLOOKUP(G864,Ref!$B$3:$B$12,Ref!$C$3:$C$12,"",1)</f>
        <v>1</v>
      </c>
      <c r="M864" s="11">
        <f>_xlfn.XLOOKUP(H864,Ref!$B$3:$B$12,Ref!$C$3:$C$12,"",1)</f>
        <v>1</v>
      </c>
    </row>
    <row r="865" spans="2:13" x14ac:dyDescent="0.25">
      <c r="B865" s="15" t="s">
        <v>12</v>
      </c>
      <c r="C865" s="9"/>
      <c r="D865" s="9"/>
      <c r="E865" s="10">
        <v>34.4</v>
      </c>
      <c r="F865" s="9" t="str">
        <f t="shared" si="55"/>
        <v/>
      </c>
      <c r="G865" s="9" t="str">
        <f t="shared" si="56"/>
        <v/>
      </c>
      <c r="H865" s="10">
        <f t="shared" si="57"/>
        <v>10.949860084722399</v>
      </c>
      <c r="K865" s="11" t="str">
        <f>_xlfn.XLOOKUP(F865,Ref!$B$3:$B$12,Ref!$C$3:$C$12,"",1)</f>
        <v/>
      </c>
      <c r="L865" s="11" t="str">
        <f>_xlfn.XLOOKUP(G865,Ref!$B$3:$B$12,Ref!$C$3:$C$12,"",1)</f>
        <v/>
      </c>
      <c r="M865" s="11">
        <f>_xlfn.XLOOKUP(H865,Ref!$B$3:$B$12,Ref!$C$3:$C$12,"",1)</f>
        <v>1</v>
      </c>
    </row>
    <row r="866" spans="2:13" x14ac:dyDescent="0.25">
      <c r="B866" s="15" t="s">
        <v>7</v>
      </c>
      <c r="C866" s="9"/>
      <c r="D866" s="9"/>
      <c r="E866" s="10">
        <v>85.7</v>
      </c>
      <c r="F866" s="9" t="str">
        <f t="shared" si="55"/>
        <v/>
      </c>
      <c r="G866" s="9" t="str">
        <f t="shared" si="56"/>
        <v/>
      </c>
      <c r="H866" s="10">
        <f t="shared" si="57"/>
        <v>27.279157245950863</v>
      </c>
      <c r="K866" s="11" t="str">
        <f>_xlfn.XLOOKUP(F866,Ref!$B$3:$B$12,Ref!$C$3:$C$12,"",1)</f>
        <v/>
      </c>
      <c r="L866" s="11" t="str">
        <f>_xlfn.XLOOKUP(G866,Ref!$B$3:$B$12,Ref!$C$3:$C$12,"",1)</f>
        <v/>
      </c>
      <c r="M866" s="11">
        <f>_xlfn.XLOOKUP(H866,Ref!$B$3:$B$12,Ref!$C$3:$C$12,"",1)</f>
        <v>2</v>
      </c>
    </row>
    <row r="867" spans="2:13" x14ac:dyDescent="0.25">
      <c r="B867" s="15" t="s">
        <v>12</v>
      </c>
      <c r="C867" s="9"/>
      <c r="D867" s="9"/>
      <c r="E867" s="10">
        <v>32.1</v>
      </c>
      <c r="F867" s="9" t="str">
        <f t="shared" si="55"/>
        <v/>
      </c>
      <c r="G867" s="9" t="str">
        <f t="shared" si="56"/>
        <v/>
      </c>
      <c r="H867" s="10">
        <f t="shared" si="57"/>
        <v>10.217747346499682</v>
      </c>
      <c r="K867" s="11" t="str">
        <f>_xlfn.XLOOKUP(F867,Ref!$B$3:$B$12,Ref!$C$3:$C$12,"",1)</f>
        <v/>
      </c>
      <c r="L867" s="11" t="str">
        <f>_xlfn.XLOOKUP(G867,Ref!$B$3:$B$12,Ref!$C$3:$C$12,"",1)</f>
        <v/>
      </c>
      <c r="M867" s="11">
        <f>_xlfn.XLOOKUP(H867,Ref!$B$3:$B$12,Ref!$C$3:$C$12,"",1)</f>
        <v>1</v>
      </c>
    </row>
    <row r="868" spans="2:13" x14ac:dyDescent="0.25">
      <c r="B868" s="15" t="s">
        <v>29</v>
      </c>
      <c r="C868" s="9">
        <v>38.5</v>
      </c>
      <c r="D868" s="9">
        <v>41</v>
      </c>
      <c r="E868" s="10">
        <v>41</v>
      </c>
      <c r="F868" s="9">
        <f t="shared" si="55"/>
        <v>12.254930618075941</v>
      </c>
      <c r="G868" s="9">
        <f t="shared" si="56"/>
        <v>13.050705333535419</v>
      </c>
      <c r="H868" s="10">
        <f t="shared" si="57"/>
        <v>13.050705333535419</v>
      </c>
      <c r="K868" s="11">
        <f>_xlfn.XLOOKUP(F868,Ref!$B$3:$B$12,Ref!$C$3:$C$12,"",1)</f>
        <v>1</v>
      </c>
      <c r="L868" s="11">
        <f>_xlfn.XLOOKUP(G868,Ref!$B$3:$B$12,Ref!$C$3:$C$12,"",1)</f>
        <v>1</v>
      </c>
      <c r="M868" s="11">
        <f>_xlfn.XLOOKUP(H868,Ref!$B$3:$B$12,Ref!$C$3:$C$12,"",1)</f>
        <v>1</v>
      </c>
    </row>
    <row r="869" spans="2:13" x14ac:dyDescent="0.25">
      <c r="B869" s="15" t="s">
        <v>31</v>
      </c>
      <c r="C869" s="9">
        <v>45.7</v>
      </c>
      <c r="D869" s="9">
        <v>47.4</v>
      </c>
      <c r="E869" s="10">
        <v>47.4</v>
      </c>
      <c r="F869" s="9">
        <f t="shared" si="55"/>
        <v>14.546761798599235</v>
      </c>
      <c r="G869" s="9">
        <f t="shared" si="56"/>
        <v>15.087888605111678</v>
      </c>
      <c r="H869" s="10">
        <f t="shared" si="57"/>
        <v>15.087888605111678</v>
      </c>
      <c r="K869" s="11">
        <f>_xlfn.XLOOKUP(F869,Ref!$B$3:$B$12,Ref!$C$3:$C$12,"",1)</f>
        <v>1</v>
      </c>
      <c r="L869" s="11">
        <f>_xlfn.XLOOKUP(G869,Ref!$B$3:$B$12,Ref!$C$3:$C$12,"",1)</f>
        <v>1</v>
      </c>
      <c r="M869" s="11">
        <f>_xlfn.XLOOKUP(H869,Ref!$B$3:$B$12,Ref!$C$3:$C$12,"",1)</f>
        <v>1</v>
      </c>
    </row>
    <row r="870" spans="2:13" x14ac:dyDescent="0.25">
      <c r="B870" s="15" t="s">
        <v>41</v>
      </c>
      <c r="C870" s="9">
        <v>74.400000000000006</v>
      </c>
      <c r="D870" s="9">
        <v>80.400000000000006</v>
      </c>
      <c r="E870" s="10">
        <v>85.7</v>
      </c>
      <c r="F870" s="9">
        <f t="shared" si="55"/>
        <v>23.682255532074027</v>
      </c>
      <c r="G870" s="9">
        <f t="shared" si="56"/>
        <v>25.592114849176774</v>
      </c>
      <c r="H870" s="10">
        <f t="shared" si="57"/>
        <v>27.279157245950863</v>
      </c>
      <c r="K870" s="11">
        <f>_xlfn.XLOOKUP(F870,Ref!$B$3:$B$12,Ref!$C$3:$C$12,"",1)</f>
        <v>2</v>
      </c>
      <c r="L870" s="11">
        <f>_xlfn.XLOOKUP(G870,Ref!$B$3:$B$12,Ref!$C$3:$C$12,"",1)</f>
        <v>2</v>
      </c>
      <c r="M870" s="11">
        <f>_xlfn.XLOOKUP(H870,Ref!$B$3:$B$12,Ref!$C$3:$C$12,"",1)</f>
        <v>2</v>
      </c>
    </row>
    <row r="871" spans="2:13" x14ac:dyDescent="0.25">
      <c r="B871" s="15" t="s">
        <v>41</v>
      </c>
      <c r="C871" s="9">
        <v>73.2</v>
      </c>
      <c r="D871" s="9">
        <v>80</v>
      </c>
      <c r="E871" s="10">
        <v>85.5</v>
      </c>
      <c r="F871" s="9">
        <f t="shared" si="55"/>
        <v>23.300283668653478</v>
      </c>
      <c r="G871" s="9">
        <f t="shared" si="56"/>
        <v>25.464790894703256</v>
      </c>
      <c r="H871" s="10">
        <f t="shared" si="57"/>
        <v>27.215495268714104</v>
      </c>
      <c r="K871" s="11">
        <f>_xlfn.XLOOKUP(F871,Ref!$B$3:$B$12,Ref!$C$3:$C$12,"",1)</f>
        <v>2</v>
      </c>
      <c r="L871" s="11">
        <f>_xlfn.XLOOKUP(G871,Ref!$B$3:$B$12,Ref!$C$3:$C$12,"",1)</f>
        <v>2</v>
      </c>
      <c r="M871" s="11">
        <f>_xlfn.XLOOKUP(H871,Ref!$B$3:$B$12,Ref!$C$3:$C$12,"",1)</f>
        <v>2</v>
      </c>
    </row>
    <row r="872" spans="2:13" x14ac:dyDescent="0.25">
      <c r="B872" s="15" t="s">
        <v>14</v>
      </c>
      <c r="C872" s="9">
        <v>61.3</v>
      </c>
      <c r="D872" s="9">
        <v>66.599999999999994</v>
      </c>
      <c r="E872" s="10">
        <v>71.8</v>
      </c>
      <c r="F872" s="9">
        <f t="shared" si="55"/>
        <v>19.512396023066369</v>
      </c>
      <c r="G872" s="9">
        <f t="shared" si="56"/>
        <v>21.199438419840458</v>
      </c>
      <c r="H872" s="10">
        <f t="shared" si="57"/>
        <v>22.85464982799617</v>
      </c>
      <c r="K872" s="11">
        <f>_xlfn.XLOOKUP(F872,Ref!$B$3:$B$12,Ref!$C$3:$C$12,"",1)</f>
        <v>1</v>
      </c>
      <c r="L872" s="11">
        <f>_xlfn.XLOOKUP(G872,Ref!$B$3:$B$12,Ref!$C$3:$C$12,"",1)</f>
        <v>2</v>
      </c>
      <c r="M872" s="11">
        <f>_xlfn.XLOOKUP(H872,Ref!$B$3:$B$12,Ref!$C$3:$C$12,"",1)</f>
        <v>2</v>
      </c>
    </row>
    <row r="873" spans="2:13" x14ac:dyDescent="0.25">
      <c r="B873" s="15" t="s">
        <v>12</v>
      </c>
      <c r="C873" s="9">
        <v>31.9</v>
      </c>
      <c r="D873" s="9">
        <v>0</v>
      </c>
      <c r="E873" s="10">
        <v>0</v>
      </c>
      <c r="F873" s="9">
        <f t="shared" si="55"/>
        <v>10.154085369262923</v>
      </c>
      <c r="G873" s="9">
        <f t="shared" si="56"/>
        <v>0</v>
      </c>
      <c r="H873" s="10">
        <f t="shared" si="57"/>
        <v>0</v>
      </c>
      <c r="K873" s="11">
        <f>_xlfn.XLOOKUP(F873,Ref!$B$3:$B$12,Ref!$C$3:$C$12,"",1)</f>
        <v>1</v>
      </c>
      <c r="L873" s="11" t="str">
        <f>_xlfn.XLOOKUP(G873,Ref!$B$3:$B$12,Ref!$C$3:$C$12,"",1)</f>
        <v>Morta</v>
      </c>
      <c r="M873" s="11" t="str">
        <f>_xlfn.XLOOKUP(H873,Ref!$B$3:$B$12,Ref!$C$3:$C$12,"",1)</f>
        <v>Morta</v>
      </c>
    </row>
    <row r="874" spans="2:13" x14ac:dyDescent="0.25">
      <c r="B874" s="15" t="s">
        <v>7</v>
      </c>
      <c r="C874" s="9">
        <v>38.6</v>
      </c>
      <c r="D874" s="9">
        <v>38.9</v>
      </c>
      <c r="E874" s="10">
        <v>39</v>
      </c>
      <c r="F874" s="9">
        <f t="shared" si="55"/>
        <v>12.286761606694322</v>
      </c>
      <c r="G874" s="9">
        <f t="shared" si="56"/>
        <v>12.382254572549456</v>
      </c>
      <c r="H874" s="10">
        <f t="shared" si="57"/>
        <v>12.414085561167836</v>
      </c>
      <c r="K874" s="11">
        <f>_xlfn.XLOOKUP(F874,Ref!$B$3:$B$12,Ref!$C$3:$C$12,"",1)</f>
        <v>1</v>
      </c>
      <c r="L874" s="11">
        <f>_xlfn.XLOOKUP(G874,Ref!$B$3:$B$12,Ref!$C$3:$C$12,"",1)</f>
        <v>1</v>
      </c>
      <c r="M874" s="11">
        <f>_xlfn.XLOOKUP(H874,Ref!$B$3:$B$12,Ref!$C$3:$C$12,"",1)</f>
        <v>1</v>
      </c>
    </row>
    <row r="875" spans="2:13" x14ac:dyDescent="0.25">
      <c r="B875" s="15" t="s">
        <v>11</v>
      </c>
      <c r="C875" s="9">
        <v>36.9</v>
      </c>
      <c r="D875" s="9">
        <v>37.6</v>
      </c>
      <c r="E875" s="10">
        <v>37.799999999999997</v>
      </c>
      <c r="F875" s="9">
        <f t="shared" si="55"/>
        <v>11.745634800181875</v>
      </c>
      <c r="G875" s="9">
        <f t="shared" si="56"/>
        <v>11.968451720510529</v>
      </c>
      <c r="H875" s="10">
        <f t="shared" si="57"/>
        <v>12.032113697747286</v>
      </c>
      <c r="K875" s="11">
        <f>_xlfn.XLOOKUP(F875,Ref!$B$3:$B$12,Ref!$C$3:$C$12,"",1)</f>
        <v>1</v>
      </c>
      <c r="L875" s="11">
        <f>_xlfn.XLOOKUP(G875,Ref!$B$3:$B$12,Ref!$C$3:$C$12,"",1)</f>
        <v>1</v>
      </c>
      <c r="M875" s="11">
        <f>_xlfn.XLOOKUP(H875,Ref!$B$3:$B$12,Ref!$C$3:$C$12,"",1)</f>
        <v>1</v>
      </c>
    </row>
    <row r="876" spans="2:13" x14ac:dyDescent="0.25">
      <c r="B876" s="15" t="s">
        <v>33</v>
      </c>
      <c r="C876" s="9">
        <v>32.4</v>
      </c>
      <c r="D876" s="9">
        <v>33</v>
      </c>
      <c r="E876" s="10">
        <v>0</v>
      </c>
      <c r="F876" s="9">
        <f t="shared" si="55"/>
        <v>10.313240312354818</v>
      </c>
      <c r="G876" s="9">
        <f t="shared" si="56"/>
        <v>10.504226244065093</v>
      </c>
      <c r="H876" s="10">
        <f t="shared" si="57"/>
        <v>0</v>
      </c>
      <c r="K876" s="11">
        <f>_xlfn.XLOOKUP(F876,Ref!$B$3:$B$12,Ref!$C$3:$C$12,"",1)</f>
        <v>1</v>
      </c>
      <c r="L876" s="11">
        <f>_xlfn.XLOOKUP(G876,Ref!$B$3:$B$12,Ref!$C$3:$C$12,"",1)</f>
        <v>1</v>
      </c>
      <c r="M876" s="11" t="str">
        <f>_xlfn.XLOOKUP(H876,Ref!$B$3:$B$12,Ref!$C$3:$C$12,"",1)</f>
        <v>Morta</v>
      </c>
    </row>
    <row r="877" spans="2:13" x14ac:dyDescent="0.25">
      <c r="B877" s="15" t="s">
        <v>6</v>
      </c>
      <c r="C877" s="9">
        <v>42.2</v>
      </c>
      <c r="D877" s="9">
        <v>42.5</v>
      </c>
      <c r="E877" s="10">
        <v>42.5</v>
      </c>
      <c r="F877" s="9">
        <f t="shared" si="55"/>
        <v>13.432677196955968</v>
      </c>
      <c r="G877" s="9">
        <f t="shared" si="56"/>
        <v>13.528170162811104</v>
      </c>
      <c r="H877" s="10">
        <f t="shared" si="57"/>
        <v>13.528170162811104</v>
      </c>
      <c r="K877" s="11">
        <f>_xlfn.XLOOKUP(F877,Ref!$B$3:$B$12,Ref!$C$3:$C$12,"",1)</f>
        <v>1</v>
      </c>
      <c r="L877" s="11">
        <f>_xlfn.XLOOKUP(G877,Ref!$B$3:$B$12,Ref!$C$3:$C$12,"",1)</f>
        <v>1</v>
      </c>
      <c r="M877" s="11">
        <f>_xlfn.XLOOKUP(H877,Ref!$B$3:$B$12,Ref!$C$3:$C$12,"",1)</f>
        <v>1</v>
      </c>
    </row>
    <row r="878" spans="2:13" x14ac:dyDescent="0.25">
      <c r="B878" s="15" t="s">
        <v>6</v>
      </c>
      <c r="C878" s="9">
        <v>31.8</v>
      </c>
      <c r="D878" s="9">
        <v>32.1</v>
      </c>
      <c r="E878" s="10">
        <v>32.1</v>
      </c>
      <c r="F878" s="9">
        <f t="shared" si="55"/>
        <v>10.122254380644543</v>
      </c>
      <c r="G878" s="9">
        <f t="shared" si="56"/>
        <v>10.217747346499682</v>
      </c>
      <c r="H878" s="10">
        <f t="shared" si="57"/>
        <v>10.217747346499682</v>
      </c>
      <c r="K878" s="11">
        <f>_xlfn.XLOOKUP(F878,Ref!$B$3:$B$12,Ref!$C$3:$C$12,"",1)</f>
        <v>1</v>
      </c>
      <c r="L878" s="11">
        <f>_xlfn.XLOOKUP(G878,Ref!$B$3:$B$12,Ref!$C$3:$C$12,"",1)</f>
        <v>1</v>
      </c>
      <c r="M878" s="11">
        <f>_xlfn.XLOOKUP(H878,Ref!$B$3:$B$12,Ref!$C$3:$C$12,"",1)</f>
        <v>1</v>
      </c>
    </row>
    <row r="879" spans="2:13" x14ac:dyDescent="0.25">
      <c r="B879" s="15" t="s">
        <v>24</v>
      </c>
      <c r="C879" s="9">
        <v>66.400000000000006</v>
      </c>
      <c r="D879" s="9">
        <v>71.900000000000006</v>
      </c>
      <c r="E879" s="10">
        <v>78.8</v>
      </c>
      <c r="F879" s="9">
        <f t="shared" si="55"/>
        <v>21.135776442603703</v>
      </c>
      <c r="G879" s="9">
        <f t="shared" si="56"/>
        <v>22.886480816614551</v>
      </c>
      <c r="H879" s="10">
        <f t="shared" si="57"/>
        <v>25.082819031282703</v>
      </c>
      <c r="K879" s="11">
        <f>_xlfn.XLOOKUP(F879,Ref!$B$3:$B$12,Ref!$C$3:$C$12,"",1)</f>
        <v>2</v>
      </c>
      <c r="L879" s="11">
        <f>_xlfn.XLOOKUP(G879,Ref!$B$3:$B$12,Ref!$C$3:$C$12,"",1)</f>
        <v>2</v>
      </c>
      <c r="M879" s="11">
        <f>_xlfn.XLOOKUP(H879,Ref!$B$3:$B$12,Ref!$C$3:$C$12,"",1)</f>
        <v>2</v>
      </c>
    </row>
    <row r="880" spans="2:13" x14ac:dyDescent="0.25">
      <c r="B880" s="15" t="s">
        <v>24</v>
      </c>
      <c r="C880" s="9">
        <v>96.8</v>
      </c>
      <c r="D880" s="9">
        <v>104.2</v>
      </c>
      <c r="E880" s="10">
        <v>111.7</v>
      </c>
      <c r="F880" s="9">
        <f t="shared" si="55"/>
        <v>30.812396982590936</v>
      </c>
      <c r="G880" s="9">
        <f t="shared" si="56"/>
        <v>33.167890140350991</v>
      </c>
      <c r="H880" s="10">
        <f t="shared" si="57"/>
        <v>35.555214286729424</v>
      </c>
      <c r="K880" s="11">
        <f>_xlfn.XLOOKUP(F880,Ref!$B$3:$B$12,Ref!$C$3:$C$12,"",1)</f>
        <v>3</v>
      </c>
      <c r="L880" s="11">
        <f>_xlfn.XLOOKUP(G880,Ref!$B$3:$B$12,Ref!$C$3:$C$12,"",1)</f>
        <v>3</v>
      </c>
      <c r="M880" s="11">
        <f>_xlfn.XLOOKUP(H880,Ref!$B$3:$B$12,Ref!$C$3:$C$12,"",1)</f>
        <v>3</v>
      </c>
    </row>
    <row r="881" spans="2:13" x14ac:dyDescent="0.25">
      <c r="B881" s="15" t="s">
        <v>10</v>
      </c>
      <c r="C881" s="9">
        <v>47</v>
      </c>
      <c r="D881" s="9">
        <v>52</v>
      </c>
      <c r="E881" s="10">
        <v>56.5</v>
      </c>
      <c r="F881" s="9">
        <f t="shared" si="55"/>
        <v>14.960564650638162</v>
      </c>
      <c r="G881" s="9">
        <f t="shared" si="56"/>
        <v>16.552114081557114</v>
      </c>
      <c r="H881" s="10">
        <f t="shared" si="57"/>
        <v>17.984508569384175</v>
      </c>
      <c r="K881" s="11">
        <f>_xlfn.XLOOKUP(F881,Ref!$B$3:$B$12,Ref!$C$3:$C$12,"",1)</f>
        <v>1</v>
      </c>
      <c r="L881" s="11">
        <f>_xlfn.XLOOKUP(G881,Ref!$B$3:$B$12,Ref!$C$3:$C$12,"",1)</f>
        <v>1</v>
      </c>
      <c r="M881" s="11">
        <f>_xlfn.XLOOKUP(H881,Ref!$B$3:$B$12,Ref!$C$3:$C$12,"",1)</f>
        <v>1</v>
      </c>
    </row>
    <row r="882" spans="2:13" x14ac:dyDescent="0.25">
      <c r="B882" s="15" t="s">
        <v>12</v>
      </c>
      <c r="C882" s="9">
        <v>40.299999999999997</v>
      </c>
      <c r="D882" s="9">
        <v>43.1</v>
      </c>
      <c r="E882" s="10">
        <v>45.4</v>
      </c>
      <c r="F882" s="9">
        <f t="shared" si="55"/>
        <v>12.827888413206765</v>
      </c>
      <c r="G882" s="9">
        <f t="shared" si="56"/>
        <v>13.719156094521379</v>
      </c>
      <c r="H882" s="10">
        <f t="shared" si="57"/>
        <v>14.451268832744097</v>
      </c>
      <c r="K882" s="11">
        <f>_xlfn.XLOOKUP(F882,Ref!$B$3:$B$12,Ref!$C$3:$C$12,"",1)</f>
        <v>1</v>
      </c>
      <c r="L882" s="11">
        <f>_xlfn.XLOOKUP(G882,Ref!$B$3:$B$12,Ref!$C$3:$C$12,"",1)</f>
        <v>1</v>
      </c>
      <c r="M882" s="11">
        <f>_xlfn.XLOOKUP(H882,Ref!$B$3:$B$12,Ref!$C$3:$C$12,"",1)</f>
        <v>1</v>
      </c>
    </row>
    <row r="883" spans="2:13" x14ac:dyDescent="0.25">
      <c r="B883" s="15" t="s">
        <v>6</v>
      </c>
      <c r="C883" s="9">
        <v>35.1</v>
      </c>
      <c r="D883" s="9">
        <v>36.6</v>
      </c>
      <c r="E883" s="10">
        <v>42.3</v>
      </c>
      <c r="F883" s="9">
        <f t="shared" si="55"/>
        <v>11.172677005051053</v>
      </c>
      <c r="G883" s="9">
        <f t="shared" si="56"/>
        <v>11.650141834326739</v>
      </c>
      <c r="H883" s="10">
        <f t="shared" si="57"/>
        <v>13.464508185574346</v>
      </c>
      <c r="K883" s="11">
        <f>_xlfn.XLOOKUP(F883,Ref!$B$3:$B$12,Ref!$C$3:$C$12,"",1)</f>
        <v>1</v>
      </c>
      <c r="L883" s="11">
        <f>_xlfn.XLOOKUP(G883,Ref!$B$3:$B$12,Ref!$C$3:$C$12,"",1)</f>
        <v>1</v>
      </c>
      <c r="M883" s="11">
        <f>_xlfn.XLOOKUP(H883,Ref!$B$3:$B$12,Ref!$C$3:$C$12,"",1)</f>
        <v>1</v>
      </c>
    </row>
    <row r="884" spans="2:13" x14ac:dyDescent="0.25">
      <c r="B884" s="15" t="s">
        <v>7</v>
      </c>
      <c r="C884" s="9">
        <v>60.8</v>
      </c>
      <c r="D884" s="9">
        <v>62.9</v>
      </c>
      <c r="E884" s="10">
        <v>65.3</v>
      </c>
      <c r="F884" s="9">
        <f t="shared" si="55"/>
        <v>19.353241079974474</v>
      </c>
      <c r="G884" s="9">
        <f t="shared" si="56"/>
        <v>20.021691840960433</v>
      </c>
      <c r="H884" s="10">
        <f t="shared" si="57"/>
        <v>20.785635567801531</v>
      </c>
      <c r="K884" s="11">
        <f>_xlfn.XLOOKUP(F884,Ref!$B$3:$B$12,Ref!$C$3:$C$12,"",1)</f>
        <v>1</v>
      </c>
      <c r="L884" s="11">
        <f>_xlfn.XLOOKUP(G884,Ref!$B$3:$B$12,Ref!$C$3:$C$12,"",1)</f>
        <v>2</v>
      </c>
      <c r="M884" s="11">
        <f>_xlfn.XLOOKUP(H884,Ref!$B$3:$B$12,Ref!$C$3:$C$12,"",1)</f>
        <v>2</v>
      </c>
    </row>
    <row r="885" spans="2:13" x14ac:dyDescent="0.25">
      <c r="B885" s="15" t="s">
        <v>7</v>
      </c>
      <c r="C885" s="9">
        <v>60.1</v>
      </c>
      <c r="D885" s="9">
        <v>64.7</v>
      </c>
      <c r="E885" s="10">
        <v>66.400000000000006</v>
      </c>
      <c r="F885" s="9">
        <f t="shared" si="55"/>
        <v>19.13042415964582</v>
      </c>
      <c r="G885" s="9">
        <f t="shared" si="56"/>
        <v>20.594649636091258</v>
      </c>
      <c r="H885" s="10">
        <f t="shared" si="57"/>
        <v>21.135776442603703</v>
      </c>
      <c r="K885" s="11">
        <f>_xlfn.XLOOKUP(F885,Ref!$B$3:$B$12,Ref!$C$3:$C$12,"",1)</f>
        <v>1</v>
      </c>
      <c r="L885" s="11">
        <f>_xlfn.XLOOKUP(G885,Ref!$B$3:$B$12,Ref!$C$3:$C$12,"",1)</f>
        <v>2</v>
      </c>
      <c r="M885" s="11">
        <f>_xlfn.XLOOKUP(H885,Ref!$B$3:$B$12,Ref!$C$3:$C$12,"",1)</f>
        <v>2</v>
      </c>
    </row>
    <row r="886" spans="2:13" x14ac:dyDescent="0.25">
      <c r="B886" s="15" t="s">
        <v>12</v>
      </c>
      <c r="C886" s="9">
        <v>42.7</v>
      </c>
      <c r="D886" s="9">
        <v>44.7</v>
      </c>
      <c r="E886" s="10">
        <v>46.4</v>
      </c>
      <c r="F886" s="9">
        <f t="shared" si="55"/>
        <v>13.591832140047863</v>
      </c>
      <c r="G886" s="9">
        <f t="shared" si="56"/>
        <v>14.228451912415444</v>
      </c>
      <c r="H886" s="10">
        <f t="shared" si="57"/>
        <v>14.769578718927887</v>
      </c>
      <c r="K886" s="11">
        <f>_xlfn.XLOOKUP(F886,Ref!$B$3:$B$12,Ref!$C$3:$C$12,"",1)</f>
        <v>1</v>
      </c>
      <c r="L886" s="11">
        <f>_xlfn.XLOOKUP(G886,Ref!$B$3:$B$12,Ref!$C$3:$C$12,"",1)</f>
        <v>1</v>
      </c>
      <c r="M886" s="11">
        <f>_xlfn.XLOOKUP(H886,Ref!$B$3:$B$12,Ref!$C$3:$C$12,"",1)</f>
        <v>1</v>
      </c>
    </row>
    <row r="887" spans="2:13" x14ac:dyDescent="0.25">
      <c r="B887" s="15" t="s">
        <v>25</v>
      </c>
      <c r="C887" s="9">
        <v>39.200000000000003</v>
      </c>
      <c r="D887" s="9">
        <v>39.799999999999997</v>
      </c>
      <c r="E887" s="10">
        <v>40.299999999999997</v>
      </c>
      <c r="F887" s="9">
        <f t="shared" si="55"/>
        <v>12.477747538404596</v>
      </c>
      <c r="G887" s="9">
        <f t="shared" si="56"/>
        <v>12.668733470114868</v>
      </c>
      <c r="H887" s="10">
        <f t="shared" si="57"/>
        <v>12.827888413206765</v>
      </c>
      <c r="K887" s="11">
        <f>_xlfn.XLOOKUP(F887,Ref!$B$3:$B$12,Ref!$C$3:$C$12,"",1)</f>
        <v>1</v>
      </c>
      <c r="L887" s="11">
        <f>_xlfn.XLOOKUP(G887,Ref!$B$3:$B$12,Ref!$C$3:$C$12,"",1)</f>
        <v>1</v>
      </c>
      <c r="M887" s="11">
        <f>_xlfn.XLOOKUP(H887,Ref!$B$3:$B$12,Ref!$C$3:$C$12,"",1)</f>
        <v>1</v>
      </c>
    </row>
    <row r="888" spans="2:13" x14ac:dyDescent="0.25">
      <c r="B888" s="15" t="s">
        <v>12</v>
      </c>
      <c r="C888" s="9">
        <v>51.1</v>
      </c>
      <c r="D888" s="9">
        <v>55.7</v>
      </c>
      <c r="E888" s="10">
        <v>58.5</v>
      </c>
      <c r="F888" s="9">
        <f t="shared" si="55"/>
        <v>16.265635183991705</v>
      </c>
      <c r="G888" s="9">
        <f t="shared" si="56"/>
        <v>17.729860660437144</v>
      </c>
      <c r="H888" s="10">
        <f t="shared" si="57"/>
        <v>18.621128341751756</v>
      </c>
      <c r="K888" s="11">
        <f>_xlfn.XLOOKUP(F888,Ref!$B$3:$B$12,Ref!$C$3:$C$12,"",1)</f>
        <v>1</v>
      </c>
      <c r="L888" s="11">
        <f>_xlfn.XLOOKUP(G888,Ref!$B$3:$B$12,Ref!$C$3:$C$12,"",1)</f>
        <v>1</v>
      </c>
      <c r="M888" s="11">
        <f>_xlfn.XLOOKUP(H888,Ref!$B$3:$B$12,Ref!$C$3:$C$12,"",1)</f>
        <v>1</v>
      </c>
    </row>
    <row r="889" spans="2:13" x14ac:dyDescent="0.25">
      <c r="B889" s="15" t="s">
        <v>12</v>
      </c>
      <c r="C889" s="9">
        <v>38.200000000000003</v>
      </c>
      <c r="D889" s="9">
        <v>41.2</v>
      </c>
      <c r="E889" s="10">
        <v>43</v>
      </c>
      <c r="F889" s="9">
        <f t="shared" si="55"/>
        <v>12.159437652220806</v>
      </c>
      <c r="G889" s="9">
        <f t="shared" si="56"/>
        <v>13.114367310772177</v>
      </c>
      <c r="H889" s="10">
        <f t="shared" si="57"/>
        <v>13.687325105903</v>
      </c>
      <c r="K889" s="11">
        <f>_xlfn.XLOOKUP(F889,Ref!$B$3:$B$12,Ref!$C$3:$C$12,"",1)</f>
        <v>1</v>
      </c>
      <c r="L889" s="11">
        <f>_xlfn.XLOOKUP(G889,Ref!$B$3:$B$12,Ref!$C$3:$C$12,"",1)</f>
        <v>1</v>
      </c>
      <c r="M889" s="11">
        <f>_xlfn.XLOOKUP(H889,Ref!$B$3:$B$12,Ref!$C$3:$C$12,"",1)</f>
        <v>1</v>
      </c>
    </row>
    <row r="890" spans="2:13" x14ac:dyDescent="0.25">
      <c r="B890" s="15" t="s">
        <v>46</v>
      </c>
      <c r="C890" s="9">
        <v>57.5</v>
      </c>
      <c r="D890" s="9">
        <v>57.5</v>
      </c>
      <c r="E890" s="10">
        <v>57.5</v>
      </c>
      <c r="F890" s="9">
        <f t="shared" si="55"/>
        <v>18.302818455567966</v>
      </c>
      <c r="G890" s="9">
        <f t="shared" si="56"/>
        <v>18.302818455567966</v>
      </c>
      <c r="H890" s="10">
        <f t="shared" si="57"/>
        <v>18.302818455567966</v>
      </c>
      <c r="K890" s="11">
        <f>_xlfn.XLOOKUP(F890,Ref!$B$3:$B$12,Ref!$C$3:$C$12,"",1)</f>
        <v>1</v>
      </c>
      <c r="L890" s="11">
        <f>_xlfn.XLOOKUP(G890,Ref!$B$3:$B$12,Ref!$C$3:$C$12,"",1)</f>
        <v>1</v>
      </c>
      <c r="M890" s="11">
        <f>_xlfn.XLOOKUP(H890,Ref!$B$3:$B$12,Ref!$C$3:$C$12,"",1)</f>
        <v>1</v>
      </c>
    </row>
    <row r="891" spans="2:13" x14ac:dyDescent="0.25">
      <c r="B891" s="15" t="s">
        <v>46</v>
      </c>
      <c r="C891" s="9">
        <v>49.9</v>
      </c>
      <c r="D891" s="9">
        <v>53.3</v>
      </c>
      <c r="E891" s="10">
        <v>0</v>
      </c>
      <c r="F891" s="9">
        <f t="shared" si="55"/>
        <v>15.883663320571154</v>
      </c>
      <c r="G891" s="9">
        <f t="shared" si="56"/>
        <v>16.965916933596041</v>
      </c>
      <c r="H891" s="10">
        <f t="shared" si="57"/>
        <v>0</v>
      </c>
      <c r="K891" s="11">
        <f>_xlfn.XLOOKUP(F891,Ref!$B$3:$B$12,Ref!$C$3:$C$12,"",1)</f>
        <v>1</v>
      </c>
      <c r="L891" s="11">
        <f>_xlfn.XLOOKUP(G891,Ref!$B$3:$B$12,Ref!$C$3:$C$12,"",1)</f>
        <v>1</v>
      </c>
      <c r="M891" s="11" t="str">
        <f>_xlfn.XLOOKUP(H891,Ref!$B$3:$B$12,Ref!$C$3:$C$12,"",1)</f>
        <v>Morta</v>
      </c>
    </row>
    <row r="892" spans="2:13" x14ac:dyDescent="0.25">
      <c r="B892" s="15" t="s">
        <v>46</v>
      </c>
      <c r="C892" s="9">
        <v>50.6</v>
      </c>
      <c r="D892" s="9">
        <v>52.3</v>
      </c>
      <c r="E892" s="10">
        <v>53.4</v>
      </c>
      <c r="F892" s="9">
        <f t="shared" si="55"/>
        <v>16.10648024089981</v>
      </c>
      <c r="G892" s="9">
        <f t="shared" si="56"/>
        <v>16.647607047412251</v>
      </c>
      <c r="H892" s="10">
        <f t="shared" si="57"/>
        <v>16.997747922214423</v>
      </c>
      <c r="K892" s="11">
        <f>_xlfn.XLOOKUP(F892,Ref!$B$3:$B$12,Ref!$C$3:$C$12,"",1)</f>
        <v>1</v>
      </c>
      <c r="L892" s="11">
        <f>_xlfn.XLOOKUP(G892,Ref!$B$3:$B$12,Ref!$C$3:$C$12,"",1)</f>
        <v>1</v>
      </c>
      <c r="M892" s="11">
        <f>_xlfn.XLOOKUP(H892,Ref!$B$3:$B$12,Ref!$C$3:$C$12,"",1)</f>
        <v>1</v>
      </c>
    </row>
    <row r="893" spans="2:13" x14ac:dyDescent="0.25">
      <c r="B893" s="15" t="s">
        <v>12</v>
      </c>
      <c r="C893" s="9">
        <v>38.1</v>
      </c>
      <c r="D893" s="9">
        <v>40.299999999999997</v>
      </c>
      <c r="E893" s="10">
        <v>43.2</v>
      </c>
      <c r="F893" s="9">
        <f t="shared" si="55"/>
        <v>12.127606663602425</v>
      </c>
      <c r="G893" s="9">
        <f t="shared" si="56"/>
        <v>12.827888413206765</v>
      </c>
      <c r="H893" s="10">
        <f t="shared" si="57"/>
        <v>13.750987083139758</v>
      </c>
      <c r="K893" s="11">
        <f>_xlfn.XLOOKUP(F893,Ref!$B$3:$B$12,Ref!$C$3:$C$12,"",1)</f>
        <v>1</v>
      </c>
      <c r="L893" s="11">
        <f>_xlfn.XLOOKUP(G893,Ref!$B$3:$B$12,Ref!$C$3:$C$12,"",1)</f>
        <v>1</v>
      </c>
      <c r="M893" s="11">
        <f>_xlfn.XLOOKUP(H893,Ref!$B$3:$B$12,Ref!$C$3:$C$12,"",1)</f>
        <v>1</v>
      </c>
    </row>
    <row r="894" spans="2:13" x14ac:dyDescent="0.25">
      <c r="B894" s="15" t="s">
        <v>46</v>
      </c>
      <c r="C894" s="9">
        <v>31.6</v>
      </c>
      <c r="D894" s="9">
        <v>0</v>
      </c>
      <c r="E894" s="10">
        <v>0</v>
      </c>
      <c r="F894" s="9">
        <f t="shared" si="55"/>
        <v>10.058592403407786</v>
      </c>
      <c r="G894" s="9">
        <f t="shared" si="56"/>
        <v>0</v>
      </c>
      <c r="H894" s="10">
        <f t="shared" si="57"/>
        <v>0</v>
      </c>
      <c r="K894" s="11">
        <f>_xlfn.XLOOKUP(F894,Ref!$B$3:$B$12,Ref!$C$3:$C$12,"",1)</f>
        <v>1</v>
      </c>
      <c r="L894" s="11" t="str">
        <f>_xlfn.XLOOKUP(G894,Ref!$B$3:$B$12,Ref!$C$3:$C$12,"",1)</f>
        <v>Morta</v>
      </c>
      <c r="M894" s="11" t="str">
        <f>_xlfn.XLOOKUP(H894,Ref!$B$3:$B$12,Ref!$C$3:$C$12,"",1)</f>
        <v>Morta</v>
      </c>
    </row>
    <row r="895" spans="2:13" x14ac:dyDescent="0.25">
      <c r="B895" s="15" t="s">
        <v>46</v>
      </c>
      <c r="C895" s="9">
        <v>35</v>
      </c>
      <c r="D895" s="9">
        <v>36</v>
      </c>
      <c r="E895" s="10">
        <v>36</v>
      </c>
      <c r="F895" s="9">
        <f t="shared" si="55"/>
        <v>11.140846016432674</v>
      </c>
      <c r="G895" s="9">
        <f t="shared" si="56"/>
        <v>11.459155902616464</v>
      </c>
      <c r="H895" s="10">
        <f t="shared" si="57"/>
        <v>11.459155902616464</v>
      </c>
      <c r="K895" s="11">
        <f>_xlfn.XLOOKUP(F895,Ref!$B$3:$B$12,Ref!$C$3:$C$12,"",1)</f>
        <v>1</v>
      </c>
      <c r="L895" s="11">
        <f>_xlfn.XLOOKUP(G895,Ref!$B$3:$B$12,Ref!$C$3:$C$12,"",1)</f>
        <v>1</v>
      </c>
      <c r="M895" s="11">
        <f>_xlfn.XLOOKUP(H895,Ref!$B$3:$B$12,Ref!$C$3:$C$12,"",1)</f>
        <v>1</v>
      </c>
    </row>
    <row r="896" spans="2:13" x14ac:dyDescent="0.25">
      <c r="B896" s="15" t="s">
        <v>46</v>
      </c>
      <c r="C896" s="9">
        <v>41.7</v>
      </c>
      <c r="D896" s="9">
        <v>44.5</v>
      </c>
      <c r="E896" s="10">
        <v>46.8</v>
      </c>
      <c r="F896" s="9">
        <f t="shared" si="55"/>
        <v>13.273522253864073</v>
      </c>
      <c r="G896" s="9">
        <f t="shared" si="56"/>
        <v>14.164789935178685</v>
      </c>
      <c r="H896" s="10">
        <f t="shared" si="57"/>
        <v>14.896902673401403</v>
      </c>
      <c r="K896" s="11">
        <f>_xlfn.XLOOKUP(F896,Ref!$B$3:$B$12,Ref!$C$3:$C$12,"",1)</f>
        <v>1</v>
      </c>
      <c r="L896" s="11">
        <f>_xlfn.XLOOKUP(G896,Ref!$B$3:$B$12,Ref!$C$3:$C$12,"",1)</f>
        <v>1</v>
      </c>
      <c r="M896" s="11">
        <f>_xlfn.XLOOKUP(H896,Ref!$B$3:$B$12,Ref!$C$3:$C$12,"",1)</f>
        <v>1</v>
      </c>
    </row>
    <row r="897" spans="2:13" x14ac:dyDescent="0.25">
      <c r="B897" s="15" t="s">
        <v>7</v>
      </c>
      <c r="C897" s="9">
        <v>73</v>
      </c>
      <c r="D897" s="9">
        <v>76</v>
      </c>
      <c r="E897" s="10">
        <v>77.099999999999994</v>
      </c>
      <c r="F897" s="9">
        <f t="shared" si="55"/>
        <v>23.236621691416719</v>
      </c>
      <c r="G897" s="9">
        <f t="shared" si="56"/>
        <v>24.191551349968091</v>
      </c>
      <c r="H897" s="10">
        <f t="shared" si="57"/>
        <v>24.541692224770259</v>
      </c>
      <c r="K897" s="11">
        <f>_xlfn.XLOOKUP(F897,Ref!$B$3:$B$12,Ref!$C$3:$C$12,"",1)</f>
        <v>2</v>
      </c>
      <c r="L897" s="11">
        <f>_xlfn.XLOOKUP(G897,Ref!$B$3:$B$12,Ref!$C$3:$C$12,"",1)</f>
        <v>2</v>
      </c>
      <c r="M897" s="11">
        <f>_xlfn.XLOOKUP(H897,Ref!$B$3:$B$12,Ref!$C$3:$C$12,"",1)</f>
        <v>2</v>
      </c>
    </row>
    <row r="898" spans="2:13" x14ac:dyDescent="0.25">
      <c r="B898" s="15" t="s">
        <v>65</v>
      </c>
      <c r="C898" s="9">
        <v>100</v>
      </c>
      <c r="D898" s="9">
        <v>109.8</v>
      </c>
      <c r="E898" s="10">
        <v>110.7</v>
      </c>
      <c r="F898" s="9">
        <f t="shared" si="55"/>
        <v>31.830988618379067</v>
      </c>
      <c r="G898" s="9">
        <f t="shared" si="56"/>
        <v>34.950425502980217</v>
      </c>
      <c r="H898" s="10">
        <f t="shared" si="57"/>
        <v>35.236904400545633</v>
      </c>
      <c r="K898" s="11">
        <f>_xlfn.XLOOKUP(F898,Ref!$B$3:$B$12,Ref!$C$3:$C$12,"",1)</f>
        <v>3</v>
      </c>
      <c r="L898" s="11">
        <f>_xlfn.XLOOKUP(G898,Ref!$B$3:$B$12,Ref!$C$3:$C$12,"",1)</f>
        <v>3</v>
      </c>
      <c r="M898" s="11">
        <f>_xlfn.XLOOKUP(H898,Ref!$B$3:$B$12,Ref!$C$3:$C$12,"",1)</f>
        <v>3</v>
      </c>
    </row>
    <row r="899" spans="2:13" x14ac:dyDescent="0.25">
      <c r="B899" s="15" t="s">
        <v>5</v>
      </c>
      <c r="C899" s="9">
        <v>33.1</v>
      </c>
      <c r="D899" s="9">
        <v>34.4</v>
      </c>
      <c r="E899" s="10">
        <v>34.4</v>
      </c>
      <c r="F899" s="9">
        <f t="shared" si="55"/>
        <v>10.536057232683472</v>
      </c>
      <c r="G899" s="9">
        <f t="shared" si="56"/>
        <v>10.949860084722399</v>
      </c>
      <c r="H899" s="10">
        <f t="shared" si="57"/>
        <v>10.949860084722399</v>
      </c>
      <c r="K899" s="11">
        <f>_xlfn.XLOOKUP(F899,Ref!$B$3:$B$12,Ref!$C$3:$C$12,"",1)</f>
        <v>1</v>
      </c>
      <c r="L899" s="11">
        <f>_xlfn.XLOOKUP(G899,Ref!$B$3:$B$12,Ref!$C$3:$C$12,"",1)</f>
        <v>1</v>
      </c>
      <c r="M899" s="11">
        <f>_xlfn.XLOOKUP(H899,Ref!$B$3:$B$12,Ref!$C$3:$C$12,"",1)</f>
        <v>1</v>
      </c>
    </row>
    <row r="900" spans="2:13" x14ac:dyDescent="0.25">
      <c r="B900" s="15" t="s">
        <v>25</v>
      </c>
      <c r="C900" s="9">
        <v>51.8</v>
      </c>
      <c r="D900" s="9">
        <v>55</v>
      </c>
      <c r="E900" s="10">
        <v>55</v>
      </c>
      <c r="F900" s="9">
        <f t="shared" si="55"/>
        <v>16.488452104320356</v>
      </c>
      <c r="G900" s="9">
        <f t="shared" si="56"/>
        <v>17.507043740108486</v>
      </c>
      <c r="H900" s="10">
        <f t="shared" si="57"/>
        <v>17.507043740108486</v>
      </c>
      <c r="K900" s="11">
        <f>_xlfn.XLOOKUP(F900,Ref!$B$3:$B$12,Ref!$C$3:$C$12,"",1)</f>
        <v>1</v>
      </c>
      <c r="L900" s="11">
        <f>_xlfn.XLOOKUP(G900,Ref!$B$3:$B$12,Ref!$C$3:$C$12,"",1)</f>
        <v>1</v>
      </c>
      <c r="M900" s="11">
        <f>_xlfn.XLOOKUP(H900,Ref!$B$3:$B$12,Ref!$C$3:$C$12,"",1)</f>
        <v>1</v>
      </c>
    </row>
    <row r="901" spans="2:13" x14ac:dyDescent="0.25">
      <c r="B901" s="15" t="s">
        <v>46</v>
      </c>
      <c r="C901" s="9">
        <v>54</v>
      </c>
      <c r="D901" s="9">
        <v>58.2</v>
      </c>
      <c r="E901" s="10">
        <v>59.8</v>
      </c>
      <c r="F901" s="9">
        <f t="shared" si="55"/>
        <v>17.188733853924695</v>
      </c>
      <c r="G901" s="9">
        <f t="shared" si="56"/>
        <v>18.52563537589662</v>
      </c>
      <c r="H901" s="10">
        <f t="shared" si="57"/>
        <v>19.034931193790683</v>
      </c>
      <c r="K901" s="11">
        <f>_xlfn.XLOOKUP(F901,Ref!$B$3:$B$12,Ref!$C$3:$C$12,"",1)</f>
        <v>1</v>
      </c>
      <c r="L901" s="11">
        <f>_xlfn.XLOOKUP(G901,Ref!$B$3:$B$12,Ref!$C$3:$C$12,"",1)</f>
        <v>1</v>
      </c>
      <c r="M901" s="11">
        <f>_xlfn.XLOOKUP(H901,Ref!$B$3:$B$12,Ref!$C$3:$C$12,"",1)</f>
        <v>1</v>
      </c>
    </row>
    <row r="902" spans="2:13" x14ac:dyDescent="0.25">
      <c r="B902" s="15" t="s">
        <v>46</v>
      </c>
      <c r="C902" s="9">
        <v>44.1</v>
      </c>
      <c r="D902" s="9">
        <v>0</v>
      </c>
      <c r="E902" s="10">
        <v>0</v>
      </c>
      <c r="F902" s="9">
        <f t="shared" si="55"/>
        <v>14.03746598070517</v>
      </c>
      <c r="G902" s="9">
        <f t="shared" si="56"/>
        <v>0</v>
      </c>
      <c r="H902" s="10">
        <f t="shared" si="57"/>
        <v>0</v>
      </c>
      <c r="K902" s="11">
        <f>_xlfn.XLOOKUP(F902,Ref!$B$3:$B$12,Ref!$C$3:$C$12,"",1)</f>
        <v>1</v>
      </c>
      <c r="L902" s="11" t="str">
        <f>_xlfn.XLOOKUP(G902,Ref!$B$3:$B$12,Ref!$C$3:$C$12,"",1)</f>
        <v>Morta</v>
      </c>
      <c r="M902" s="11" t="str">
        <f>_xlfn.XLOOKUP(H902,Ref!$B$3:$B$12,Ref!$C$3:$C$12,"",1)</f>
        <v>Morta</v>
      </c>
    </row>
    <row r="903" spans="2:13" x14ac:dyDescent="0.25">
      <c r="B903" s="15" t="s">
        <v>25</v>
      </c>
      <c r="C903" s="9">
        <v>37.700000000000003</v>
      </c>
      <c r="D903" s="9">
        <v>39.299999999999997</v>
      </c>
      <c r="E903" s="10">
        <v>42.2</v>
      </c>
      <c r="F903" s="9">
        <f t="shared" si="55"/>
        <v>12.000282709128909</v>
      </c>
      <c r="G903" s="9">
        <f t="shared" si="56"/>
        <v>12.509578527022972</v>
      </c>
      <c r="H903" s="10">
        <f t="shared" si="57"/>
        <v>13.432677196955968</v>
      </c>
      <c r="K903" s="11">
        <f>_xlfn.XLOOKUP(F903,Ref!$B$3:$B$12,Ref!$C$3:$C$12,"",1)</f>
        <v>1</v>
      </c>
      <c r="L903" s="11">
        <f>_xlfn.XLOOKUP(G903,Ref!$B$3:$B$12,Ref!$C$3:$C$12,"",1)</f>
        <v>1</v>
      </c>
      <c r="M903" s="11">
        <f>_xlfn.XLOOKUP(H903,Ref!$B$3:$B$12,Ref!$C$3:$C$12,"",1)</f>
        <v>1</v>
      </c>
    </row>
    <row r="904" spans="2:13" x14ac:dyDescent="0.25">
      <c r="B904" s="15" t="s">
        <v>46</v>
      </c>
      <c r="C904" s="9">
        <v>68.900000000000006</v>
      </c>
      <c r="D904" s="9">
        <v>0</v>
      </c>
      <c r="E904" s="10">
        <v>68.900000000000006</v>
      </c>
      <c r="F904" s="9">
        <f t="shared" si="55"/>
        <v>21.931551158063179</v>
      </c>
      <c r="G904" s="9">
        <f t="shared" si="56"/>
        <v>0</v>
      </c>
      <c r="H904" s="10">
        <f t="shared" si="57"/>
        <v>21.931551158063179</v>
      </c>
      <c r="K904" s="11">
        <f>_xlfn.XLOOKUP(F904,Ref!$B$3:$B$12,Ref!$C$3:$C$12,"",1)</f>
        <v>2</v>
      </c>
      <c r="L904" s="11" t="str">
        <f>_xlfn.XLOOKUP(G904,Ref!$B$3:$B$12,Ref!$C$3:$C$12,"",1)</f>
        <v>Morta</v>
      </c>
      <c r="M904" s="11">
        <f>_xlfn.XLOOKUP(H904,Ref!$B$3:$B$12,Ref!$C$3:$C$12,"",1)</f>
        <v>2</v>
      </c>
    </row>
    <row r="905" spans="2:13" x14ac:dyDescent="0.25">
      <c r="B905" s="15" t="s">
        <v>45</v>
      </c>
      <c r="C905" s="9">
        <v>36.9</v>
      </c>
      <c r="D905" s="9">
        <v>40.799999999999997</v>
      </c>
      <c r="E905" s="10">
        <v>44.3</v>
      </c>
      <c r="F905" s="9">
        <f t="shared" si="55"/>
        <v>11.745634800181875</v>
      </c>
      <c r="G905" s="9">
        <f t="shared" si="56"/>
        <v>12.98704335629866</v>
      </c>
      <c r="H905" s="10">
        <f t="shared" si="57"/>
        <v>14.101127957941927</v>
      </c>
      <c r="K905" s="11">
        <f>_xlfn.XLOOKUP(F905,Ref!$B$3:$B$12,Ref!$C$3:$C$12,"",1)</f>
        <v>1</v>
      </c>
      <c r="L905" s="11">
        <f>_xlfn.XLOOKUP(G905,Ref!$B$3:$B$12,Ref!$C$3:$C$12,"",1)</f>
        <v>1</v>
      </c>
      <c r="M905" s="11">
        <f>_xlfn.XLOOKUP(H905,Ref!$B$3:$B$12,Ref!$C$3:$C$12,"",1)</f>
        <v>1</v>
      </c>
    </row>
    <row r="906" spans="2:13" x14ac:dyDescent="0.25">
      <c r="B906" s="15" t="s">
        <v>26</v>
      </c>
      <c r="C906" s="9">
        <v>149.19999999999999</v>
      </c>
      <c r="D906" s="9">
        <v>159</v>
      </c>
      <c r="E906" s="10">
        <v>168</v>
      </c>
      <c r="F906" s="9">
        <f t="shared" si="55"/>
        <v>47.491835018621565</v>
      </c>
      <c r="G906" s="9">
        <f t="shared" si="56"/>
        <v>50.611271903222722</v>
      </c>
      <c r="H906" s="10">
        <f t="shared" si="57"/>
        <v>53.476060878876837</v>
      </c>
      <c r="K906" s="11">
        <f>_xlfn.XLOOKUP(F906,Ref!$B$3:$B$12,Ref!$C$3:$C$12,"",1)</f>
        <v>4</v>
      </c>
      <c r="L906" s="11">
        <f>_xlfn.XLOOKUP(G906,Ref!$B$3:$B$12,Ref!$C$3:$C$12,"",1)</f>
        <v>5</v>
      </c>
      <c r="M906" s="11">
        <f>_xlfn.XLOOKUP(H906,Ref!$B$3:$B$12,Ref!$C$3:$C$12,"",1)</f>
        <v>5</v>
      </c>
    </row>
    <row r="907" spans="2:13" x14ac:dyDescent="0.25">
      <c r="B907" s="15" t="s">
        <v>8</v>
      </c>
      <c r="C907" s="9">
        <v>36.299999999999997</v>
      </c>
      <c r="D907" s="9">
        <v>40.299999999999997</v>
      </c>
      <c r="E907" s="10">
        <v>43.9</v>
      </c>
      <c r="F907" s="9">
        <f t="shared" ref="F907:F966" si="58">IF(C907="", "", C907/PI())</f>
        <v>11.554648868471601</v>
      </c>
      <c r="G907" s="9">
        <f t="shared" ref="G907:G966" si="59">IF(D907="", "", D907/PI())</f>
        <v>12.827888413206765</v>
      </c>
      <c r="H907" s="10">
        <f t="shared" ref="H907:H966" si="60">IF(E907="", "", E907/PI())</f>
        <v>13.973804003468411</v>
      </c>
      <c r="K907" s="11">
        <f>_xlfn.XLOOKUP(F907,Ref!$B$3:$B$12,Ref!$C$3:$C$12,"",1)</f>
        <v>1</v>
      </c>
      <c r="L907" s="11">
        <f>_xlfn.XLOOKUP(G907,Ref!$B$3:$B$12,Ref!$C$3:$C$12,"",1)</f>
        <v>1</v>
      </c>
      <c r="M907" s="11">
        <f>_xlfn.XLOOKUP(H907,Ref!$B$3:$B$12,Ref!$C$3:$C$12,"",1)</f>
        <v>1</v>
      </c>
    </row>
    <row r="908" spans="2:13" x14ac:dyDescent="0.25">
      <c r="B908" s="15" t="s">
        <v>12</v>
      </c>
      <c r="C908" s="9">
        <v>36.799999999999997</v>
      </c>
      <c r="D908" s="9">
        <v>38.6</v>
      </c>
      <c r="E908" s="10">
        <v>38.6</v>
      </c>
      <c r="F908" s="9">
        <f t="shared" si="58"/>
        <v>11.713803811563496</v>
      </c>
      <c r="G908" s="9">
        <f t="shared" si="59"/>
        <v>12.286761606694322</v>
      </c>
      <c r="H908" s="10">
        <f t="shared" si="60"/>
        <v>12.286761606694322</v>
      </c>
      <c r="K908" s="11">
        <f>_xlfn.XLOOKUP(F908,Ref!$B$3:$B$12,Ref!$C$3:$C$12,"",1)</f>
        <v>1</v>
      </c>
      <c r="L908" s="11">
        <f>_xlfn.XLOOKUP(G908,Ref!$B$3:$B$12,Ref!$C$3:$C$12,"",1)</f>
        <v>1</v>
      </c>
      <c r="M908" s="11">
        <f>_xlfn.XLOOKUP(H908,Ref!$B$3:$B$12,Ref!$C$3:$C$12,"",1)</f>
        <v>1</v>
      </c>
    </row>
    <row r="909" spans="2:13" x14ac:dyDescent="0.25">
      <c r="B909" s="15" t="s">
        <v>12</v>
      </c>
      <c r="C909" s="9">
        <v>49.4</v>
      </c>
      <c r="D909" s="9">
        <v>52.5</v>
      </c>
      <c r="E909" s="10">
        <v>55.2</v>
      </c>
      <c r="F909" s="9">
        <f t="shared" si="58"/>
        <v>15.724508377479259</v>
      </c>
      <c r="G909" s="9">
        <f t="shared" si="59"/>
        <v>16.71126902464901</v>
      </c>
      <c r="H909" s="10">
        <f t="shared" si="60"/>
        <v>17.570705717345248</v>
      </c>
      <c r="K909" s="11">
        <f>_xlfn.XLOOKUP(F909,Ref!$B$3:$B$12,Ref!$C$3:$C$12,"",1)</f>
        <v>1</v>
      </c>
      <c r="L909" s="11">
        <f>_xlfn.XLOOKUP(G909,Ref!$B$3:$B$12,Ref!$C$3:$C$12,"",1)</f>
        <v>1</v>
      </c>
      <c r="M909" s="11">
        <f>_xlfn.XLOOKUP(H909,Ref!$B$3:$B$12,Ref!$C$3:$C$12,"",1)</f>
        <v>1</v>
      </c>
    </row>
    <row r="910" spans="2:13" x14ac:dyDescent="0.25">
      <c r="B910" s="15" t="s">
        <v>12</v>
      </c>
      <c r="C910" s="9">
        <v>33.299999999999997</v>
      </c>
      <c r="D910" s="9">
        <v>34.5</v>
      </c>
      <c r="E910" s="10">
        <v>35.1</v>
      </c>
      <c r="F910" s="9">
        <f t="shared" si="58"/>
        <v>10.599719209920229</v>
      </c>
      <c r="G910" s="9">
        <f t="shared" si="59"/>
        <v>10.981691073340778</v>
      </c>
      <c r="H910" s="10">
        <f t="shared" si="60"/>
        <v>11.172677005051053</v>
      </c>
      <c r="K910" s="11">
        <f>_xlfn.XLOOKUP(F910,Ref!$B$3:$B$12,Ref!$C$3:$C$12,"",1)</f>
        <v>1</v>
      </c>
      <c r="L910" s="11">
        <f>_xlfn.XLOOKUP(G910,Ref!$B$3:$B$12,Ref!$C$3:$C$12,"",1)</f>
        <v>1</v>
      </c>
      <c r="M910" s="11">
        <f>_xlfn.XLOOKUP(H910,Ref!$B$3:$B$12,Ref!$C$3:$C$12,"",1)</f>
        <v>1</v>
      </c>
    </row>
    <row r="911" spans="2:13" x14ac:dyDescent="0.25">
      <c r="B911" s="15" t="s">
        <v>32</v>
      </c>
      <c r="C911" s="9">
        <v>42.1</v>
      </c>
      <c r="D911" s="9">
        <v>40.799999999999997</v>
      </c>
      <c r="E911" s="10">
        <v>42.1</v>
      </c>
      <c r="F911" s="9">
        <f t="shared" si="58"/>
        <v>13.400846208337589</v>
      </c>
      <c r="G911" s="9">
        <f t="shared" si="59"/>
        <v>12.98704335629866</v>
      </c>
      <c r="H911" s="10">
        <f t="shared" si="60"/>
        <v>13.400846208337589</v>
      </c>
      <c r="K911" s="11">
        <f>_xlfn.XLOOKUP(F911,Ref!$B$3:$B$12,Ref!$C$3:$C$12,"",1)</f>
        <v>1</v>
      </c>
      <c r="L911" s="11">
        <f>_xlfn.XLOOKUP(G911,Ref!$B$3:$B$12,Ref!$C$3:$C$12,"",1)</f>
        <v>1</v>
      </c>
      <c r="M911" s="11">
        <f>_xlfn.XLOOKUP(H911,Ref!$B$3:$B$12,Ref!$C$3:$C$12,"",1)</f>
        <v>1</v>
      </c>
    </row>
    <row r="912" spans="2:13" x14ac:dyDescent="0.25">
      <c r="B912" s="15" t="s">
        <v>32</v>
      </c>
      <c r="C912" s="9"/>
      <c r="D912" s="9"/>
      <c r="E912" s="10">
        <v>32</v>
      </c>
      <c r="F912" s="9" t="str">
        <f t="shared" si="58"/>
        <v/>
      </c>
      <c r="G912" s="9" t="str">
        <f t="shared" si="59"/>
        <v/>
      </c>
      <c r="H912" s="10">
        <f t="shared" si="60"/>
        <v>10.185916357881302</v>
      </c>
      <c r="K912" s="11" t="str">
        <f>_xlfn.XLOOKUP(F912,Ref!$B$3:$B$12,Ref!$C$3:$C$12,"",1)</f>
        <v/>
      </c>
      <c r="L912" s="11" t="str">
        <f>_xlfn.XLOOKUP(G912,Ref!$B$3:$B$12,Ref!$C$3:$C$12,"",1)</f>
        <v/>
      </c>
      <c r="M912" s="11">
        <f>_xlfn.XLOOKUP(H912,Ref!$B$3:$B$12,Ref!$C$3:$C$12,"",1)</f>
        <v>1</v>
      </c>
    </row>
    <row r="913" spans="2:13" x14ac:dyDescent="0.25">
      <c r="B913" s="15" t="s">
        <v>12</v>
      </c>
      <c r="C913" s="9">
        <v>34.700000000000003</v>
      </c>
      <c r="D913" s="9">
        <v>37.1</v>
      </c>
      <c r="E913" s="10">
        <v>37.1</v>
      </c>
      <c r="F913" s="9">
        <f t="shared" si="58"/>
        <v>11.045353050577537</v>
      </c>
      <c r="G913" s="9">
        <f t="shared" si="59"/>
        <v>11.809296777418634</v>
      </c>
      <c r="H913" s="10">
        <f t="shared" si="60"/>
        <v>11.809296777418634</v>
      </c>
      <c r="K913" s="11">
        <f>_xlfn.XLOOKUP(F913,Ref!$B$3:$B$12,Ref!$C$3:$C$12,"",1)</f>
        <v>1</v>
      </c>
      <c r="L913" s="11">
        <f>_xlfn.XLOOKUP(G913,Ref!$B$3:$B$12,Ref!$C$3:$C$12,"",1)</f>
        <v>1</v>
      </c>
      <c r="M913" s="11">
        <f>_xlfn.XLOOKUP(H913,Ref!$B$3:$B$12,Ref!$C$3:$C$12,"",1)</f>
        <v>1</v>
      </c>
    </row>
    <row r="914" spans="2:13" x14ac:dyDescent="0.25">
      <c r="B914" s="15" t="s">
        <v>30</v>
      </c>
      <c r="C914" s="9">
        <v>35.5</v>
      </c>
      <c r="D914" s="9">
        <v>39.1</v>
      </c>
      <c r="E914" s="10">
        <v>43.2</v>
      </c>
      <c r="F914" s="9">
        <f t="shared" si="58"/>
        <v>11.300000959524569</v>
      </c>
      <c r="G914" s="9">
        <f t="shared" si="59"/>
        <v>12.445916549786217</v>
      </c>
      <c r="H914" s="10">
        <f t="shared" si="60"/>
        <v>13.750987083139758</v>
      </c>
      <c r="K914" s="11">
        <f>_xlfn.XLOOKUP(F914,Ref!$B$3:$B$12,Ref!$C$3:$C$12,"",1)</f>
        <v>1</v>
      </c>
      <c r="L914" s="11">
        <f>_xlfn.XLOOKUP(G914,Ref!$B$3:$B$12,Ref!$C$3:$C$12,"",1)</f>
        <v>1</v>
      </c>
      <c r="M914" s="11">
        <f>_xlfn.XLOOKUP(H914,Ref!$B$3:$B$12,Ref!$C$3:$C$12,"",1)</f>
        <v>1</v>
      </c>
    </row>
    <row r="915" spans="2:13" x14ac:dyDescent="0.25">
      <c r="B915" s="15" t="s">
        <v>12</v>
      </c>
      <c r="C915" s="9">
        <v>38.299999999999997</v>
      </c>
      <c r="D915" s="9">
        <v>41</v>
      </c>
      <c r="E915" s="10">
        <v>42.2</v>
      </c>
      <c r="F915" s="9">
        <f t="shared" si="58"/>
        <v>12.191268640839182</v>
      </c>
      <c r="G915" s="9">
        <f t="shared" si="59"/>
        <v>13.050705333535419</v>
      </c>
      <c r="H915" s="10">
        <f t="shared" si="60"/>
        <v>13.432677196955968</v>
      </c>
      <c r="K915" s="11">
        <f>_xlfn.XLOOKUP(F915,Ref!$B$3:$B$12,Ref!$C$3:$C$12,"",1)</f>
        <v>1</v>
      </c>
      <c r="L915" s="11">
        <f>_xlfn.XLOOKUP(G915,Ref!$B$3:$B$12,Ref!$C$3:$C$12,"",1)</f>
        <v>1</v>
      </c>
      <c r="M915" s="11">
        <f>_xlfn.XLOOKUP(H915,Ref!$B$3:$B$12,Ref!$C$3:$C$12,"",1)</f>
        <v>1</v>
      </c>
    </row>
    <row r="916" spans="2:13" x14ac:dyDescent="0.25">
      <c r="B916" s="15" t="s">
        <v>12</v>
      </c>
      <c r="C916" s="9">
        <v>39.5</v>
      </c>
      <c r="D916" s="9">
        <v>41.9</v>
      </c>
      <c r="E916" s="10">
        <v>42.9</v>
      </c>
      <c r="F916" s="9">
        <f t="shared" si="58"/>
        <v>12.573240504259733</v>
      </c>
      <c r="G916" s="9">
        <f t="shared" si="59"/>
        <v>13.33718423110083</v>
      </c>
      <c r="H916" s="10">
        <f t="shared" si="60"/>
        <v>13.65549411728462</v>
      </c>
      <c r="K916" s="11">
        <f>_xlfn.XLOOKUP(F916,Ref!$B$3:$B$12,Ref!$C$3:$C$12,"",1)</f>
        <v>1</v>
      </c>
      <c r="L916" s="11">
        <f>_xlfn.XLOOKUP(G916,Ref!$B$3:$B$12,Ref!$C$3:$C$12,"",1)</f>
        <v>1</v>
      </c>
      <c r="M916" s="11">
        <f>_xlfn.XLOOKUP(H916,Ref!$B$3:$B$12,Ref!$C$3:$C$12,"",1)</f>
        <v>1</v>
      </c>
    </row>
    <row r="917" spans="2:13" x14ac:dyDescent="0.25">
      <c r="B917" s="15" t="s">
        <v>12</v>
      </c>
      <c r="C917" s="9">
        <v>40</v>
      </c>
      <c r="D917" s="9">
        <v>44</v>
      </c>
      <c r="E917" s="10">
        <v>45.6</v>
      </c>
      <c r="F917" s="9">
        <f t="shared" si="58"/>
        <v>12.732395447351628</v>
      </c>
      <c r="G917" s="9">
        <f t="shared" si="59"/>
        <v>14.00563499208679</v>
      </c>
      <c r="H917" s="10">
        <f t="shared" si="60"/>
        <v>14.514930809980855</v>
      </c>
      <c r="K917" s="11">
        <f>_xlfn.XLOOKUP(F917,Ref!$B$3:$B$12,Ref!$C$3:$C$12,"",1)</f>
        <v>1</v>
      </c>
      <c r="L917" s="11">
        <f>_xlfn.XLOOKUP(G917,Ref!$B$3:$B$12,Ref!$C$3:$C$12,"",1)</f>
        <v>1</v>
      </c>
      <c r="M917" s="11">
        <f>_xlfn.XLOOKUP(H917,Ref!$B$3:$B$12,Ref!$C$3:$C$12,"",1)</f>
        <v>1</v>
      </c>
    </row>
    <row r="918" spans="2:13" x14ac:dyDescent="0.25">
      <c r="B918" s="15" t="s">
        <v>12</v>
      </c>
      <c r="C918" s="9"/>
      <c r="D918" s="9">
        <v>33.1</v>
      </c>
      <c r="E918" s="10">
        <v>36.4</v>
      </c>
      <c r="F918" s="9" t="str">
        <f t="shared" si="58"/>
        <v/>
      </c>
      <c r="G918" s="9">
        <f t="shared" si="59"/>
        <v>10.536057232683472</v>
      </c>
      <c r="H918" s="10">
        <f t="shared" si="60"/>
        <v>11.58647985708998</v>
      </c>
      <c r="K918" s="11" t="str">
        <f>_xlfn.XLOOKUP(F918,Ref!$B$3:$B$12,Ref!$C$3:$C$12,"",1)</f>
        <v/>
      </c>
      <c r="L918" s="11">
        <f>_xlfn.XLOOKUP(G918,Ref!$B$3:$B$12,Ref!$C$3:$C$12,"",1)</f>
        <v>1</v>
      </c>
      <c r="M918" s="11">
        <f>_xlfn.XLOOKUP(H918,Ref!$B$3:$B$12,Ref!$C$3:$C$12,"",1)</f>
        <v>1</v>
      </c>
    </row>
    <row r="919" spans="2:13" x14ac:dyDescent="0.25">
      <c r="B919" s="15" t="s">
        <v>6</v>
      </c>
      <c r="C919" s="9"/>
      <c r="D919" s="9">
        <v>31.6</v>
      </c>
      <c r="E919" s="10">
        <v>33.200000000000003</v>
      </c>
      <c r="F919" s="9" t="str">
        <f t="shared" si="58"/>
        <v/>
      </c>
      <c r="G919" s="9">
        <f t="shared" si="59"/>
        <v>10.058592403407786</v>
      </c>
      <c r="H919" s="10">
        <f t="shared" si="60"/>
        <v>10.567888221301851</v>
      </c>
      <c r="K919" s="11" t="str">
        <f>_xlfn.XLOOKUP(F919,Ref!$B$3:$B$12,Ref!$C$3:$C$12,"",1)</f>
        <v/>
      </c>
      <c r="L919" s="11">
        <f>_xlfn.XLOOKUP(G919,Ref!$B$3:$B$12,Ref!$C$3:$C$12,"",1)</f>
        <v>1</v>
      </c>
      <c r="M919" s="11">
        <f>_xlfn.XLOOKUP(H919,Ref!$B$3:$B$12,Ref!$C$3:$C$12,"",1)</f>
        <v>1</v>
      </c>
    </row>
    <row r="920" spans="2:13" x14ac:dyDescent="0.25">
      <c r="B920" s="15" t="s">
        <v>6</v>
      </c>
      <c r="C920" s="9"/>
      <c r="D920" s="9"/>
      <c r="E920" s="10">
        <v>31.8</v>
      </c>
      <c r="F920" s="9" t="str">
        <f t="shared" si="58"/>
        <v/>
      </c>
      <c r="G920" s="9" t="str">
        <f t="shared" si="59"/>
        <v/>
      </c>
      <c r="H920" s="10">
        <f t="shared" si="60"/>
        <v>10.122254380644543</v>
      </c>
      <c r="K920" s="11" t="str">
        <f>_xlfn.XLOOKUP(F920,Ref!$B$3:$B$12,Ref!$C$3:$C$12,"",1)</f>
        <v/>
      </c>
      <c r="L920" s="11" t="str">
        <f>_xlfn.XLOOKUP(G920,Ref!$B$3:$B$12,Ref!$C$3:$C$12,"",1)</f>
        <v/>
      </c>
      <c r="M920" s="11">
        <f>_xlfn.XLOOKUP(H920,Ref!$B$3:$B$12,Ref!$C$3:$C$12,"",1)</f>
        <v>1</v>
      </c>
    </row>
    <row r="921" spans="2:13" x14ac:dyDescent="0.25">
      <c r="B921" s="15" t="s">
        <v>26</v>
      </c>
      <c r="C921" s="9">
        <v>180.5</v>
      </c>
      <c r="D921" s="9">
        <v>194</v>
      </c>
      <c r="E921" s="10">
        <v>200.7</v>
      </c>
      <c r="F921" s="9">
        <f t="shared" si="58"/>
        <v>57.454934456174222</v>
      </c>
      <c r="G921" s="9">
        <f t="shared" si="59"/>
        <v>61.75211791965539</v>
      </c>
      <c r="H921" s="10">
        <f t="shared" si="60"/>
        <v>63.884794157086787</v>
      </c>
      <c r="K921" s="11">
        <f>_xlfn.XLOOKUP(F921,Ref!$B$3:$B$12,Ref!$C$3:$C$12,"",1)</f>
        <v>5</v>
      </c>
      <c r="L921" s="11">
        <f>_xlfn.XLOOKUP(G921,Ref!$B$3:$B$12,Ref!$C$3:$C$12,"",1)</f>
        <v>6</v>
      </c>
      <c r="M921" s="11">
        <f>_xlfn.XLOOKUP(H921,Ref!$B$3:$B$12,Ref!$C$3:$C$12,"",1)</f>
        <v>6</v>
      </c>
    </row>
    <row r="922" spans="2:13" x14ac:dyDescent="0.25">
      <c r="B922" s="15" t="s">
        <v>10</v>
      </c>
      <c r="C922" s="9"/>
      <c r="D922" s="9"/>
      <c r="E922" s="10">
        <v>31.5</v>
      </c>
      <c r="F922" s="9" t="str">
        <f t="shared" si="58"/>
        <v/>
      </c>
      <c r="G922" s="9" t="str">
        <f t="shared" si="59"/>
        <v/>
      </c>
      <c r="H922" s="10">
        <f t="shared" si="60"/>
        <v>10.026761414789407</v>
      </c>
      <c r="K922" s="11" t="str">
        <f>_xlfn.XLOOKUP(F922,Ref!$B$3:$B$12,Ref!$C$3:$C$12,"",1)</f>
        <v/>
      </c>
      <c r="L922" s="11" t="str">
        <f>_xlfn.XLOOKUP(G922,Ref!$B$3:$B$12,Ref!$C$3:$C$12,"",1)</f>
        <v/>
      </c>
      <c r="M922" s="11">
        <f>_xlfn.XLOOKUP(H922,Ref!$B$3:$B$12,Ref!$C$3:$C$12,"",1)</f>
        <v>1</v>
      </c>
    </row>
    <row r="923" spans="2:13" x14ac:dyDescent="0.25">
      <c r="B923" s="15" t="s">
        <v>12</v>
      </c>
      <c r="C923" s="9">
        <v>34.299999999999997</v>
      </c>
      <c r="D923" s="9">
        <v>37.9</v>
      </c>
      <c r="E923" s="10">
        <v>40</v>
      </c>
      <c r="F923" s="9">
        <f t="shared" si="58"/>
        <v>10.91802909610402</v>
      </c>
      <c r="G923" s="9">
        <f t="shared" si="59"/>
        <v>12.063944686365666</v>
      </c>
      <c r="H923" s="10">
        <f t="shared" si="60"/>
        <v>12.732395447351628</v>
      </c>
      <c r="K923" s="11">
        <f>_xlfn.XLOOKUP(F923,Ref!$B$3:$B$12,Ref!$C$3:$C$12,"",1)</f>
        <v>1</v>
      </c>
      <c r="L923" s="11">
        <f>_xlfn.XLOOKUP(G923,Ref!$B$3:$B$12,Ref!$C$3:$C$12,"",1)</f>
        <v>1</v>
      </c>
      <c r="M923" s="11">
        <f>_xlfn.XLOOKUP(H923,Ref!$B$3:$B$12,Ref!$C$3:$C$12,"",1)</f>
        <v>1</v>
      </c>
    </row>
    <row r="924" spans="2:13" x14ac:dyDescent="0.25">
      <c r="B924" s="15" t="s">
        <v>14</v>
      </c>
      <c r="C924" s="9">
        <v>75.900000000000006</v>
      </c>
      <c r="D924" s="9">
        <v>87.7</v>
      </c>
      <c r="E924" s="10">
        <v>96.9</v>
      </c>
      <c r="F924" s="9">
        <f t="shared" si="58"/>
        <v>24.159720361349716</v>
      </c>
      <c r="G924" s="9">
        <f t="shared" si="59"/>
        <v>27.915777018318444</v>
      </c>
      <c r="H924" s="10">
        <f t="shared" si="60"/>
        <v>30.844227971209317</v>
      </c>
      <c r="K924" s="11">
        <f>_xlfn.XLOOKUP(F924,Ref!$B$3:$B$12,Ref!$C$3:$C$12,"",1)</f>
        <v>2</v>
      </c>
      <c r="L924" s="11">
        <f>_xlfn.XLOOKUP(G924,Ref!$B$3:$B$12,Ref!$C$3:$C$12,"",1)</f>
        <v>2</v>
      </c>
      <c r="M924" s="11">
        <f>_xlfn.XLOOKUP(H924,Ref!$B$3:$B$12,Ref!$C$3:$C$12,"",1)</f>
        <v>3</v>
      </c>
    </row>
    <row r="925" spans="2:13" x14ac:dyDescent="0.25">
      <c r="B925" s="15" t="s">
        <v>7</v>
      </c>
      <c r="C925" s="9">
        <v>77.8</v>
      </c>
      <c r="D925" s="9">
        <v>80.2</v>
      </c>
      <c r="E925" s="10">
        <v>82</v>
      </c>
      <c r="F925" s="9">
        <f t="shared" si="58"/>
        <v>24.764509145098913</v>
      </c>
      <c r="G925" s="9">
        <f t="shared" si="59"/>
        <v>25.528452871940015</v>
      </c>
      <c r="H925" s="10">
        <f t="shared" si="60"/>
        <v>26.101410667070837</v>
      </c>
      <c r="K925" s="11">
        <f>_xlfn.XLOOKUP(F925,Ref!$B$3:$B$12,Ref!$C$3:$C$12,"",1)</f>
        <v>2</v>
      </c>
      <c r="L925" s="11">
        <f>_xlfn.XLOOKUP(G925,Ref!$B$3:$B$12,Ref!$C$3:$C$12,"",1)</f>
        <v>2</v>
      </c>
      <c r="M925" s="11">
        <f>_xlfn.XLOOKUP(H925,Ref!$B$3:$B$12,Ref!$C$3:$C$12,"",1)</f>
        <v>2</v>
      </c>
    </row>
    <row r="926" spans="2:13" x14ac:dyDescent="0.25">
      <c r="B926" s="15" t="s">
        <v>7</v>
      </c>
      <c r="C926" s="9">
        <v>67.2</v>
      </c>
      <c r="D926" s="9">
        <v>67.8</v>
      </c>
      <c r="E926" s="10">
        <v>68.2</v>
      </c>
      <c r="F926" s="9">
        <f t="shared" si="58"/>
        <v>21.390424351550735</v>
      </c>
      <c r="G926" s="9">
        <f t="shared" si="59"/>
        <v>21.581410283261008</v>
      </c>
      <c r="H926" s="10">
        <f t="shared" si="60"/>
        <v>21.708734237734525</v>
      </c>
      <c r="K926" s="11">
        <f>_xlfn.XLOOKUP(F926,Ref!$B$3:$B$12,Ref!$C$3:$C$12,"",1)</f>
        <v>2</v>
      </c>
      <c r="L926" s="11">
        <f>_xlfn.XLOOKUP(G926,Ref!$B$3:$B$12,Ref!$C$3:$C$12,"",1)</f>
        <v>2</v>
      </c>
      <c r="M926" s="11">
        <f>_xlfn.XLOOKUP(H926,Ref!$B$3:$B$12,Ref!$C$3:$C$12,"",1)</f>
        <v>2</v>
      </c>
    </row>
    <row r="927" spans="2:13" x14ac:dyDescent="0.25">
      <c r="B927" s="15" t="s">
        <v>10</v>
      </c>
      <c r="C927" s="9">
        <v>38.200000000000003</v>
      </c>
      <c r="D927" s="9">
        <v>44.1</v>
      </c>
      <c r="E927" s="10">
        <v>47</v>
      </c>
      <c r="F927" s="9">
        <f t="shared" si="58"/>
        <v>12.159437652220806</v>
      </c>
      <c r="G927" s="9">
        <f t="shared" si="59"/>
        <v>14.03746598070517</v>
      </c>
      <c r="H927" s="10">
        <f t="shared" si="60"/>
        <v>14.960564650638162</v>
      </c>
      <c r="K927" s="11">
        <f>_xlfn.XLOOKUP(F927,Ref!$B$3:$B$12,Ref!$C$3:$C$12,"",1)</f>
        <v>1</v>
      </c>
      <c r="L927" s="11">
        <f>_xlfn.XLOOKUP(G927,Ref!$B$3:$B$12,Ref!$C$3:$C$12,"",1)</f>
        <v>1</v>
      </c>
      <c r="M927" s="11">
        <f>_xlfn.XLOOKUP(H927,Ref!$B$3:$B$12,Ref!$C$3:$C$12,"",1)</f>
        <v>1</v>
      </c>
    </row>
    <row r="928" spans="2:13" x14ac:dyDescent="0.25">
      <c r="B928" s="15" t="s">
        <v>25</v>
      </c>
      <c r="C928" s="9">
        <v>38.1</v>
      </c>
      <c r="D928" s="9">
        <v>38</v>
      </c>
      <c r="E928" s="10">
        <v>37.9</v>
      </c>
      <c r="F928" s="9">
        <f t="shared" si="58"/>
        <v>12.127606663602425</v>
      </c>
      <c r="G928" s="9">
        <f t="shared" si="59"/>
        <v>12.095775674984045</v>
      </c>
      <c r="H928" s="10">
        <f t="shared" si="60"/>
        <v>12.063944686365666</v>
      </c>
      <c r="K928" s="11">
        <f>_xlfn.XLOOKUP(F928,Ref!$B$3:$B$12,Ref!$C$3:$C$12,"",1)</f>
        <v>1</v>
      </c>
      <c r="L928" s="11">
        <f>_xlfn.XLOOKUP(G928,Ref!$B$3:$B$12,Ref!$C$3:$C$12,"",1)</f>
        <v>1</v>
      </c>
      <c r="M928" s="11">
        <f>_xlfn.XLOOKUP(H928,Ref!$B$3:$B$12,Ref!$C$3:$C$12,"",1)</f>
        <v>1</v>
      </c>
    </row>
    <row r="929" spans="2:13" x14ac:dyDescent="0.25">
      <c r="B929" s="15" t="s">
        <v>65</v>
      </c>
      <c r="C929" s="9">
        <v>75.400000000000006</v>
      </c>
      <c r="D929" s="9">
        <v>78</v>
      </c>
      <c r="E929" s="10">
        <v>80.2</v>
      </c>
      <c r="F929" s="9">
        <f t="shared" si="58"/>
        <v>24.000565418257818</v>
      </c>
      <c r="G929" s="9">
        <f t="shared" si="59"/>
        <v>24.828171122335672</v>
      </c>
      <c r="H929" s="10">
        <f t="shared" si="60"/>
        <v>25.528452871940015</v>
      </c>
      <c r="K929" s="11">
        <f>_xlfn.XLOOKUP(F929,Ref!$B$3:$B$12,Ref!$C$3:$C$12,"",1)</f>
        <v>2</v>
      </c>
      <c r="L929" s="11">
        <f>_xlfn.XLOOKUP(G929,Ref!$B$3:$B$12,Ref!$C$3:$C$12,"",1)</f>
        <v>2</v>
      </c>
      <c r="M929" s="11">
        <f>_xlfn.XLOOKUP(H929,Ref!$B$3:$B$12,Ref!$C$3:$C$12,"",1)</f>
        <v>2</v>
      </c>
    </row>
    <row r="930" spans="2:13" x14ac:dyDescent="0.25">
      <c r="B930" s="15" t="s">
        <v>8</v>
      </c>
      <c r="C930" s="9">
        <v>37.5</v>
      </c>
      <c r="D930" s="9">
        <v>38.5</v>
      </c>
      <c r="E930" s="10">
        <v>39.4</v>
      </c>
      <c r="F930" s="9">
        <f t="shared" si="58"/>
        <v>11.93662073189215</v>
      </c>
      <c r="G930" s="9">
        <f t="shared" si="59"/>
        <v>12.254930618075941</v>
      </c>
      <c r="H930" s="10">
        <f t="shared" si="60"/>
        <v>12.541409515641352</v>
      </c>
      <c r="K930" s="11">
        <f>_xlfn.XLOOKUP(F930,Ref!$B$3:$B$12,Ref!$C$3:$C$12,"",1)</f>
        <v>1</v>
      </c>
      <c r="L930" s="11">
        <f>_xlfn.XLOOKUP(G930,Ref!$B$3:$B$12,Ref!$C$3:$C$12,"",1)</f>
        <v>1</v>
      </c>
      <c r="M930" s="11">
        <f>_xlfn.XLOOKUP(H930,Ref!$B$3:$B$12,Ref!$C$3:$C$12,"",1)</f>
        <v>1</v>
      </c>
    </row>
    <row r="931" spans="2:13" x14ac:dyDescent="0.25">
      <c r="B931" s="15" t="s">
        <v>8</v>
      </c>
      <c r="C931" s="9">
        <v>46.2</v>
      </c>
      <c r="D931" s="9">
        <v>48.2</v>
      </c>
      <c r="E931" s="10">
        <v>50.6</v>
      </c>
      <c r="F931" s="9">
        <f t="shared" si="58"/>
        <v>14.70591674169113</v>
      </c>
      <c r="G931" s="9">
        <f t="shared" si="59"/>
        <v>15.342536514058711</v>
      </c>
      <c r="H931" s="10">
        <f t="shared" si="60"/>
        <v>16.10648024089981</v>
      </c>
      <c r="K931" s="11">
        <f>_xlfn.XLOOKUP(F931,Ref!$B$3:$B$12,Ref!$C$3:$C$12,"",1)</f>
        <v>1</v>
      </c>
      <c r="L931" s="11">
        <f>_xlfn.XLOOKUP(G931,Ref!$B$3:$B$12,Ref!$C$3:$C$12,"",1)</f>
        <v>1</v>
      </c>
      <c r="M931" s="11">
        <f>_xlfn.XLOOKUP(H931,Ref!$B$3:$B$12,Ref!$C$3:$C$12,"",1)</f>
        <v>1</v>
      </c>
    </row>
    <row r="932" spans="2:13" x14ac:dyDescent="0.25">
      <c r="B932" s="15" t="s">
        <v>46</v>
      </c>
      <c r="C932" s="9">
        <v>34.700000000000003</v>
      </c>
      <c r="D932" s="9">
        <v>35.5</v>
      </c>
      <c r="E932" s="10">
        <v>35.6</v>
      </c>
      <c r="F932" s="9">
        <f t="shared" si="58"/>
        <v>11.045353050577537</v>
      </c>
      <c r="G932" s="9">
        <f t="shared" si="59"/>
        <v>11.300000959524569</v>
      </c>
      <c r="H932" s="10">
        <f t="shared" si="60"/>
        <v>11.331831948142948</v>
      </c>
      <c r="K932" s="11">
        <f>_xlfn.XLOOKUP(F932,Ref!$B$3:$B$12,Ref!$C$3:$C$12,"",1)</f>
        <v>1</v>
      </c>
      <c r="L932" s="11">
        <f>_xlfn.XLOOKUP(G932,Ref!$B$3:$B$12,Ref!$C$3:$C$12,"",1)</f>
        <v>1</v>
      </c>
      <c r="M932" s="11">
        <f>_xlfn.XLOOKUP(H932,Ref!$B$3:$B$12,Ref!$C$3:$C$12,"",1)</f>
        <v>1</v>
      </c>
    </row>
    <row r="933" spans="2:13" x14ac:dyDescent="0.25">
      <c r="B933" s="15" t="s">
        <v>10</v>
      </c>
      <c r="C933" s="9">
        <v>36.5</v>
      </c>
      <c r="D933" s="9">
        <v>38.4</v>
      </c>
      <c r="E933" s="10">
        <v>39.9</v>
      </c>
      <c r="F933" s="9">
        <f t="shared" si="58"/>
        <v>11.618310845708359</v>
      </c>
      <c r="G933" s="9">
        <f t="shared" si="59"/>
        <v>12.223099629457561</v>
      </c>
      <c r="H933" s="10">
        <f t="shared" si="60"/>
        <v>12.700564458733249</v>
      </c>
      <c r="K933" s="11">
        <f>_xlfn.XLOOKUP(F933,Ref!$B$3:$B$12,Ref!$C$3:$C$12,"",1)</f>
        <v>1</v>
      </c>
      <c r="L933" s="11">
        <f>_xlfn.XLOOKUP(G933,Ref!$B$3:$B$12,Ref!$C$3:$C$12,"",1)</f>
        <v>1</v>
      </c>
      <c r="M933" s="11">
        <f>_xlfn.XLOOKUP(H933,Ref!$B$3:$B$12,Ref!$C$3:$C$12,"",1)</f>
        <v>1</v>
      </c>
    </row>
    <row r="934" spans="2:13" x14ac:dyDescent="0.25">
      <c r="B934" s="15" t="s">
        <v>8</v>
      </c>
      <c r="C934" s="9">
        <v>50.8</v>
      </c>
      <c r="D934" s="9">
        <v>52.6</v>
      </c>
      <c r="E934" s="10">
        <v>53.1</v>
      </c>
      <c r="F934" s="9">
        <f t="shared" si="58"/>
        <v>16.170142218136565</v>
      </c>
      <c r="G934" s="9">
        <f t="shared" si="59"/>
        <v>16.743100013267391</v>
      </c>
      <c r="H934" s="10">
        <f t="shared" si="60"/>
        <v>16.902254956359286</v>
      </c>
      <c r="K934" s="11">
        <f>_xlfn.XLOOKUP(F934,Ref!$B$3:$B$12,Ref!$C$3:$C$12,"",1)</f>
        <v>1</v>
      </c>
      <c r="L934" s="11">
        <f>_xlfn.XLOOKUP(G934,Ref!$B$3:$B$12,Ref!$C$3:$C$12,"",1)</f>
        <v>1</v>
      </c>
      <c r="M934" s="11">
        <f>_xlfn.XLOOKUP(H934,Ref!$B$3:$B$12,Ref!$C$3:$C$12,"",1)</f>
        <v>1</v>
      </c>
    </row>
    <row r="935" spans="2:13" x14ac:dyDescent="0.25">
      <c r="B935" s="15" t="s">
        <v>8</v>
      </c>
      <c r="C935" s="9">
        <v>37.5</v>
      </c>
      <c r="D935" s="9">
        <v>0</v>
      </c>
      <c r="E935" s="10">
        <v>0</v>
      </c>
      <c r="F935" s="9">
        <f t="shared" si="58"/>
        <v>11.93662073189215</v>
      </c>
      <c r="G935" s="9">
        <f t="shared" si="59"/>
        <v>0</v>
      </c>
      <c r="H935" s="10">
        <f t="shared" si="60"/>
        <v>0</v>
      </c>
      <c r="K935" s="11">
        <f>_xlfn.XLOOKUP(F935,Ref!$B$3:$B$12,Ref!$C$3:$C$12,"",1)</f>
        <v>1</v>
      </c>
      <c r="L935" s="11" t="str">
        <f>_xlfn.XLOOKUP(G935,Ref!$B$3:$B$12,Ref!$C$3:$C$12,"",1)</f>
        <v>Morta</v>
      </c>
      <c r="M935" s="11" t="str">
        <f>_xlfn.XLOOKUP(H935,Ref!$B$3:$B$12,Ref!$C$3:$C$12,"",1)</f>
        <v>Morta</v>
      </c>
    </row>
    <row r="936" spans="2:13" x14ac:dyDescent="0.25">
      <c r="B936" s="15" t="s">
        <v>23</v>
      </c>
      <c r="C936" s="9">
        <v>44.9</v>
      </c>
      <c r="D936" s="9">
        <v>50.2</v>
      </c>
      <c r="E936" s="10">
        <v>55.8</v>
      </c>
      <c r="F936" s="9">
        <f t="shared" si="58"/>
        <v>14.292113889652201</v>
      </c>
      <c r="G936" s="9">
        <f t="shared" si="59"/>
        <v>15.979156286426294</v>
      </c>
      <c r="H936" s="10">
        <f t="shared" si="60"/>
        <v>17.761691649055518</v>
      </c>
      <c r="K936" s="11">
        <f>_xlfn.XLOOKUP(F936,Ref!$B$3:$B$12,Ref!$C$3:$C$12,"",1)</f>
        <v>1</v>
      </c>
      <c r="L936" s="11">
        <f>_xlfn.XLOOKUP(G936,Ref!$B$3:$B$12,Ref!$C$3:$C$12,"",1)</f>
        <v>1</v>
      </c>
      <c r="M936" s="11">
        <f>_xlfn.XLOOKUP(H936,Ref!$B$3:$B$12,Ref!$C$3:$C$12,"",1)</f>
        <v>1</v>
      </c>
    </row>
    <row r="937" spans="2:13" x14ac:dyDescent="0.25">
      <c r="B937" s="15" t="s">
        <v>45</v>
      </c>
      <c r="C937" s="9">
        <v>50.9</v>
      </c>
      <c r="D937" s="9">
        <v>55</v>
      </c>
      <c r="E937" s="10">
        <v>60.8</v>
      </c>
      <c r="F937" s="9">
        <f t="shared" si="58"/>
        <v>16.201973206754946</v>
      </c>
      <c r="G937" s="9">
        <f t="shared" si="59"/>
        <v>17.507043740108486</v>
      </c>
      <c r="H937" s="10">
        <f t="shared" si="60"/>
        <v>19.353241079974474</v>
      </c>
      <c r="K937" s="11">
        <f>_xlfn.XLOOKUP(F937,Ref!$B$3:$B$12,Ref!$C$3:$C$12,"",1)</f>
        <v>1</v>
      </c>
      <c r="L937" s="11">
        <f>_xlfn.XLOOKUP(G937,Ref!$B$3:$B$12,Ref!$C$3:$C$12,"",1)</f>
        <v>1</v>
      </c>
      <c r="M937" s="11">
        <f>_xlfn.XLOOKUP(H937,Ref!$B$3:$B$12,Ref!$C$3:$C$12,"",1)</f>
        <v>1</v>
      </c>
    </row>
    <row r="938" spans="2:13" x14ac:dyDescent="0.25">
      <c r="B938" s="15" t="s">
        <v>44</v>
      </c>
      <c r="C938" s="9">
        <v>32.200000000000003</v>
      </c>
      <c r="D938" s="9">
        <v>33</v>
      </c>
      <c r="E938" s="10">
        <v>33.299999999999997</v>
      </c>
      <c r="F938" s="9">
        <f t="shared" si="58"/>
        <v>10.249578335118061</v>
      </c>
      <c r="G938" s="9">
        <f t="shared" si="59"/>
        <v>10.504226244065093</v>
      </c>
      <c r="H938" s="10">
        <f t="shared" si="60"/>
        <v>10.599719209920229</v>
      </c>
      <c r="K938" s="11">
        <f>_xlfn.XLOOKUP(F938,Ref!$B$3:$B$12,Ref!$C$3:$C$12,"",1)</f>
        <v>1</v>
      </c>
      <c r="L938" s="11">
        <f>_xlfn.XLOOKUP(G938,Ref!$B$3:$B$12,Ref!$C$3:$C$12,"",1)</f>
        <v>1</v>
      </c>
      <c r="M938" s="11">
        <f>_xlfn.XLOOKUP(H938,Ref!$B$3:$B$12,Ref!$C$3:$C$12,"",1)</f>
        <v>1</v>
      </c>
    </row>
    <row r="939" spans="2:13" x14ac:dyDescent="0.25">
      <c r="B939" s="15" t="s">
        <v>24</v>
      </c>
      <c r="C939" s="9">
        <v>72.5</v>
      </c>
      <c r="D939" s="9">
        <v>74.8</v>
      </c>
      <c r="E939" s="10">
        <v>77</v>
      </c>
      <c r="F939" s="9">
        <f t="shared" si="58"/>
        <v>23.077466748324824</v>
      </c>
      <c r="G939" s="9">
        <f t="shared" si="59"/>
        <v>23.809579486547541</v>
      </c>
      <c r="H939" s="10">
        <f t="shared" si="60"/>
        <v>24.509861236151881</v>
      </c>
      <c r="K939" s="11">
        <f>_xlfn.XLOOKUP(F939,Ref!$B$3:$B$12,Ref!$C$3:$C$12,"",1)</f>
        <v>2</v>
      </c>
      <c r="L939" s="11">
        <f>_xlfn.XLOOKUP(G939,Ref!$B$3:$B$12,Ref!$C$3:$C$12,"",1)</f>
        <v>2</v>
      </c>
      <c r="M939" s="11">
        <f>_xlfn.XLOOKUP(H939,Ref!$B$3:$B$12,Ref!$C$3:$C$12,"",1)</f>
        <v>2</v>
      </c>
    </row>
    <row r="940" spans="2:13" x14ac:dyDescent="0.25">
      <c r="B940" s="15" t="s">
        <v>12</v>
      </c>
      <c r="C940" s="9">
        <v>33.799999999999997</v>
      </c>
      <c r="D940" s="9">
        <v>36.1</v>
      </c>
      <c r="E940" s="10">
        <v>36.1</v>
      </c>
      <c r="F940" s="9">
        <f t="shared" si="58"/>
        <v>10.758874153012124</v>
      </c>
      <c r="G940" s="9">
        <f t="shared" si="59"/>
        <v>11.490986891234844</v>
      </c>
      <c r="H940" s="10">
        <f t="shared" si="60"/>
        <v>11.490986891234844</v>
      </c>
      <c r="K940" s="11">
        <f>_xlfn.XLOOKUP(F940,Ref!$B$3:$B$12,Ref!$C$3:$C$12,"",1)</f>
        <v>1</v>
      </c>
      <c r="L940" s="11">
        <f>_xlfn.XLOOKUP(G940,Ref!$B$3:$B$12,Ref!$C$3:$C$12,"",1)</f>
        <v>1</v>
      </c>
      <c r="M940" s="11">
        <f>_xlfn.XLOOKUP(H940,Ref!$B$3:$B$12,Ref!$C$3:$C$12,"",1)</f>
        <v>1</v>
      </c>
    </row>
    <row r="941" spans="2:13" x14ac:dyDescent="0.25">
      <c r="B941" s="15" t="s">
        <v>24</v>
      </c>
      <c r="C941" s="9">
        <v>54</v>
      </c>
      <c r="D941" s="9">
        <v>58.7</v>
      </c>
      <c r="E941" s="10">
        <v>61.6</v>
      </c>
      <c r="F941" s="9">
        <f t="shared" si="58"/>
        <v>17.188733853924695</v>
      </c>
      <c r="G941" s="9">
        <f t="shared" si="59"/>
        <v>18.684790318988515</v>
      </c>
      <c r="H941" s="10">
        <f t="shared" si="60"/>
        <v>19.607888988921506</v>
      </c>
      <c r="K941" s="11">
        <f>_xlfn.XLOOKUP(F941,Ref!$B$3:$B$12,Ref!$C$3:$C$12,"",1)</f>
        <v>1</v>
      </c>
      <c r="L941" s="11">
        <f>_xlfn.XLOOKUP(G941,Ref!$B$3:$B$12,Ref!$C$3:$C$12,"",1)</f>
        <v>1</v>
      </c>
      <c r="M941" s="11">
        <f>_xlfn.XLOOKUP(H941,Ref!$B$3:$B$12,Ref!$C$3:$C$12,"",1)</f>
        <v>1</v>
      </c>
    </row>
    <row r="942" spans="2:13" x14ac:dyDescent="0.25">
      <c r="B942" s="15" t="s">
        <v>24</v>
      </c>
      <c r="C942" s="9">
        <v>36.4</v>
      </c>
      <c r="D942" s="9">
        <v>37.9</v>
      </c>
      <c r="E942" s="10">
        <v>38.1</v>
      </c>
      <c r="F942" s="9">
        <f t="shared" si="58"/>
        <v>11.58647985708998</v>
      </c>
      <c r="G942" s="9">
        <f t="shared" si="59"/>
        <v>12.063944686365666</v>
      </c>
      <c r="H942" s="10">
        <f t="shared" si="60"/>
        <v>12.127606663602425</v>
      </c>
      <c r="K942" s="11">
        <f>_xlfn.XLOOKUP(F942,Ref!$B$3:$B$12,Ref!$C$3:$C$12,"",1)</f>
        <v>1</v>
      </c>
      <c r="L942" s="11">
        <f>_xlfn.XLOOKUP(G942,Ref!$B$3:$B$12,Ref!$C$3:$C$12,"",1)</f>
        <v>1</v>
      </c>
      <c r="M942" s="11">
        <f>_xlfn.XLOOKUP(H942,Ref!$B$3:$B$12,Ref!$C$3:$C$12,"",1)</f>
        <v>1</v>
      </c>
    </row>
    <row r="943" spans="2:13" x14ac:dyDescent="0.25">
      <c r="B943" s="15" t="s">
        <v>46</v>
      </c>
      <c r="C943" s="9">
        <v>42.6</v>
      </c>
      <c r="D943" s="9">
        <v>42.7</v>
      </c>
      <c r="E943" s="10">
        <v>42.7</v>
      </c>
      <c r="F943" s="9">
        <f t="shared" si="58"/>
        <v>13.560001151429484</v>
      </c>
      <c r="G943" s="9">
        <f t="shared" si="59"/>
        <v>13.591832140047863</v>
      </c>
      <c r="H943" s="10">
        <f t="shared" si="60"/>
        <v>13.591832140047863</v>
      </c>
      <c r="K943" s="11">
        <f>_xlfn.XLOOKUP(F943,Ref!$B$3:$B$12,Ref!$C$3:$C$12,"",1)</f>
        <v>1</v>
      </c>
      <c r="L943" s="11">
        <f>_xlfn.XLOOKUP(G943,Ref!$B$3:$B$12,Ref!$C$3:$C$12,"",1)</f>
        <v>1</v>
      </c>
      <c r="M943" s="11">
        <f>_xlfn.XLOOKUP(H943,Ref!$B$3:$B$12,Ref!$C$3:$C$12,"",1)</f>
        <v>1</v>
      </c>
    </row>
    <row r="944" spans="2:13" x14ac:dyDescent="0.25">
      <c r="B944" s="15" t="s">
        <v>44</v>
      </c>
      <c r="C944" s="9">
        <v>35.200000000000003</v>
      </c>
      <c r="D944" s="9">
        <v>37.1</v>
      </c>
      <c r="E944" s="10">
        <v>38.4</v>
      </c>
      <c r="F944" s="9">
        <f t="shared" si="58"/>
        <v>11.204507993669433</v>
      </c>
      <c r="G944" s="9">
        <f t="shared" si="59"/>
        <v>11.809296777418634</v>
      </c>
      <c r="H944" s="10">
        <f t="shared" si="60"/>
        <v>12.223099629457561</v>
      </c>
      <c r="K944" s="11">
        <f>_xlfn.XLOOKUP(F944,Ref!$B$3:$B$12,Ref!$C$3:$C$12,"",1)</f>
        <v>1</v>
      </c>
      <c r="L944" s="11">
        <f>_xlfn.XLOOKUP(G944,Ref!$B$3:$B$12,Ref!$C$3:$C$12,"",1)</f>
        <v>1</v>
      </c>
      <c r="M944" s="11">
        <f>_xlfn.XLOOKUP(H944,Ref!$B$3:$B$12,Ref!$C$3:$C$12,"",1)</f>
        <v>1</v>
      </c>
    </row>
    <row r="945" spans="2:13" x14ac:dyDescent="0.25">
      <c r="B945" s="15" t="s">
        <v>46</v>
      </c>
      <c r="C945" s="9">
        <v>45.9</v>
      </c>
      <c r="D945" s="9">
        <v>46.6</v>
      </c>
      <c r="E945" s="10">
        <v>46.6</v>
      </c>
      <c r="F945" s="9">
        <f t="shared" si="58"/>
        <v>14.610423775835992</v>
      </c>
      <c r="G945" s="9">
        <f t="shared" si="59"/>
        <v>14.833240696164646</v>
      </c>
      <c r="H945" s="10">
        <f t="shared" si="60"/>
        <v>14.833240696164646</v>
      </c>
      <c r="K945" s="11">
        <f>_xlfn.XLOOKUP(F945,Ref!$B$3:$B$12,Ref!$C$3:$C$12,"",1)</f>
        <v>1</v>
      </c>
      <c r="L945" s="11">
        <f>_xlfn.XLOOKUP(G945,Ref!$B$3:$B$12,Ref!$C$3:$C$12,"",1)</f>
        <v>1</v>
      </c>
      <c r="M945" s="11">
        <f>_xlfn.XLOOKUP(H945,Ref!$B$3:$B$12,Ref!$C$3:$C$12,"",1)</f>
        <v>1</v>
      </c>
    </row>
    <row r="946" spans="2:13" x14ac:dyDescent="0.25">
      <c r="B946" s="15" t="s">
        <v>8</v>
      </c>
      <c r="C946" s="9">
        <v>44.4</v>
      </c>
      <c r="D946" s="9">
        <v>50.5</v>
      </c>
      <c r="E946" s="10">
        <v>54.3</v>
      </c>
      <c r="F946" s="9">
        <f t="shared" si="58"/>
        <v>14.132958946560306</v>
      </c>
      <c r="G946" s="9">
        <f t="shared" si="59"/>
        <v>16.074649252281429</v>
      </c>
      <c r="H946" s="10">
        <f t="shared" si="60"/>
        <v>17.284226819779832</v>
      </c>
      <c r="K946" s="11">
        <f>_xlfn.XLOOKUP(F946,Ref!$B$3:$B$12,Ref!$C$3:$C$12,"",1)</f>
        <v>1</v>
      </c>
      <c r="L946" s="11">
        <f>_xlfn.XLOOKUP(G946,Ref!$B$3:$B$12,Ref!$C$3:$C$12,"",1)</f>
        <v>1</v>
      </c>
      <c r="M946" s="11">
        <f>_xlfn.XLOOKUP(H946,Ref!$B$3:$B$12,Ref!$C$3:$C$12,"",1)</f>
        <v>1</v>
      </c>
    </row>
    <row r="947" spans="2:13" x14ac:dyDescent="0.25">
      <c r="B947" s="15" t="s">
        <v>25</v>
      </c>
      <c r="C947" s="9">
        <v>47</v>
      </c>
      <c r="D947" s="9">
        <v>47.6</v>
      </c>
      <c r="E947" s="10">
        <v>47.6</v>
      </c>
      <c r="F947" s="9">
        <f t="shared" si="58"/>
        <v>14.960564650638162</v>
      </c>
      <c r="G947" s="9">
        <f t="shared" si="59"/>
        <v>15.151550582348436</v>
      </c>
      <c r="H947" s="10">
        <f t="shared" si="60"/>
        <v>15.151550582348436</v>
      </c>
      <c r="K947" s="11">
        <f>_xlfn.XLOOKUP(F947,Ref!$B$3:$B$12,Ref!$C$3:$C$12,"",1)</f>
        <v>1</v>
      </c>
      <c r="L947" s="11">
        <f>_xlfn.XLOOKUP(G947,Ref!$B$3:$B$12,Ref!$C$3:$C$12,"",1)</f>
        <v>1</v>
      </c>
      <c r="M947" s="11">
        <f>_xlfn.XLOOKUP(H947,Ref!$B$3:$B$12,Ref!$C$3:$C$12,"",1)</f>
        <v>1</v>
      </c>
    </row>
    <row r="948" spans="2:13" x14ac:dyDescent="0.25">
      <c r="B948" s="15" t="s">
        <v>10</v>
      </c>
      <c r="C948" s="9">
        <v>32</v>
      </c>
      <c r="D948" s="9">
        <v>36.200000000000003</v>
      </c>
      <c r="E948" s="10">
        <v>39.799999999999997</v>
      </c>
      <c r="F948" s="9">
        <f t="shared" si="58"/>
        <v>10.185916357881302</v>
      </c>
      <c r="G948" s="9">
        <f t="shared" si="59"/>
        <v>11.522817879853223</v>
      </c>
      <c r="H948" s="10">
        <f t="shared" si="60"/>
        <v>12.668733470114868</v>
      </c>
      <c r="K948" s="11">
        <f>_xlfn.XLOOKUP(F948,Ref!$B$3:$B$12,Ref!$C$3:$C$12,"",1)</f>
        <v>1</v>
      </c>
      <c r="L948" s="11">
        <f>_xlfn.XLOOKUP(G948,Ref!$B$3:$B$12,Ref!$C$3:$C$12,"",1)</f>
        <v>1</v>
      </c>
      <c r="M948" s="11">
        <f>_xlfn.XLOOKUP(H948,Ref!$B$3:$B$12,Ref!$C$3:$C$12,"",1)</f>
        <v>1</v>
      </c>
    </row>
    <row r="949" spans="2:13" x14ac:dyDescent="0.25">
      <c r="B949" s="15" t="s">
        <v>10</v>
      </c>
      <c r="C949" s="9">
        <v>35.1</v>
      </c>
      <c r="D949" s="9">
        <v>32.200000000000003</v>
      </c>
      <c r="E949" s="10">
        <v>35.1</v>
      </c>
      <c r="F949" s="9">
        <f t="shared" si="58"/>
        <v>11.172677005051053</v>
      </c>
      <c r="G949" s="9">
        <f t="shared" si="59"/>
        <v>10.249578335118061</v>
      </c>
      <c r="H949" s="10">
        <f t="shared" si="60"/>
        <v>11.172677005051053</v>
      </c>
      <c r="K949" s="11">
        <f>_xlfn.XLOOKUP(F949,Ref!$B$3:$B$12,Ref!$C$3:$C$12,"",1)</f>
        <v>1</v>
      </c>
      <c r="L949" s="11">
        <f>_xlfn.XLOOKUP(G949,Ref!$B$3:$B$12,Ref!$C$3:$C$12,"",1)</f>
        <v>1</v>
      </c>
      <c r="M949" s="11">
        <f>_xlfn.XLOOKUP(H949,Ref!$B$3:$B$12,Ref!$C$3:$C$12,"",1)</f>
        <v>1</v>
      </c>
    </row>
    <row r="950" spans="2:13" x14ac:dyDescent="0.25">
      <c r="B950" s="15" t="s">
        <v>8</v>
      </c>
      <c r="C950" s="9">
        <v>39.299999999999997</v>
      </c>
      <c r="D950" s="9">
        <v>41.8</v>
      </c>
      <c r="E950" s="10">
        <v>42.9</v>
      </c>
      <c r="F950" s="9">
        <f t="shared" si="58"/>
        <v>12.509578527022972</v>
      </c>
      <c r="G950" s="9">
        <f t="shared" si="59"/>
        <v>13.30535324248245</v>
      </c>
      <c r="H950" s="10">
        <f t="shared" si="60"/>
        <v>13.65549411728462</v>
      </c>
      <c r="K950" s="11">
        <f>_xlfn.XLOOKUP(F950,Ref!$B$3:$B$12,Ref!$C$3:$C$12,"",1)</f>
        <v>1</v>
      </c>
      <c r="L950" s="11">
        <f>_xlfn.XLOOKUP(G950,Ref!$B$3:$B$12,Ref!$C$3:$C$12,"",1)</f>
        <v>1</v>
      </c>
      <c r="M950" s="11">
        <f>_xlfn.XLOOKUP(H950,Ref!$B$3:$B$12,Ref!$C$3:$C$12,"",1)</f>
        <v>1</v>
      </c>
    </row>
    <row r="951" spans="2:13" x14ac:dyDescent="0.25">
      <c r="B951" s="15" t="s">
        <v>10</v>
      </c>
      <c r="C951" s="9">
        <v>55.3</v>
      </c>
      <c r="D951" s="9">
        <v>66.400000000000006</v>
      </c>
      <c r="E951" s="10">
        <v>72.5</v>
      </c>
      <c r="F951" s="9">
        <f t="shared" si="58"/>
        <v>17.602536705963622</v>
      </c>
      <c r="G951" s="9">
        <f t="shared" si="59"/>
        <v>21.135776442603703</v>
      </c>
      <c r="H951" s="10">
        <f t="shared" si="60"/>
        <v>23.077466748324824</v>
      </c>
      <c r="K951" s="11">
        <f>_xlfn.XLOOKUP(F951,Ref!$B$3:$B$12,Ref!$C$3:$C$12,"",1)</f>
        <v>1</v>
      </c>
      <c r="L951" s="11">
        <f>_xlfn.XLOOKUP(G951,Ref!$B$3:$B$12,Ref!$C$3:$C$12,"",1)</f>
        <v>2</v>
      </c>
      <c r="M951" s="11">
        <f>_xlfn.XLOOKUP(H951,Ref!$B$3:$B$12,Ref!$C$3:$C$12,"",1)</f>
        <v>2</v>
      </c>
    </row>
    <row r="952" spans="2:13" x14ac:dyDescent="0.25">
      <c r="B952" s="15" t="s">
        <v>12</v>
      </c>
      <c r="C952" s="9">
        <v>41.4</v>
      </c>
      <c r="D952" s="9">
        <v>43.4</v>
      </c>
      <c r="E952" s="10">
        <v>45.7</v>
      </c>
      <c r="F952" s="9">
        <f t="shared" si="58"/>
        <v>13.178029288008934</v>
      </c>
      <c r="G952" s="9">
        <f t="shared" si="59"/>
        <v>13.814649060376516</v>
      </c>
      <c r="H952" s="10">
        <f t="shared" si="60"/>
        <v>14.546761798599235</v>
      </c>
      <c r="K952" s="11">
        <f>_xlfn.XLOOKUP(F952,Ref!$B$3:$B$12,Ref!$C$3:$C$12,"",1)</f>
        <v>1</v>
      </c>
      <c r="L952" s="11">
        <f>_xlfn.XLOOKUP(G952,Ref!$B$3:$B$12,Ref!$C$3:$C$12,"",1)</f>
        <v>1</v>
      </c>
      <c r="M952" s="11">
        <f>_xlfn.XLOOKUP(H952,Ref!$B$3:$B$12,Ref!$C$3:$C$12,"",1)</f>
        <v>1</v>
      </c>
    </row>
    <row r="953" spans="2:13" x14ac:dyDescent="0.25">
      <c r="B953" s="15" t="s">
        <v>12</v>
      </c>
      <c r="C953" s="9">
        <v>39.1</v>
      </c>
      <c r="D953" s="9">
        <v>40.200000000000003</v>
      </c>
      <c r="E953" s="10">
        <v>41.3</v>
      </c>
      <c r="F953" s="9">
        <f t="shared" si="58"/>
        <v>12.445916549786217</v>
      </c>
      <c r="G953" s="9">
        <f t="shared" si="59"/>
        <v>12.796057424588387</v>
      </c>
      <c r="H953" s="10">
        <f t="shared" si="60"/>
        <v>13.146198299390555</v>
      </c>
      <c r="K953" s="11">
        <f>_xlfn.XLOOKUP(F953,Ref!$B$3:$B$12,Ref!$C$3:$C$12,"",1)</f>
        <v>1</v>
      </c>
      <c r="L953" s="11">
        <f>_xlfn.XLOOKUP(G953,Ref!$B$3:$B$12,Ref!$C$3:$C$12,"",1)</f>
        <v>1</v>
      </c>
      <c r="M953" s="11">
        <f>_xlfn.XLOOKUP(H953,Ref!$B$3:$B$12,Ref!$C$3:$C$12,"",1)</f>
        <v>1</v>
      </c>
    </row>
    <row r="954" spans="2:13" x14ac:dyDescent="0.25">
      <c r="B954" s="15" t="s">
        <v>7</v>
      </c>
      <c r="C954" s="9">
        <v>57.9</v>
      </c>
      <c r="D954" s="9">
        <v>61.3</v>
      </c>
      <c r="E954" s="10">
        <v>62.3</v>
      </c>
      <c r="F954" s="9">
        <f t="shared" si="58"/>
        <v>18.43014241004148</v>
      </c>
      <c r="G954" s="9">
        <f t="shared" si="59"/>
        <v>19.512396023066369</v>
      </c>
      <c r="H954" s="10">
        <f t="shared" si="60"/>
        <v>19.83070590925016</v>
      </c>
      <c r="K954" s="11">
        <f>_xlfn.XLOOKUP(F954,Ref!$B$3:$B$12,Ref!$C$3:$C$12,"",1)</f>
        <v>1</v>
      </c>
      <c r="L954" s="11">
        <f>_xlfn.XLOOKUP(G954,Ref!$B$3:$B$12,Ref!$C$3:$C$12,"",1)</f>
        <v>1</v>
      </c>
      <c r="M954" s="11">
        <f>_xlfn.XLOOKUP(H954,Ref!$B$3:$B$12,Ref!$C$3:$C$12,"",1)</f>
        <v>1</v>
      </c>
    </row>
    <row r="955" spans="2:13" x14ac:dyDescent="0.25">
      <c r="B955" s="15" t="s">
        <v>10</v>
      </c>
      <c r="C955" s="9">
        <v>39.4</v>
      </c>
      <c r="D955" s="9">
        <v>46</v>
      </c>
      <c r="E955" s="10">
        <v>51.4</v>
      </c>
      <c r="F955" s="9">
        <f t="shared" si="58"/>
        <v>12.541409515641352</v>
      </c>
      <c r="G955" s="9">
        <f t="shared" si="59"/>
        <v>14.642254764454371</v>
      </c>
      <c r="H955" s="10">
        <f t="shared" si="60"/>
        <v>16.361128149846841</v>
      </c>
      <c r="K955" s="11">
        <f>_xlfn.XLOOKUP(F955,Ref!$B$3:$B$12,Ref!$C$3:$C$12,"",1)</f>
        <v>1</v>
      </c>
      <c r="L955" s="11">
        <f>_xlfn.XLOOKUP(G955,Ref!$B$3:$B$12,Ref!$C$3:$C$12,"",1)</f>
        <v>1</v>
      </c>
      <c r="M955" s="11">
        <f>_xlfn.XLOOKUP(H955,Ref!$B$3:$B$12,Ref!$C$3:$C$12,"",1)</f>
        <v>1</v>
      </c>
    </row>
    <row r="956" spans="2:13" x14ac:dyDescent="0.25">
      <c r="B956" s="15" t="s">
        <v>27</v>
      </c>
      <c r="C956" s="9">
        <v>40.799999999999997</v>
      </c>
      <c r="D956" s="9">
        <v>43.6</v>
      </c>
      <c r="E956" s="10">
        <v>45.2</v>
      </c>
      <c r="F956" s="9">
        <f t="shared" si="58"/>
        <v>12.98704335629866</v>
      </c>
      <c r="G956" s="9">
        <f t="shared" si="59"/>
        <v>13.878311037613274</v>
      </c>
      <c r="H956" s="10">
        <f t="shared" si="60"/>
        <v>14.38760685550734</v>
      </c>
      <c r="K956" s="11">
        <f>_xlfn.XLOOKUP(F956,Ref!$B$3:$B$12,Ref!$C$3:$C$12,"",1)</f>
        <v>1</v>
      </c>
      <c r="L956" s="11">
        <f>_xlfn.XLOOKUP(G956,Ref!$B$3:$B$12,Ref!$C$3:$C$12,"",1)</f>
        <v>1</v>
      </c>
      <c r="M956" s="11">
        <f>_xlfn.XLOOKUP(H956,Ref!$B$3:$B$12,Ref!$C$3:$C$12,"",1)</f>
        <v>1</v>
      </c>
    </row>
    <row r="957" spans="2:13" x14ac:dyDescent="0.25">
      <c r="B957" s="15" t="s">
        <v>12</v>
      </c>
      <c r="C957" s="9">
        <v>40.1</v>
      </c>
      <c r="D957" s="9">
        <v>45.4</v>
      </c>
      <c r="E957" s="10">
        <v>48.8</v>
      </c>
      <c r="F957" s="9">
        <f t="shared" si="58"/>
        <v>12.764226435970008</v>
      </c>
      <c r="G957" s="9">
        <f t="shared" si="59"/>
        <v>14.451268832744097</v>
      </c>
      <c r="H957" s="10">
        <f t="shared" si="60"/>
        <v>15.533522445768984</v>
      </c>
      <c r="K957" s="11">
        <f>_xlfn.XLOOKUP(F957,Ref!$B$3:$B$12,Ref!$C$3:$C$12,"",1)</f>
        <v>1</v>
      </c>
      <c r="L957" s="11">
        <f>_xlfn.XLOOKUP(G957,Ref!$B$3:$B$12,Ref!$C$3:$C$12,"",1)</f>
        <v>1</v>
      </c>
      <c r="M957" s="11">
        <f>_xlfn.XLOOKUP(H957,Ref!$B$3:$B$12,Ref!$C$3:$C$12,"",1)</f>
        <v>1</v>
      </c>
    </row>
    <row r="958" spans="2:13" x14ac:dyDescent="0.25">
      <c r="B958" s="15" t="s">
        <v>46</v>
      </c>
      <c r="C958" s="9">
        <v>127.1</v>
      </c>
      <c r="D958" s="9">
        <v>127.1</v>
      </c>
      <c r="E958" s="10">
        <v>127.1</v>
      </c>
      <c r="F958" s="9">
        <f t="shared" si="58"/>
        <v>40.457186533959792</v>
      </c>
      <c r="G958" s="9">
        <f t="shared" si="59"/>
        <v>40.457186533959792</v>
      </c>
      <c r="H958" s="10">
        <f t="shared" si="60"/>
        <v>40.457186533959792</v>
      </c>
      <c r="K958" s="11">
        <f>_xlfn.XLOOKUP(F958,Ref!$B$3:$B$12,Ref!$C$3:$C$12,"",1)</f>
        <v>4</v>
      </c>
      <c r="L958" s="11">
        <f>_xlfn.XLOOKUP(G958,Ref!$B$3:$B$12,Ref!$C$3:$C$12,"",1)</f>
        <v>4</v>
      </c>
      <c r="M958" s="11">
        <f>_xlfn.XLOOKUP(H958,Ref!$B$3:$B$12,Ref!$C$3:$C$12,"",1)</f>
        <v>4</v>
      </c>
    </row>
    <row r="959" spans="2:13" x14ac:dyDescent="0.25">
      <c r="B959" s="15" t="s">
        <v>7</v>
      </c>
      <c r="C959" s="9">
        <v>41.8</v>
      </c>
      <c r="D959" s="9">
        <v>0</v>
      </c>
      <c r="E959" s="10">
        <v>0</v>
      </c>
      <c r="F959" s="9">
        <f t="shared" si="58"/>
        <v>13.30535324248245</v>
      </c>
      <c r="G959" s="9">
        <f t="shared" si="59"/>
        <v>0</v>
      </c>
      <c r="H959" s="10">
        <f t="shared" si="60"/>
        <v>0</v>
      </c>
      <c r="K959" s="11">
        <f>_xlfn.XLOOKUP(F959,Ref!$B$3:$B$12,Ref!$C$3:$C$12,"",1)</f>
        <v>1</v>
      </c>
      <c r="L959" s="11" t="str">
        <f>_xlfn.XLOOKUP(G959,Ref!$B$3:$B$12,Ref!$C$3:$C$12,"",1)</f>
        <v>Morta</v>
      </c>
      <c r="M959" s="11" t="str">
        <f>_xlfn.XLOOKUP(H959,Ref!$B$3:$B$12,Ref!$C$3:$C$12,"",1)</f>
        <v>Morta</v>
      </c>
    </row>
    <row r="960" spans="2:13" x14ac:dyDescent="0.25">
      <c r="B960" s="15" t="s">
        <v>24</v>
      </c>
      <c r="C960" s="9">
        <v>110.5</v>
      </c>
      <c r="D960" s="9">
        <v>120.9</v>
      </c>
      <c r="E960" s="10">
        <v>131</v>
      </c>
      <c r="F960" s="9">
        <f t="shared" si="58"/>
        <v>35.173242423308871</v>
      </c>
      <c r="G960" s="9">
        <f t="shared" si="59"/>
        <v>38.483665239620294</v>
      </c>
      <c r="H960" s="10">
        <f t="shared" si="60"/>
        <v>41.69859509007658</v>
      </c>
      <c r="K960" s="11">
        <f>_xlfn.XLOOKUP(F960,Ref!$B$3:$B$12,Ref!$C$3:$C$12,"",1)</f>
        <v>3</v>
      </c>
      <c r="L960" s="11">
        <f>_xlfn.XLOOKUP(G960,Ref!$B$3:$B$12,Ref!$C$3:$C$12,"",1)</f>
        <v>3</v>
      </c>
      <c r="M960" s="11">
        <f>_xlfn.XLOOKUP(H960,Ref!$B$3:$B$12,Ref!$C$3:$C$12,"",1)</f>
        <v>4</v>
      </c>
    </row>
    <row r="961" spans="2:13" x14ac:dyDescent="0.25">
      <c r="B961" s="15" t="s">
        <v>44</v>
      </c>
      <c r="C961" s="9">
        <v>38.299999999999997</v>
      </c>
      <c r="D961" s="9">
        <v>42.1</v>
      </c>
      <c r="E961" s="10">
        <v>44.5</v>
      </c>
      <c r="F961" s="9">
        <f t="shared" si="58"/>
        <v>12.191268640839182</v>
      </c>
      <c r="G961" s="9">
        <f t="shared" si="59"/>
        <v>13.400846208337589</v>
      </c>
      <c r="H961" s="10">
        <f t="shared" si="60"/>
        <v>14.164789935178685</v>
      </c>
      <c r="K961" s="11">
        <f>_xlfn.XLOOKUP(F961,Ref!$B$3:$B$12,Ref!$C$3:$C$12,"",1)</f>
        <v>1</v>
      </c>
      <c r="L961" s="11">
        <f>_xlfn.XLOOKUP(G961,Ref!$B$3:$B$12,Ref!$C$3:$C$12,"",1)</f>
        <v>1</v>
      </c>
      <c r="M961" s="11">
        <f>_xlfn.XLOOKUP(H961,Ref!$B$3:$B$12,Ref!$C$3:$C$12,"",1)</f>
        <v>1</v>
      </c>
    </row>
    <row r="962" spans="2:13" x14ac:dyDescent="0.25">
      <c r="B962" s="15" t="s">
        <v>25</v>
      </c>
      <c r="C962" s="9">
        <v>57.2</v>
      </c>
      <c r="D962" s="9">
        <v>57.4</v>
      </c>
      <c r="E962" s="10">
        <v>57.9</v>
      </c>
      <c r="F962" s="9">
        <f t="shared" si="58"/>
        <v>18.207325489712829</v>
      </c>
      <c r="G962" s="9">
        <f t="shared" si="59"/>
        <v>18.270987466949585</v>
      </c>
      <c r="H962" s="10">
        <f t="shared" si="60"/>
        <v>18.43014241004148</v>
      </c>
      <c r="K962" s="11">
        <f>_xlfn.XLOOKUP(F962,Ref!$B$3:$B$12,Ref!$C$3:$C$12,"",1)</f>
        <v>1</v>
      </c>
      <c r="L962" s="11">
        <f>_xlfn.XLOOKUP(G962,Ref!$B$3:$B$12,Ref!$C$3:$C$12,"",1)</f>
        <v>1</v>
      </c>
      <c r="M962" s="11">
        <f>_xlfn.XLOOKUP(H962,Ref!$B$3:$B$12,Ref!$C$3:$C$12,"",1)</f>
        <v>1</v>
      </c>
    </row>
    <row r="963" spans="2:13" x14ac:dyDescent="0.25">
      <c r="B963" s="15" t="s">
        <v>32</v>
      </c>
      <c r="C963" s="9">
        <v>43.3</v>
      </c>
      <c r="D963" s="9">
        <v>45.3</v>
      </c>
      <c r="E963" s="10">
        <v>45.3</v>
      </c>
      <c r="F963" s="9">
        <f t="shared" si="58"/>
        <v>13.782818071758136</v>
      </c>
      <c r="G963" s="9">
        <f t="shared" si="59"/>
        <v>14.419437844125717</v>
      </c>
      <c r="H963" s="10">
        <f t="shared" si="60"/>
        <v>14.419437844125717</v>
      </c>
      <c r="K963" s="11">
        <f>_xlfn.XLOOKUP(F963,Ref!$B$3:$B$12,Ref!$C$3:$C$12,"",1)</f>
        <v>1</v>
      </c>
      <c r="L963" s="11">
        <f>_xlfn.XLOOKUP(G963,Ref!$B$3:$B$12,Ref!$C$3:$C$12,"",1)</f>
        <v>1</v>
      </c>
      <c r="M963" s="11">
        <f>_xlfn.XLOOKUP(H963,Ref!$B$3:$B$12,Ref!$C$3:$C$12,"",1)</f>
        <v>1</v>
      </c>
    </row>
    <row r="964" spans="2:13" x14ac:dyDescent="0.25">
      <c r="B964" s="15" t="s">
        <v>8</v>
      </c>
      <c r="C964" s="9">
        <v>41.9</v>
      </c>
      <c r="D964" s="9">
        <v>45.3</v>
      </c>
      <c r="E964" s="10">
        <v>47.4</v>
      </c>
      <c r="F964" s="9">
        <f t="shared" si="58"/>
        <v>13.33718423110083</v>
      </c>
      <c r="G964" s="9">
        <f t="shared" si="59"/>
        <v>14.419437844125717</v>
      </c>
      <c r="H964" s="10">
        <f t="shared" si="60"/>
        <v>15.087888605111678</v>
      </c>
      <c r="K964" s="11">
        <f>_xlfn.XLOOKUP(F964,Ref!$B$3:$B$12,Ref!$C$3:$C$12,"",1)</f>
        <v>1</v>
      </c>
      <c r="L964" s="11">
        <f>_xlfn.XLOOKUP(G964,Ref!$B$3:$B$12,Ref!$C$3:$C$12,"",1)</f>
        <v>1</v>
      </c>
      <c r="M964" s="11">
        <f>_xlfn.XLOOKUP(H964,Ref!$B$3:$B$12,Ref!$C$3:$C$12,"",1)</f>
        <v>1</v>
      </c>
    </row>
    <row r="965" spans="2:13" x14ac:dyDescent="0.25">
      <c r="B965" s="15" t="s">
        <v>76</v>
      </c>
      <c r="C965" s="9">
        <v>45.6</v>
      </c>
      <c r="D965" s="9">
        <v>48.5</v>
      </c>
      <c r="E965" s="10">
        <v>49</v>
      </c>
      <c r="F965" s="9">
        <f t="shared" si="58"/>
        <v>14.514930809980855</v>
      </c>
      <c r="G965" s="9">
        <f t="shared" si="59"/>
        <v>15.438029479913848</v>
      </c>
      <c r="H965" s="10">
        <f t="shared" si="60"/>
        <v>15.597184423005743</v>
      </c>
      <c r="K965" s="11">
        <f>_xlfn.XLOOKUP(F965,Ref!$B$3:$B$12,Ref!$C$3:$C$12,"",1)</f>
        <v>1</v>
      </c>
      <c r="L965" s="11">
        <f>_xlfn.XLOOKUP(G965,Ref!$B$3:$B$12,Ref!$C$3:$C$12,"",1)</f>
        <v>1</v>
      </c>
      <c r="M965" s="11">
        <f>_xlfn.XLOOKUP(H965,Ref!$B$3:$B$12,Ref!$C$3:$C$12,"",1)</f>
        <v>1</v>
      </c>
    </row>
    <row r="966" spans="2:13" x14ac:dyDescent="0.25">
      <c r="B966" s="15" t="s">
        <v>13</v>
      </c>
      <c r="C966" s="9">
        <v>32.4</v>
      </c>
      <c r="D966" s="9">
        <v>34.4</v>
      </c>
      <c r="E966" s="10">
        <v>37.1</v>
      </c>
      <c r="F966" s="9">
        <f t="shared" si="58"/>
        <v>10.313240312354818</v>
      </c>
      <c r="G966" s="9">
        <f t="shared" si="59"/>
        <v>10.949860084722399</v>
      </c>
      <c r="H966" s="10">
        <f t="shared" si="60"/>
        <v>11.809296777418634</v>
      </c>
      <c r="K966" s="11">
        <f>_xlfn.XLOOKUP(F966,Ref!$B$3:$B$12,Ref!$C$3:$C$12,"",1)</f>
        <v>1</v>
      </c>
      <c r="L966" s="11">
        <f>_xlfn.XLOOKUP(G966,Ref!$B$3:$B$12,Ref!$C$3:$C$12,"",1)</f>
        <v>1</v>
      </c>
      <c r="M966" s="11">
        <f>_xlfn.XLOOKUP(H966,Ref!$B$3:$B$12,Ref!$C$3:$C$12,"",1)</f>
        <v>1</v>
      </c>
    </row>
    <row r="967" spans="2:13" x14ac:dyDescent="0.25">
      <c r="B967" s="15" t="s">
        <v>8</v>
      </c>
      <c r="C967" s="9">
        <v>53.1</v>
      </c>
      <c r="D967" s="9">
        <v>53.8</v>
      </c>
      <c r="E967" s="10">
        <v>54.3</v>
      </c>
      <c r="F967" s="9">
        <f t="shared" ref="F967:F1026" si="61">IF(C967="", "", C967/PI())</f>
        <v>16.902254956359286</v>
      </c>
      <c r="G967" s="9">
        <f t="shared" ref="G967:G1026" si="62">IF(D967="", "", D967/PI())</f>
        <v>17.125071876687937</v>
      </c>
      <c r="H967" s="10">
        <f t="shared" ref="H967:H1026" si="63">IF(E967="", "", E967/PI())</f>
        <v>17.284226819779832</v>
      </c>
      <c r="K967" s="11">
        <f>_xlfn.XLOOKUP(F967,Ref!$B$3:$B$12,Ref!$C$3:$C$12,"",1)</f>
        <v>1</v>
      </c>
      <c r="L967" s="11">
        <f>_xlfn.XLOOKUP(G967,Ref!$B$3:$B$12,Ref!$C$3:$C$12,"",1)</f>
        <v>1</v>
      </c>
      <c r="M967" s="11">
        <f>_xlfn.XLOOKUP(H967,Ref!$B$3:$B$12,Ref!$C$3:$C$12,"",1)</f>
        <v>1</v>
      </c>
    </row>
    <row r="968" spans="2:13" x14ac:dyDescent="0.25">
      <c r="B968" s="15" t="s">
        <v>65</v>
      </c>
      <c r="C968" s="9">
        <v>86.7</v>
      </c>
      <c r="D968" s="9">
        <v>94.2</v>
      </c>
      <c r="E968" s="10">
        <v>100.2</v>
      </c>
      <c r="F968" s="9">
        <f t="shared" si="61"/>
        <v>27.597467132134653</v>
      </c>
      <c r="G968" s="9">
        <f t="shared" si="62"/>
        <v>29.984791278513082</v>
      </c>
      <c r="H968" s="10">
        <f t="shared" si="63"/>
        <v>31.894650595615829</v>
      </c>
      <c r="K968" s="11">
        <f>_xlfn.XLOOKUP(F968,Ref!$B$3:$B$12,Ref!$C$3:$C$12,"",1)</f>
        <v>2</v>
      </c>
      <c r="L968" s="11">
        <f>_xlfn.XLOOKUP(G968,Ref!$B$3:$B$12,Ref!$C$3:$C$12,"",1)</f>
        <v>2</v>
      </c>
      <c r="M968" s="11">
        <f>_xlfn.XLOOKUP(H968,Ref!$B$3:$B$12,Ref!$C$3:$C$12,"",1)</f>
        <v>3</v>
      </c>
    </row>
    <row r="969" spans="2:13" x14ac:dyDescent="0.25">
      <c r="B969" s="15" t="s">
        <v>12</v>
      </c>
      <c r="C969" s="9">
        <v>37.1</v>
      </c>
      <c r="D969" s="9">
        <v>38.1</v>
      </c>
      <c r="E969" s="10">
        <v>39.5</v>
      </c>
      <c r="F969" s="9">
        <f t="shared" si="61"/>
        <v>11.809296777418634</v>
      </c>
      <c r="G969" s="9">
        <f t="shared" si="62"/>
        <v>12.127606663602425</v>
      </c>
      <c r="H969" s="10">
        <f t="shared" si="63"/>
        <v>12.573240504259733</v>
      </c>
      <c r="K969" s="11">
        <f>_xlfn.XLOOKUP(F969,Ref!$B$3:$B$12,Ref!$C$3:$C$12,"",1)</f>
        <v>1</v>
      </c>
      <c r="L969" s="11">
        <f>_xlfn.XLOOKUP(G969,Ref!$B$3:$B$12,Ref!$C$3:$C$12,"",1)</f>
        <v>1</v>
      </c>
      <c r="M969" s="11">
        <f>_xlfn.XLOOKUP(H969,Ref!$B$3:$B$12,Ref!$C$3:$C$12,"",1)</f>
        <v>1</v>
      </c>
    </row>
    <row r="970" spans="2:13" x14ac:dyDescent="0.25">
      <c r="B970" s="15" t="s">
        <v>14</v>
      </c>
      <c r="C970" s="9">
        <v>37</v>
      </c>
      <c r="D970" s="9">
        <v>45</v>
      </c>
      <c r="E970" s="10">
        <v>49.3</v>
      </c>
      <c r="F970" s="9">
        <f t="shared" si="61"/>
        <v>11.777465788800255</v>
      </c>
      <c r="G970" s="9">
        <f t="shared" si="62"/>
        <v>14.323944878270581</v>
      </c>
      <c r="H970" s="10">
        <f t="shared" si="63"/>
        <v>15.692677388860879</v>
      </c>
      <c r="K970" s="11">
        <f>_xlfn.XLOOKUP(F970,Ref!$B$3:$B$12,Ref!$C$3:$C$12,"",1)</f>
        <v>1</v>
      </c>
      <c r="L970" s="11">
        <f>_xlfn.XLOOKUP(G970,Ref!$B$3:$B$12,Ref!$C$3:$C$12,"",1)</f>
        <v>1</v>
      </c>
      <c r="M970" s="11">
        <f>_xlfn.XLOOKUP(H970,Ref!$B$3:$B$12,Ref!$C$3:$C$12,"",1)</f>
        <v>1</v>
      </c>
    </row>
    <row r="971" spans="2:13" x14ac:dyDescent="0.25">
      <c r="B971" s="15" t="s">
        <v>12</v>
      </c>
      <c r="C971" s="9">
        <v>36</v>
      </c>
      <c r="D971" s="9">
        <v>39.299999999999997</v>
      </c>
      <c r="E971" s="10">
        <v>41.9</v>
      </c>
      <c r="F971" s="9">
        <f t="shared" si="61"/>
        <v>11.459155902616464</v>
      </c>
      <c r="G971" s="9">
        <f t="shared" si="62"/>
        <v>12.509578527022972</v>
      </c>
      <c r="H971" s="10">
        <f t="shared" si="63"/>
        <v>13.33718423110083</v>
      </c>
      <c r="K971" s="11">
        <f>_xlfn.XLOOKUP(F971,Ref!$B$3:$B$12,Ref!$C$3:$C$12,"",1)</f>
        <v>1</v>
      </c>
      <c r="L971" s="11">
        <f>_xlfn.XLOOKUP(G971,Ref!$B$3:$B$12,Ref!$C$3:$C$12,"",1)</f>
        <v>1</v>
      </c>
      <c r="M971" s="11">
        <f>_xlfn.XLOOKUP(H971,Ref!$B$3:$B$12,Ref!$C$3:$C$12,"",1)</f>
        <v>1</v>
      </c>
    </row>
    <row r="972" spans="2:13" x14ac:dyDescent="0.25">
      <c r="B972" s="15" t="s">
        <v>25</v>
      </c>
      <c r="C972" s="9">
        <v>41.5</v>
      </c>
      <c r="D972" s="9">
        <v>42</v>
      </c>
      <c r="E972" s="10">
        <v>42.7</v>
      </c>
      <c r="F972" s="9">
        <f t="shared" si="61"/>
        <v>13.209860276627314</v>
      </c>
      <c r="G972" s="9">
        <f t="shared" si="62"/>
        <v>13.369015219719209</v>
      </c>
      <c r="H972" s="10">
        <f t="shared" si="63"/>
        <v>13.591832140047863</v>
      </c>
      <c r="K972" s="11">
        <f>_xlfn.XLOOKUP(F972,Ref!$B$3:$B$12,Ref!$C$3:$C$12,"",1)</f>
        <v>1</v>
      </c>
      <c r="L972" s="11">
        <f>_xlfn.XLOOKUP(G972,Ref!$B$3:$B$12,Ref!$C$3:$C$12,"",1)</f>
        <v>1</v>
      </c>
      <c r="M972" s="11">
        <f>_xlfn.XLOOKUP(H972,Ref!$B$3:$B$12,Ref!$C$3:$C$12,"",1)</f>
        <v>1</v>
      </c>
    </row>
    <row r="973" spans="2:13" x14ac:dyDescent="0.25">
      <c r="B973" s="15" t="s">
        <v>46</v>
      </c>
      <c r="C973" s="9">
        <v>37.9</v>
      </c>
      <c r="D973" s="9">
        <v>38.6</v>
      </c>
      <c r="E973" s="10">
        <v>0</v>
      </c>
      <c r="F973" s="9">
        <f t="shared" si="61"/>
        <v>12.063944686365666</v>
      </c>
      <c r="G973" s="9">
        <f t="shared" si="62"/>
        <v>12.286761606694322</v>
      </c>
      <c r="H973" s="10">
        <f t="shared" si="63"/>
        <v>0</v>
      </c>
      <c r="K973" s="11">
        <f>_xlfn.XLOOKUP(F973,Ref!$B$3:$B$12,Ref!$C$3:$C$12,"",1)</f>
        <v>1</v>
      </c>
      <c r="L973" s="11">
        <f>_xlfn.XLOOKUP(G973,Ref!$B$3:$B$12,Ref!$C$3:$C$12,"",1)</f>
        <v>1</v>
      </c>
      <c r="M973" s="11" t="str">
        <f>_xlfn.XLOOKUP(H973,Ref!$B$3:$B$12,Ref!$C$3:$C$12,"",1)</f>
        <v>Morta</v>
      </c>
    </row>
    <row r="974" spans="2:13" x14ac:dyDescent="0.25">
      <c r="B974" s="15" t="s">
        <v>22</v>
      </c>
      <c r="C974" s="9">
        <v>35.9</v>
      </c>
      <c r="D974" s="9">
        <v>36.9</v>
      </c>
      <c r="E974" s="10">
        <v>37</v>
      </c>
      <c r="F974" s="9">
        <f t="shared" si="61"/>
        <v>11.427324913998085</v>
      </c>
      <c r="G974" s="9">
        <f t="shared" si="62"/>
        <v>11.745634800181875</v>
      </c>
      <c r="H974" s="10">
        <f t="shared" si="63"/>
        <v>11.777465788800255</v>
      </c>
      <c r="K974" s="11">
        <f>_xlfn.XLOOKUP(F974,Ref!$B$3:$B$12,Ref!$C$3:$C$12,"",1)</f>
        <v>1</v>
      </c>
      <c r="L974" s="11">
        <f>_xlfn.XLOOKUP(G974,Ref!$B$3:$B$12,Ref!$C$3:$C$12,"",1)</f>
        <v>1</v>
      </c>
      <c r="M974" s="11">
        <f>_xlfn.XLOOKUP(H974,Ref!$B$3:$B$12,Ref!$C$3:$C$12,"",1)</f>
        <v>1</v>
      </c>
    </row>
    <row r="975" spans="2:13" x14ac:dyDescent="0.25">
      <c r="B975" s="15" t="s">
        <v>12</v>
      </c>
      <c r="C975" s="9"/>
      <c r="D975" s="9"/>
      <c r="E975" s="10">
        <v>31.5</v>
      </c>
      <c r="F975" s="9" t="str">
        <f t="shared" si="61"/>
        <v/>
      </c>
      <c r="G975" s="9" t="str">
        <f t="shared" si="62"/>
        <v/>
      </c>
      <c r="H975" s="10">
        <f t="shared" si="63"/>
        <v>10.026761414789407</v>
      </c>
      <c r="K975" s="11" t="str">
        <f>_xlfn.XLOOKUP(F975,Ref!$B$3:$B$12,Ref!$C$3:$C$12,"",1)</f>
        <v/>
      </c>
      <c r="L975" s="11" t="str">
        <f>_xlfn.XLOOKUP(G975,Ref!$B$3:$B$12,Ref!$C$3:$C$12,"",1)</f>
        <v/>
      </c>
      <c r="M975" s="11">
        <f>_xlfn.XLOOKUP(H975,Ref!$B$3:$B$12,Ref!$C$3:$C$12,"",1)</f>
        <v>1</v>
      </c>
    </row>
    <row r="976" spans="2:13" x14ac:dyDescent="0.25">
      <c r="B976" s="15" t="s">
        <v>77</v>
      </c>
      <c r="C976" s="9"/>
      <c r="D976" s="9"/>
      <c r="E976" s="10">
        <v>58</v>
      </c>
      <c r="F976" s="9" t="str">
        <f t="shared" si="61"/>
        <v/>
      </c>
      <c r="G976" s="9" t="str">
        <f t="shared" si="62"/>
        <v/>
      </c>
      <c r="H976" s="10">
        <f t="shared" si="63"/>
        <v>18.461973398659861</v>
      </c>
      <c r="K976" s="11" t="str">
        <f>_xlfn.XLOOKUP(F976,Ref!$B$3:$B$12,Ref!$C$3:$C$12,"",1)</f>
        <v/>
      </c>
      <c r="L976" s="11" t="str">
        <f>_xlfn.XLOOKUP(G976,Ref!$B$3:$B$12,Ref!$C$3:$C$12,"",1)</f>
        <v/>
      </c>
      <c r="M976" s="11">
        <f>_xlfn.XLOOKUP(H976,Ref!$B$3:$B$12,Ref!$C$3:$C$12,"",1)</f>
        <v>1</v>
      </c>
    </row>
    <row r="977" spans="2:13" x14ac:dyDescent="0.25">
      <c r="B977" s="15" t="s">
        <v>46</v>
      </c>
      <c r="C977" s="9">
        <v>37.5</v>
      </c>
      <c r="D977" s="9">
        <v>0</v>
      </c>
      <c r="E977" s="10">
        <v>0</v>
      </c>
      <c r="F977" s="9">
        <f t="shared" si="61"/>
        <v>11.93662073189215</v>
      </c>
      <c r="G977" s="9">
        <f t="shared" si="62"/>
        <v>0</v>
      </c>
      <c r="H977" s="10">
        <f t="shared" si="63"/>
        <v>0</v>
      </c>
      <c r="K977" s="11">
        <f>_xlfn.XLOOKUP(F977,Ref!$B$3:$B$12,Ref!$C$3:$C$12,"",1)</f>
        <v>1</v>
      </c>
      <c r="L977" s="11" t="str">
        <f>_xlfn.XLOOKUP(G977,Ref!$B$3:$B$12,Ref!$C$3:$C$12,"",1)</f>
        <v>Morta</v>
      </c>
      <c r="M977" s="11" t="str">
        <f>_xlfn.XLOOKUP(H977,Ref!$B$3:$B$12,Ref!$C$3:$C$12,"",1)</f>
        <v>Morta</v>
      </c>
    </row>
    <row r="978" spans="2:13" x14ac:dyDescent="0.25">
      <c r="B978" s="15" t="s">
        <v>46</v>
      </c>
      <c r="C978" s="9">
        <v>46.7</v>
      </c>
      <c r="D978" s="9">
        <v>0</v>
      </c>
      <c r="E978" s="10">
        <v>0</v>
      </c>
      <c r="F978" s="9">
        <f t="shared" si="61"/>
        <v>14.865071684783025</v>
      </c>
      <c r="G978" s="9">
        <f t="shared" si="62"/>
        <v>0</v>
      </c>
      <c r="H978" s="10">
        <f t="shared" si="63"/>
        <v>0</v>
      </c>
      <c r="K978" s="11">
        <f>_xlfn.XLOOKUP(F978,Ref!$B$3:$B$12,Ref!$C$3:$C$12,"",1)</f>
        <v>1</v>
      </c>
      <c r="L978" s="11" t="str">
        <f>_xlfn.XLOOKUP(G978,Ref!$B$3:$B$12,Ref!$C$3:$C$12,"",1)</f>
        <v>Morta</v>
      </c>
      <c r="M978" s="11" t="str">
        <f>_xlfn.XLOOKUP(H978,Ref!$B$3:$B$12,Ref!$C$3:$C$12,"",1)</f>
        <v>Morta</v>
      </c>
    </row>
    <row r="979" spans="2:13" x14ac:dyDescent="0.25">
      <c r="B979" s="15" t="s">
        <v>7</v>
      </c>
      <c r="C979" s="9">
        <v>85.7</v>
      </c>
      <c r="D979" s="9">
        <v>92.4</v>
      </c>
      <c r="E979" s="10">
        <v>96.6</v>
      </c>
      <c r="F979" s="9">
        <f t="shared" si="61"/>
        <v>27.279157245950863</v>
      </c>
      <c r="G979" s="9">
        <f t="shared" si="62"/>
        <v>29.41183348338226</v>
      </c>
      <c r="H979" s="10">
        <f t="shared" si="63"/>
        <v>30.748735005354177</v>
      </c>
      <c r="K979" s="11">
        <f>_xlfn.XLOOKUP(F979,Ref!$B$3:$B$12,Ref!$C$3:$C$12,"",1)</f>
        <v>2</v>
      </c>
      <c r="L979" s="11">
        <f>_xlfn.XLOOKUP(G979,Ref!$B$3:$B$12,Ref!$C$3:$C$12,"",1)</f>
        <v>2</v>
      </c>
      <c r="M979" s="11">
        <f>_xlfn.XLOOKUP(H979,Ref!$B$3:$B$12,Ref!$C$3:$C$12,"",1)</f>
        <v>3</v>
      </c>
    </row>
    <row r="980" spans="2:13" x14ac:dyDescent="0.25">
      <c r="B980" s="15" t="s">
        <v>13</v>
      </c>
      <c r="C980" s="9">
        <v>51.2</v>
      </c>
      <c r="D980" s="9">
        <v>56</v>
      </c>
      <c r="E980" s="10">
        <v>60</v>
      </c>
      <c r="F980" s="9">
        <f t="shared" si="61"/>
        <v>16.297466172610083</v>
      </c>
      <c r="G980" s="9">
        <f t="shared" si="62"/>
        <v>17.82535362629228</v>
      </c>
      <c r="H980" s="10">
        <f t="shared" si="63"/>
        <v>19.098593171027442</v>
      </c>
      <c r="K980" s="11">
        <f>_xlfn.XLOOKUP(F980,Ref!$B$3:$B$12,Ref!$C$3:$C$12,"",1)</f>
        <v>1</v>
      </c>
      <c r="L980" s="11">
        <f>_xlfn.XLOOKUP(G980,Ref!$B$3:$B$12,Ref!$C$3:$C$12,"",1)</f>
        <v>1</v>
      </c>
      <c r="M980" s="11">
        <f>_xlfn.XLOOKUP(H980,Ref!$B$3:$B$12,Ref!$C$3:$C$12,"",1)</f>
        <v>1</v>
      </c>
    </row>
    <row r="981" spans="2:13" x14ac:dyDescent="0.25">
      <c r="B981" s="15" t="s">
        <v>12</v>
      </c>
      <c r="C981" s="9">
        <v>37.4</v>
      </c>
      <c r="D981" s="9">
        <v>39</v>
      </c>
      <c r="E981" s="10">
        <v>40.5</v>
      </c>
      <c r="F981" s="9">
        <f t="shared" si="61"/>
        <v>11.904789743273771</v>
      </c>
      <c r="G981" s="9">
        <f t="shared" si="62"/>
        <v>12.414085561167836</v>
      </c>
      <c r="H981" s="10">
        <f t="shared" si="63"/>
        <v>12.891550390443523</v>
      </c>
      <c r="K981" s="11">
        <f>_xlfn.XLOOKUP(F981,Ref!$B$3:$B$12,Ref!$C$3:$C$12,"",1)</f>
        <v>1</v>
      </c>
      <c r="L981" s="11">
        <f>_xlfn.XLOOKUP(G981,Ref!$B$3:$B$12,Ref!$C$3:$C$12,"",1)</f>
        <v>1</v>
      </c>
      <c r="M981" s="11">
        <f>_xlfn.XLOOKUP(H981,Ref!$B$3:$B$12,Ref!$C$3:$C$12,"",1)</f>
        <v>1</v>
      </c>
    </row>
    <row r="982" spans="2:13" x14ac:dyDescent="0.25">
      <c r="B982" s="15" t="s">
        <v>8</v>
      </c>
      <c r="C982" s="9">
        <v>32.799999999999997</v>
      </c>
      <c r="D982" s="9">
        <v>35.5</v>
      </c>
      <c r="E982" s="10">
        <v>36.799999999999997</v>
      </c>
      <c r="F982" s="9">
        <f t="shared" si="61"/>
        <v>10.440564266828334</v>
      </c>
      <c r="G982" s="9">
        <f t="shared" si="62"/>
        <v>11.300000959524569</v>
      </c>
      <c r="H982" s="10">
        <f t="shared" si="63"/>
        <v>11.713803811563496</v>
      </c>
      <c r="K982" s="11">
        <f>_xlfn.XLOOKUP(F982,Ref!$B$3:$B$12,Ref!$C$3:$C$12,"",1)</f>
        <v>1</v>
      </c>
      <c r="L982" s="11">
        <f>_xlfn.XLOOKUP(G982,Ref!$B$3:$B$12,Ref!$C$3:$C$12,"",1)</f>
        <v>1</v>
      </c>
      <c r="M982" s="11">
        <f>_xlfn.XLOOKUP(H982,Ref!$B$3:$B$12,Ref!$C$3:$C$12,"",1)</f>
        <v>1</v>
      </c>
    </row>
    <row r="983" spans="2:13" x14ac:dyDescent="0.25">
      <c r="B983" s="15" t="s">
        <v>60</v>
      </c>
      <c r="C983" s="9">
        <v>80.5</v>
      </c>
      <c r="D983" s="9">
        <v>88.7</v>
      </c>
      <c r="E983" s="10">
        <v>97.7</v>
      </c>
      <c r="F983" s="9">
        <f t="shared" si="61"/>
        <v>25.623945837795151</v>
      </c>
      <c r="G983" s="9">
        <f t="shared" si="62"/>
        <v>28.234086904502234</v>
      </c>
      <c r="H983" s="10">
        <f t="shared" si="63"/>
        <v>31.098875880156349</v>
      </c>
      <c r="K983" s="11">
        <f>_xlfn.XLOOKUP(F983,Ref!$B$3:$B$12,Ref!$C$3:$C$12,"",1)</f>
        <v>2</v>
      </c>
      <c r="L983" s="11">
        <f>_xlfn.XLOOKUP(G983,Ref!$B$3:$B$12,Ref!$C$3:$C$12,"",1)</f>
        <v>2</v>
      </c>
      <c r="M983" s="11">
        <f>_xlfn.XLOOKUP(H983,Ref!$B$3:$B$12,Ref!$C$3:$C$12,"",1)</f>
        <v>3</v>
      </c>
    </row>
    <row r="984" spans="2:13" x14ac:dyDescent="0.25">
      <c r="B984" s="15" t="s">
        <v>25</v>
      </c>
      <c r="C984" s="9">
        <v>67.599999999999994</v>
      </c>
      <c r="D984" s="9">
        <v>70.5</v>
      </c>
      <c r="E984" s="10">
        <v>71.5</v>
      </c>
      <c r="F984" s="9">
        <f t="shared" si="61"/>
        <v>21.517748306024249</v>
      </c>
      <c r="G984" s="9">
        <f t="shared" si="62"/>
        <v>22.440846975957243</v>
      </c>
      <c r="H984" s="10">
        <f t="shared" si="63"/>
        <v>22.759156862141033</v>
      </c>
      <c r="K984" s="11">
        <f>_xlfn.XLOOKUP(F984,Ref!$B$3:$B$12,Ref!$C$3:$C$12,"",1)</f>
        <v>2</v>
      </c>
      <c r="L984" s="11">
        <f>_xlfn.XLOOKUP(G984,Ref!$B$3:$B$12,Ref!$C$3:$C$12,"",1)</f>
        <v>2</v>
      </c>
      <c r="M984" s="11">
        <f>_xlfn.XLOOKUP(H984,Ref!$B$3:$B$12,Ref!$C$3:$C$12,"",1)</f>
        <v>2</v>
      </c>
    </row>
    <row r="985" spans="2:13" x14ac:dyDescent="0.25">
      <c r="B985" s="15" t="s">
        <v>8</v>
      </c>
      <c r="C985" s="9">
        <v>51.9</v>
      </c>
      <c r="D985" s="9">
        <v>54.4</v>
      </c>
      <c r="E985" s="10">
        <v>54.8</v>
      </c>
      <c r="F985" s="9">
        <f t="shared" si="61"/>
        <v>16.520283092938737</v>
      </c>
      <c r="G985" s="9">
        <f t="shared" si="62"/>
        <v>17.316057808398213</v>
      </c>
      <c r="H985" s="10">
        <f t="shared" si="63"/>
        <v>17.443381762871727</v>
      </c>
      <c r="K985" s="11">
        <f>_xlfn.XLOOKUP(F985,Ref!$B$3:$B$12,Ref!$C$3:$C$12,"",1)</f>
        <v>1</v>
      </c>
      <c r="L985" s="11">
        <f>_xlfn.XLOOKUP(G985,Ref!$B$3:$B$12,Ref!$C$3:$C$12,"",1)</f>
        <v>1</v>
      </c>
      <c r="M985" s="11">
        <f>_xlfn.XLOOKUP(H985,Ref!$B$3:$B$12,Ref!$C$3:$C$12,"",1)</f>
        <v>1</v>
      </c>
    </row>
    <row r="986" spans="2:13" x14ac:dyDescent="0.25">
      <c r="B986" s="15" t="s">
        <v>27</v>
      </c>
      <c r="C986" s="9">
        <v>61.2</v>
      </c>
      <c r="D986" s="9">
        <v>60.4</v>
      </c>
      <c r="E986" s="10">
        <v>60.2</v>
      </c>
      <c r="F986" s="9">
        <f t="shared" si="61"/>
        <v>19.480565034447991</v>
      </c>
      <c r="G986" s="9">
        <f t="shared" si="62"/>
        <v>19.225917125500956</v>
      </c>
      <c r="H986" s="10">
        <f t="shared" si="63"/>
        <v>19.162255148264201</v>
      </c>
      <c r="K986" s="11">
        <f>_xlfn.XLOOKUP(F986,Ref!$B$3:$B$12,Ref!$C$3:$C$12,"",1)</f>
        <v>1</v>
      </c>
      <c r="L986" s="11">
        <f>_xlfn.XLOOKUP(G986,Ref!$B$3:$B$12,Ref!$C$3:$C$12,"",1)</f>
        <v>1</v>
      </c>
      <c r="M986" s="11">
        <f>_xlfn.XLOOKUP(H986,Ref!$B$3:$B$12,Ref!$C$3:$C$12,"",1)</f>
        <v>1</v>
      </c>
    </row>
    <row r="987" spans="2:13" x14ac:dyDescent="0.25">
      <c r="B987" s="15" t="s">
        <v>76</v>
      </c>
      <c r="C987" s="9">
        <v>56.9</v>
      </c>
      <c r="D987" s="9">
        <v>59.1</v>
      </c>
      <c r="E987" s="10">
        <v>59.8</v>
      </c>
      <c r="F987" s="9">
        <f t="shared" si="61"/>
        <v>18.111832523857689</v>
      </c>
      <c r="G987" s="9">
        <f t="shared" si="62"/>
        <v>18.812114273462029</v>
      </c>
      <c r="H987" s="10">
        <f t="shared" si="63"/>
        <v>19.034931193790683</v>
      </c>
      <c r="K987" s="11">
        <f>_xlfn.XLOOKUP(F987,Ref!$B$3:$B$12,Ref!$C$3:$C$12,"",1)</f>
        <v>1</v>
      </c>
      <c r="L987" s="11">
        <f>_xlfn.XLOOKUP(G987,Ref!$B$3:$B$12,Ref!$C$3:$C$12,"",1)</f>
        <v>1</v>
      </c>
      <c r="M987" s="11">
        <f>_xlfn.XLOOKUP(H987,Ref!$B$3:$B$12,Ref!$C$3:$C$12,"",1)</f>
        <v>1</v>
      </c>
    </row>
    <row r="988" spans="2:13" x14ac:dyDescent="0.25">
      <c r="B988" s="15" t="s">
        <v>76</v>
      </c>
      <c r="C988" s="9">
        <v>94.1</v>
      </c>
      <c r="D988" s="9">
        <v>100</v>
      </c>
      <c r="E988" s="10">
        <v>106.6</v>
      </c>
      <c r="F988" s="9">
        <f t="shared" si="61"/>
        <v>29.952960289894701</v>
      </c>
      <c r="G988" s="9">
        <f t="shared" si="62"/>
        <v>31.830988618379067</v>
      </c>
      <c r="H988" s="10">
        <f t="shared" si="63"/>
        <v>33.931833867192083</v>
      </c>
      <c r="K988" s="11">
        <f>_xlfn.XLOOKUP(F988,Ref!$B$3:$B$12,Ref!$C$3:$C$12,"",1)</f>
        <v>2</v>
      </c>
      <c r="L988" s="11">
        <f>_xlfn.XLOOKUP(G988,Ref!$B$3:$B$12,Ref!$C$3:$C$12,"",1)</f>
        <v>3</v>
      </c>
      <c r="M988" s="11">
        <f>_xlfn.XLOOKUP(H988,Ref!$B$3:$B$12,Ref!$C$3:$C$12,"",1)</f>
        <v>3</v>
      </c>
    </row>
    <row r="989" spans="2:13" x14ac:dyDescent="0.25">
      <c r="B989" s="15" t="s">
        <v>65</v>
      </c>
      <c r="C989" s="9">
        <v>59.7</v>
      </c>
      <c r="D989" s="9">
        <v>70</v>
      </c>
      <c r="E989" s="10">
        <v>74.5</v>
      </c>
      <c r="F989" s="9">
        <f t="shared" si="61"/>
        <v>19.003100205172306</v>
      </c>
      <c r="G989" s="9">
        <f t="shared" si="62"/>
        <v>22.281692032865347</v>
      </c>
      <c r="H989" s="10">
        <f t="shared" si="63"/>
        <v>23.714086520692405</v>
      </c>
      <c r="K989" s="11">
        <f>_xlfn.XLOOKUP(F989,Ref!$B$3:$B$12,Ref!$C$3:$C$12,"",1)</f>
        <v>1</v>
      </c>
      <c r="L989" s="11">
        <f>_xlfn.XLOOKUP(G989,Ref!$B$3:$B$12,Ref!$C$3:$C$12,"",1)</f>
        <v>2</v>
      </c>
      <c r="M989" s="11">
        <f>_xlfn.XLOOKUP(H989,Ref!$B$3:$B$12,Ref!$C$3:$C$12,"",1)</f>
        <v>2</v>
      </c>
    </row>
    <row r="990" spans="2:13" x14ac:dyDescent="0.25">
      <c r="B990" s="15" t="s">
        <v>30</v>
      </c>
      <c r="C990" s="9">
        <v>57.1</v>
      </c>
      <c r="D990" s="9">
        <v>60.3</v>
      </c>
      <c r="E990" s="10">
        <v>65.900000000000006</v>
      </c>
      <c r="F990" s="9">
        <f t="shared" si="61"/>
        <v>18.175494501094448</v>
      </c>
      <c r="G990" s="9">
        <f t="shared" si="62"/>
        <v>19.194086136882579</v>
      </c>
      <c r="H990" s="10">
        <f t="shared" si="63"/>
        <v>20.976621499511808</v>
      </c>
      <c r="K990" s="11">
        <f>_xlfn.XLOOKUP(F990,Ref!$B$3:$B$12,Ref!$C$3:$C$12,"",1)</f>
        <v>1</v>
      </c>
      <c r="L990" s="11">
        <f>_xlfn.XLOOKUP(G990,Ref!$B$3:$B$12,Ref!$C$3:$C$12,"",1)</f>
        <v>1</v>
      </c>
      <c r="M990" s="11">
        <f>_xlfn.XLOOKUP(H990,Ref!$B$3:$B$12,Ref!$C$3:$C$12,"",1)</f>
        <v>2</v>
      </c>
    </row>
    <row r="991" spans="2:13" x14ac:dyDescent="0.25">
      <c r="B991" s="15" t="s">
        <v>27</v>
      </c>
      <c r="C991" s="9">
        <v>38.5</v>
      </c>
      <c r="D991" s="9">
        <v>42.1</v>
      </c>
      <c r="E991" s="10">
        <v>43.8</v>
      </c>
      <c r="F991" s="9">
        <f t="shared" si="61"/>
        <v>12.254930618075941</v>
      </c>
      <c r="G991" s="9">
        <f t="shared" si="62"/>
        <v>13.400846208337589</v>
      </c>
      <c r="H991" s="10">
        <f t="shared" si="63"/>
        <v>13.941973014850031</v>
      </c>
      <c r="K991" s="11">
        <f>_xlfn.XLOOKUP(F991,Ref!$B$3:$B$12,Ref!$C$3:$C$12,"",1)</f>
        <v>1</v>
      </c>
      <c r="L991" s="11">
        <f>_xlfn.XLOOKUP(G991,Ref!$B$3:$B$12,Ref!$C$3:$C$12,"",1)</f>
        <v>1</v>
      </c>
      <c r="M991" s="11">
        <f>_xlfn.XLOOKUP(H991,Ref!$B$3:$B$12,Ref!$C$3:$C$12,"",1)</f>
        <v>1</v>
      </c>
    </row>
    <row r="992" spans="2:13" x14ac:dyDescent="0.25">
      <c r="B992" s="15" t="s">
        <v>8</v>
      </c>
      <c r="C992" s="9">
        <v>31.7</v>
      </c>
      <c r="D992" s="9">
        <v>32.9</v>
      </c>
      <c r="E992" s="10">
        <v>34.299999999999997</v>
      </c>
      <c r="F992" s="9">
        <f t="shared" si="61"/>
        <v>10.090423392026164</v>
      </c>
      <c r="G992" s="9">
        <f t="shared" si="62"/>
        <v>10.472395255446713</v>
      </c>
      <c r="H992" s="10">
        <f t="shared" si="63"/>
        <v>10.91802909610402</v>
      </c>
      <c r="K992" s="11">
        <f>_xlfn.XLOOKUP(F992,Ref!$B$3:$B$12,Ref!$C$3:$C$12,"",1)</f>
        <v>1</v>
      </c>
      <c r="L992" s="11">
        <f>_xlfn.XLOOKUP(G992,Ref!$B$3:$B$12,Ref!$C$3:$C$12,"",1)</f>
        <v>1</v>
      </c>
      <c r="M992" s="11">
        <f>_xlfn.XLOOKUP(H992,Ref!$B$3:$B$12,Ref!$C$3:$C$12,"",1)</f>
        <v>1</v>
      </c>
    </row>
    <row r="993" spans="2:13" x14ac:dyDescent="0.25">
      <c r="B993" s="15" t="s">
        <v>51</v>
      </c>
      <c r="C993" s="9">
        <v>42.8</v>
      </c>
      <c r="D993" s="9">
        <v>43</v>
      </c>
      <c r="E993" s="10">
        <v>44</v>
      </c>
      <c r="F993" s="9">
        <f t="shared" si="61"/>
        <v>13.623663128666241</v>
      </c>
      <c r="G993" s="9">
        <f t="shared" si="62"/>
        <v>13.687325105903</v>
      </c>
      <c r="H993" s="10">
        <f t="shared" si="63"/>
        <v>14.00563499208679</v>
      </c>
      <c r="K993" s="11">
        <f>_xlfn.XLOOKUP(F993,Ref!$B$3:$B$12,Ref!$C$3:$C$12,"",1)</f>
        <v>1</v>
      </c>
      <c r="L993" s="11">
        <f>_xlfn.XLOOKUP(G993,Ref!$B$3:$B$12,Ref!$C$3:$C$12,"",1)</f>
        <v>1</v>
      </c>
      <c r="M993" s="11">
        <f>_xlfn.XLOOKUP(H993,Ref!$B$3:$B$12,Ref!$C$3:$C$12,"",1)</f>
        <v>1</v>
      </c>
    </row>
    <row r="994" spans="2:13" x14ac:dyDescent="0.25">
      <c r="B994" s="15" t="s">
        <v>37</v>
      </c>
      <c r="C994" s="9">
        <v>39.9</v>
      </c>
      <c r="D994" s="9">
        <v>45.6</v>
      </c>
      <c r="E994" s="10">
        <v>47.1</v>
      </c>
      <c r="F994" s="9">
        <f t="shared" si="61"/>
        <v>12.700564458733249</v>
      </c>
      <c r="G994" s="9">
        <f t="shared" si="62"/>
        <v>14.514930809980855</v>
      </c>
      <c r="H994" s="10">
        <f t="shared" si="63"/>
        <v>14.992395639256541</v>
      </c>
      <c r="K994" s="11">
        <f>_xlfn.XLOOKUP(F994,Ref!$B$3:$B$12,Ref!$C$3:$C$12,"",1)</f>
        <v>1</v>
      </c>
      <c r="L994" s="11">
        <f>_xlfn.XLOOKUP(G994,Ref!$B$3:$B$12,Ref!$C$3:$C$12,"",1)</f>
        <v>1</v>
      </c>
      <c r="M994" s="11">
        <f>_xlfn.XLOOKUP(H994,Ref!$B$3:$B$12,Ref!$C$3:$C$12,"",1)</f>
        <v>1</v>
      </c>
    </row>
    <row r="995" spans="2:13" x14ac:dyDescent="0.25">
      <c r="B995" s="15" t="s">
        <v>8</v>
      </c>
      <c r="C995" s="9">
        <v>38.200000000000003</v>
      </c>
      <c r="D995" s="9">
        <v>39.4</v>
      </c>
      <c r="E995" s="10">
        <v>40</v>
      </c>
      <c r="F995" s="9">
        <f t="shared" si="61"/>
        <v>12.159437652220806</v>
      </c>
      <c r="G995" s="9">
        <f t="shared" si="62"/>
        <v>12.541409515641352</v>
      </c>
      <c r="H995" s="10">
        <f t="shared" si="63"/>
        <v>12.732395447351628</v>
      </c>
      <c r="K995" s="11">
        <f>_xlfn.XLOOKUP(F995,Ref!$B$3:$B$12,Ref!$C$3:$C$12,"",1)</f>
        <v>1</v>
      </c>
      <c r="L995" s="11">
        <f>_xlfn.XLOOKUP(G995,Ref!$B$3:$B$12,Ref!$C$3:$C$12,"",1)</f>
        <v>1</v>
      </c>
      <c r="M995" s="11">
        <f>_xlfn.XLOOKUP(H995,Ref!$B$3:$B$12,Ref!$C$3:$C$12,"",1)</f>
        <v>1</v>
      </c>
    </row>
    <row r="996" spans="2:13" x14ac:dyDescent="0.25">
      <c r="B996" s="15" t="s">
        <v>41</v>
      </c>
      <c r="C996" s="9">
        <v>49.6</v>
      </c>
      <c r="D996" s="9">
        <v>51.5</v>
      </c>
      <c r="E996" s="10">
        <v>52.3</v>
      </c>
      <c r="F996" s="9">
        <f t="shared" si="61"/>
        <v>15.788170354716019</v>
      </c>
      <c r="G996" s="9">
        <f t="shared" si="62"/>
        <v>16.392959138465219</v>
      </c>
      <c r="H996" s="10">
        <f t="shared" si="63"/>
        <v>16.647607047412251</v>
      </c>
      <c r="K996" s="11">
        <f>_xlfn.XLOOKUP(F996,Ref!$B$3:$B$12,Ref!$C$3:$C$12,"",1)</f>
        <v>1</v>
      </c>
      <c r="L996" s="11">
        <f>_xlfn.XLOOKUP(G996,Ref!$B$3:$B$12,Ref!$C$3:$C$12,"",1)</f>
        <v>1</v>
      </c>
      <c r="M996" s="11">
        <f>_xlfn.XLOOKUP(H996,Ref!$B$3:$B$12,Ref!$C$3:$C$12,"",1)</f>
        <v>1</v>
      </c>
    </row>
    <row r="997" spans="2:13" x14ac:dyDescent="0.25">
      <c r="B997" s="15" t="s">
        <v>46</v>
      </c>
      <c r="C997" s="9">
        <v>49</v>
      </c>
      <c r="D997" s="9">
        <v>0</v>
      </c>
      <c r="E997" s="10">
        <v>0</v>
      </c>
      <c r="F997" s="9">
        <f t="shared" si="61"/>
        <v>15.597184423005743</v>
      </c>
      <c r="G997" s="9">
        <f t="shared" si="62"/>
        <v>0</v>
      </c>
      <c r="H997" s="10">
        <f t="shared" si="63"/>
        <v>0</v>
      </c>
      <c r="K997" s="11">
        <f>_xlfn.XLOOKUP(F997,Ref!$B$3:$B$12,Ref!$C$3:$C$12,"",1)</f>
        <v>1</v>
      </c>
      <c r="L997" s="11" t="str">
        <f>_xlfn.XLOOKUP(G997,Ref!$B$3:$B$12,Ref!$C$3:$C$12,"",1)</f>
        <v>Morta</v>
      </c>
      <c r="M997" s="11" t="str">
        <f>_xlfn.XLOOKUP(H997,Ref!$B$3:$B$12,Ref!$C$3:$C$12,"",1)</f>
        <v>Morta</v>
      </c>
    </row>
    <row r="998" spans="2:13" x14ac:dyDescent="0.25">
      <c r="B998" s="15" t="s">
        <v>27</v>
      </c>
      <c r="C998" s="9">
        <v>52</v>
      </c>
      <c r="D998" s="9">
        <v>53.3</v>
      </c>
      <c r="E998" s="10">
        <v>55</v>
      </c>
      <c r="F998" s="9">
        <f t="shared" si="61"/>
        <v>16.552114081557114</v>
      </c>
      <c r="G998" s="9">
        <f t="shared" si="62"/>
        <v>16.965916933596041</v>
      </c>
      <c r="H998" s="10">
        <f t="shared" si="63"/>
        <v>17.507043740108486</v>
      </c>
      <c r="K998" s="11">
        <f>_xlfn.XLOOKUP(F998,Ref!$B$3:$B$12,Ref!$C$3:$C$12,"",1)</f>
        <v>1</v>
      </c>
      <c r="L998" s="11">
        <f>_xlfn.XLOOKUP(G998,Ref!$B$3:$B$12,Ref!$C$3:$C$12,"",1)</f>
        <v>1</v>
      </c>
      <c r="M998" s="11">
        <f>_xlfn.XLOOKUP(H998,Ref!$B$3:$B$12,Ref!$C$3:$C$12,"",1)</f>
        <v>1</v>
      </c>
    </row>
    <row r="999" spans="2:13" x14ac:dyDescent="0.25">
      <c r="B999" s="15" t="s">
        <v>44</v>
      </c>
      <c r="C999" s="9">
        <v>44.3</v>
      </c>
      <c r="D999" s="9">
        <v>44.3</v>
      </c>
      <c r="E999" s="10">
        <v>44.3</v>
      </c>
      <c r="F999" s="9">
        <f t="shared" si="61"/>
        <v>14.101127957941927</v>
      </c>
      <c r="G999" s="9">
        <f t="shared" si="62"/>
        <v>14.101127957941927</v>
      </c>
      <c r="H999" s="10">
        <f t="shared" si="63"/>
        <v>14.101127957941927</v>
      </c>
      <c r="K999" s="11">
        <f>_xlfn.XLOOKUP(F999,Ref!$B$3:$B$12,Ref!$C$3:$C$12,"",1)</f>
        <v>1</v>
      </c>
      <c r="L999" s="11">
        <f>_xlfn.XLOOKUP(G999,Ref!$B$3:$B$12,Ref!$C$3:$C$12,"",1)</f>
        <v>1</v>
      </c>
      <c r="M999" s="11">
        <f>_xlfn.XLOOKUP(H999,Ref!$B$3:$B$12,Ref!$C$3:$C$12,"",1)</f>
        <v>1</v>
      </c>
    </row>
    <row r="1000" spans="2:13" x14ac:dyDescent="0.25">
      <c r="B1000" s="15" t="s">
        <v>44</v>
      </c>
      <c r="C1000" s="9">
        <v>53.6</v>
      </c>
      <c r="D1000" s="9">
        <v>53.6</v>
      </c>
      <c r="E1000" s="10">
        <v>53.6</v>
      </c>
      <c r="F1000" s="9">
        <f t="shared" si="61"/>
        <v>17.061409899451181</v>
      </c>
      <c r="G1000" s="9">
        <f t="shared" si="62"/>
        <v>17.061409899451181</v>
      </c>
      <c r="H1000" s="10">
        <f t="shared" si="63"/>
        <v>17.061409899451181</v>
      </c>
      <c r="K1000" s="11">
        <f>_xlfn.XLOOKUP(F1000,Ref!$B$3:$B$12,Ref!$C$3:$C$12,"",1)</f>
        <v>1</v>
      </c>
      <c r="L1000" s="11">
        <f>_xlfn.XLOOKUP(G1000,Ref!$B$3:$B$12,Ref!$C$3:$C$12,"",1)</f>
        <v>1</v>
      </c>
      <c r="M1000" s="11">
        <f>_xlfn.XLOOKUP(H1000,Ref!$B$3:$B$12,Ref!$C$3:$C$12,"",1)</f>
        <v>1</v>
      </c>
    </row>
    <row r="1001" spans="2:13" x14ac:dyDescent="0.25">
      <c r="B1001" s="15" t="s">
        <v>12</v>
      </c>
      <c r="C1001" s="9">
        <v>44.2</v>
      </c>
      <c r="D1001" s="9">
        <v>50.4</v>
      </c>
      <c r="E1001" s="10">
        <v>52.3</v>
      </c>
      <c r="F1001" s="9">
        <f t="shared" si="61"/>
        <v>14.069296969323549</v>
      </c>
      <c r="G1001" s="9">
        <f t="shared" si="62"/>
        <v>16.042818263663051</v>
      </c>
      <c r="H1001" s="10">
        <f t="shared" si="63"/>
        <v>16.647607047412251</v>
      </c>
      <c r="K1001" s="11">
        <f>_xlfn.XLOOKUP(F1001,Ref!$B$3:$B$12,Ref!$C$3:$C$12,"",1)</f>
        <v>1</v>
      </c>
      <c r="L1001" s="11">
        <f>_xlfn.XLOOKUP(G1001,Ref!$B$3:$B$12,Ref!$C$3:$C$12,"",1)</f>
        <v>1</v>
      </c>
      <c r="M1001" s="11">
        <f>_xlfn.XLOOKUP(H1001,Ref!$B$3:$B$12,Ref!$C$3:$C$12,"",1)</f>
        <v>1</v>
      </c>
    </row>
    <row r="1002" spans="2:13" x14ac:dyDescent="0.25">
      <c r="B1002" s="15" t="s">
        <v>27</v>
      </c>
      <c r="C1002" s="9">
        <v>33.9</v>
      </c>
      <c r="D1002" s="9">
        <v>34.5</v>
      </c>
      <c r="E1002" s="10">
        <v>36.700000000000003</v>
      </c>
      <c r="F1002" s="9">
        <f t="shared" si="61"/>
        <v>10.790705141630504</v>
      </c>
      <c r="G1002" s="9">
        <f t="shared" si="62"/>
        <v>10.981691073340778</v>
      </c>
      <c r="H1002" s="10">
        <f t="shared" si="63"/>
        <v>11.681972822945118</v>
      </c>
      <c r="K1002" s="11">
        <f>_xlfn.XLOOKUP(F1002,Ref!$B$3:$B$12,Ref!$C$3:$C$12,"",1)</f>
        <v>1</v>
      </c>
      <c r="L1002" s="11">
        <f>_xlfn.XLOOKUP(G1002,Ref!$B$3:$B$12,Ref!$C$3:$C$12,"",1)</f>
        <v>1</v>
      </c>
      <c r="M1002" s="11">
        <f>_xlfn.XLOOKUP(H1002,Ref!$B$3:$B$12,Ref!$C$3:$C$12,"",1)</f>
        <v>1</v>
      </c>
    </row>
    <row r="1003" spans="2:13" x14ac:dyDescent="0.25">
      <c r="B1003" s="15" t="s">
        <v>30</v>
      </c>
      <c r="C1003" s="9">
        <v>53.9</v>
      </c>
      <c r="D1003" s="9">
        <v>61.8</v>
      </c>
      <c r="E1003" s="10">
        <v>67.099999999999994</v>
      </c>
      <c r="F1003" s="9">
        <f t="shared" si="61"/>
        <v>17.156902865306318</v>
      </c>
      <c r="G1003" s="9">
        <f t="shared" si="62"/>
        <v>19.671550966158264</v>
      </c>
      <c r="H1003" s="10">
        <f t="shared" si="63"/>
        <v>21.358593362932353</v>
      </c>
      <c r="K1003" s="11">
        <f>_xlfn.XLOOKUP(F1003,Ref!$B$3:$B$12,Ref!$C$3:$C$12,"",1)</f>
        <v>1</v>
      </c>
      <c r="L1003" s="11">
        <f>_xlfn.XLOOKUP(G1003,Ref!$B$3:$B$12,Ref!$C$3:$C$12,"",1)</f>
        <v>1</v>
      </c>
      <c r="M1003" s="11">
        <f>_xlfn.XLOOKUP(H1003,Ref!$B$3:$B$12,Ref!$C$3:$C$12,"",1)</f>
        <v>2</v>
      </c>
    </row>
    <row r="1004" spans="2:13" x14ac:dyDescent="0.25">
      <c r="B1004" s="15" t="s">
        <v>70</v>
      </c>
      <c r="C1004" s="9">
        <v>34.1</v>
      </c>
      <c r="D1004" s="9">
        <v>35.299999999999997</v>
      </c>
      <c r="E1004" s="10">
        <v>36.5</v>
      </c>
      <c r="F1004" s="9">
        <f t="shared" si="61"/>
        <v>10.854367118867263</v>
      </c>
      <c r="G1004" s="9">
        <f t="shared" si="62"/>
        <v>11.23633898228781</v>
      </c>
      <c r="H1004" s="10">
        <f t="shared" si="63"/>
        <v>11.618310845708359</v>
      </c>
      <c r="K1004" s="11">
        <f>_xlfn.XLOOKUP(F1004,Ref!$B$3:$B$12,Ref!$C$3:$C$12,"",1)</f>
        <v>1</v>
      </c>
      <c r="L1004" s="11">
        <f>_xlfn.XLOOKUP(G1004,Ref!$B$3:$B$12,Ref!$C$3:$C$12,"",1)</f>
        <v>1</v>
      </c>
      <c r="M1004" s="11">
        <f>_xlfn.XLOOKUP(H1004,Ref!$B$3:$B$12,Ref!$C$3:$C$12,"",1)</f>
        <v>1</v>
      </c>
    </row>
    <row r="1005" spans="2:13" x14ac:dyDescent="0.25">
      <c r="B1005" s="15" t="s">
        <v>12</v>
      </c>
      <c r="C1005" s="9">
        <v>36.1</v>
      </c>
      <c r="D1005" s="9">
        <v>38.5</v>
      </c>
      <c r="E1005" s="10">
        <v>43.2</v>
      </c>
      <c r="F1005" s="9">
        <f t="shared" si="61"/>
        <v>11.490986891234844</v>
      </c>
      <c r="G1005" s="9">
        <f t="shared" si="62"/>
        <v>12.254930618075941</v>
      </c>
      <c r="H1005" s="10">
        <f t="shared" si="63"/>
        <v>13.750987083139758</v>
      </c>
      <c r="K1005" s="11">
        <f>_xlfn.XLOOKUP(F1005,Ref!$B$3:$B$12,Ref!$C$3:$C$12,"",1)</f>
        <v>1</v>
      </c>
      <c r="L1005" s="11">
        <f>_xlfn.XLOOKUP(G1005,Ref!$B$3:$B$12,Ref!$C$3:$C$12,"",1)</f>
        <v>1</v>
      </c>
      <c r="M1005" s="11">
        <f>_xlfn.XLOOKUP(H1005,Ref!$B$3:$B$12,Ref!$C$3:$C$12,"",1)</f>
        <v>1</v>
      </c>
    </row>
    <row r="1006" spans="2:13" x14ac:dyDescent="0.25">
      <c r="B1006" s="15" t="s">
        <v>50</v>
      </c>
      <c r="C1006" s="9">
        <v>39.5</v>
      </c>
      <c r="D1006" s="9">
        <v>39.5</v>
      </c>
      <c r="E1006" s="10">
        <v>42.2</v>
      </c>
      <c r="F1006" s="9">
        <f t="shared" si="61"/>
        <v>12.573240504259733</v>
      </c>
      <c r="G1006" s="9">
        <f t="shared" si="62"/>
        <v>12.573240504259733</v>
      </c>
      <c r="H1006" s="10">
        <f t="shared" si="63"/>
        <v>13.432677196955968</v>
      </c>
      <c r="K1006" s="11">
        <f>_xlfn.XLOOKUP(F1006,Ref!$B$3:$B$12,Ref!$C$3:$C$12,"",1)</f>
        <v>1</v>
      </c>
      <c r="L1006" s="11">
        <f>_xlfn.XLOOKUP(G1006,Ref!$B$3:$B$12,Ref!$C$3:$C$12,"",1)</f>
        <v>1</v>
      </c>
      <c r="M1006" s="11">
        <f>_xlfn.XLOOKUP(H1006,Ref!$B$3:$B$12,Ref!$C$3:$C$12,"",1)</f>
        <v>1</v>
      </c>
    </row>
    <row r="1007" spans="2:13" x14ac:dyDescent="0.25">
      <c r="B1007" s="15" t="s">
        <v>8</v>
      </c>
      <c r="C1007" s="9">
        <v>36.299999999999997</v>
      </c>
      <c r="D1007" s="9">
        <v>40.5</v>
      </c>
      <c r="E1007" s="10">
        <v>44.3</v>
      </c>
      <c r="F1007" s="9">
        <f t="shared" si="61"/>
        <v>11.554648868471601</v>
      </c>
      <c r="G1007" s="9">
        <f t="shared" si="62"/>
        <v>12.891550390443523</v>
      </c>
      <c r="H1007" s="10">
        <f t="shared" si="63"/>
        <v>14.101127957941927</v>
      </c>
      <c r="K1007" s="11">
        <f>_xlfn.XLOOKUP(F1007,Ref!$B$3:$B$12,Ref!$C$3:$C$12,"",1)</f>
        <v>1</v>
      </c>
      <c r="L1007" s="11">
        <f>_xlfn.XLOOKUP(G1007,Ref!$B$3:$B$12,Ref!$C$3:$C$12,"",1)</f>
        <v>1</v>
      </c>
      <c r="M1007" s="11">
        <f>_xlfn.XLOOKUP(H1007,Ref!$B$3:$B$12,Ref!$C$3:$C$12,"",1)</f>
        <v>1</v>
      </c>
    </row>
    <row r="1008" spans="2:13" x14ac:dyDescent="0.25">
      <c r="B1008" s="15" t="s">
        <v>46</v>
      </c>
      <c r="C1008" s="9">
        <v>74.599999999999994</v>
      </c>
      <c r="D1008" s="9">
        <v>74.599999999999994</v>
      </c>
      <c r="E1008" s="10">
        <v>73.7</v>
      </c>
      <c r="F1008" s="9">
        <f t="shared" si="61"/>
        <v>23.745917509310782</v>
      </c>
      <c r="G1008" s="9">
        <f t="shared" si="62"/>
        <v>23.745917509310782</v>
      </c>
      <c r="H1008" s="10">
        <f t="shared" si="63"/>
        <v>23.459438611745373</v>
      </c>
      <c r="K1008" s="11">
        <f>_xlfn.XLOOKUP(F1008,Ref!$B$3:$B$12,Ref!$C$3:$C$12,"",1)</f>
        <v>2</v>
      </c>
      <c r="L1008" s="11">
        <f>_xlfn.XLOOKUP(G1008,Ref!$B$3:$B$12,Ref!$C$3:$C$12,"",1)</f>
        <v>2</v>
      </c>
      <c r="M1008" s="11">
        <f>_xlfn.XLOOKUP(H1008,Ref!$B$3:$B$12,Ref!$C$3:$C$12,"",1)</f>
        <v>2</v>
      </c>
    </row>
    <row r="1009" spans="2:13" x14ac:dyDescent="0.25">
      <c r="B1009" s="15" t="s">
        <v>46</v>
      </c>
      <c r="C1009" s="9">
        <v>65.7</v>
      </c>
      <c r="D1009" s="9">
        <v>65.7</v>
      </c>
      <c r="E1009" s="10">
        <v>66</v>
      </c>
      <c r="F1009" s="9">
        <f t="shared" si="61"/>
        <v>20.912959522275049</v>
      </c>
      <c r="G1009" s="9">
        <f t="shared" si="62"/>
        <v>20.912959522275049</v>
      </c>
      <c r="H1009" s="10">
        <f t="shared" si="63"/>
        <v>21.008452488130185</v>
      </c>
      <c r="K1009" s="11">
        <f>_xlfn.XLOOKUP(F1009,Ref!$B$3:$B$12,Ref!$C$3:$C$12,"",1)</f>
        <v>2</v>
      </c>
      <c r="L1009" s="11">
        <f>_xlfn.XLOOKUP(G1009,Ref!$B$3:$B$12,Ref!$C$3:$C$12,"",1)</f>
        <v>2</v>
      </c>
      <c r="M1009" s="11">
        <f>_xlfn.XLOOKUP(H1009,Ref!$B$3:$B$12,Ref!$C$3:$C$12,"",1)</f>
        <v>2</v>
      </c>
    </row>
    <row r="1010" spans="2:13" x14ac:dyDescent="0.25">
      <c r="B1010" s="15" t="s">
        <v>46</v>
      </c>
      <c r="C1010" s="9">
        <v>50.4</v>
      </c>
      <c r="D1010" s="9">
        <v>50.9</v>
      </c>
      <c r="E1010" s="10">
        <v>50.6</v>
      </c>
      <c r="F1010" s="9">
        <f t="shared" si="61"/>
        <v>16.042818263663051</v>
      </c>
      <c r="G1010" s="9">
        <f t="shared" si="62"/>
        <v>16.201973206754946</v>
      </c>
      <c r="H1010" s="10">
        <f t="shared" si="63"/>
        <v>16.10648024089981</v>
      </c>
      <c r="K1010" s="11">
        <f>_xlfn.XLOOKUP(F1010,Ref!$B$3:$B$12,Ref!$C$3:$C$12,"",1)</f>
        <v>1</v>
      </c>
      <c r="L1010" s="11">
        <f>_xlfn.XLOOKUP(G1010,Ref!$B$3:$B$12,Ref!$C$3:$C$12,"",1)</f>
        <v>1</v>
      </c>
      <c r="M1010" s="11">
        <f>_xlfn.XLOOKUP(H1010,Ref!$B$3:$B$12,Ref!$C$3:$C$12,"",1)</f>
        <v>1</v>
      </c>
    </row>
    <row r="1011" spans="2:13" x14ac:dyDescent="0.25">
      <c r="B1011" s="15" t="s">
        <v>46</v>
      </c>
      <c r="C1011" s="9">
        <v>48.1</v>
      </c>
      <c r="D1011" s="9">
        <v>48.5</v>
      </c>
      <c r="E1011" s="10">
        <v>49</v>
      </c>
      <c r="F1011" s="9">
        <f t="shared" si="61"/>
        <v>15.310705525440332</v>
      </c>
      <c r="G1011" s="9">
        <f t="shared" si="62"/>
        <v>15.438029479913848</v>
      </c>
      <c r="H1011" s="10">
        <f t="shared" si="63"/>
        <v>15.597184423005743</v>
      </c>
      <c r="K1011" s="11">
        <f>_xlfn.XLOOKUP(F1011,Ref!$B$3:$B$12,Ref!$C$3:$C$12,"",1)</f>
        <v>1</v>
      </c>
      <c r="L1011" s="11">
        <f>_xlfn.XLOOKUP(G1011,Ref!$B$3:$B$12,Ref!$C$3:$C$12,"",1)</f>
        <v>1</v>
      </c>
      <c r="M1011" s="11">
        <f>_xlfn.XLOOKUP(H1011,Ref!$B$3:$B$12,Ref!$C$3:$C$12,"",1)</f>
        <v>1</v>
      </c>
    </row>
    <row r="1012" spans="2:13" x14ac:dyDescent="0.25">
      <c r="B1012" s="15" t="s">
        <v>12</v>
      </c>
      <c r="C1012" s="9">
        <v>40.200000000000003</v>
      </c>
      <c r="D1012" s="9">
        <v>41.8</v>
      </c>
      <c r="E1012" s="10">
        <v>41.6</v>
      </c>
      <c r="F1012" s="9">
        <f t="shared" si="61"/>
        <v>12.796057424588387</v>
      </c>
      <c r="G1012" s="9">
        <f t="shared" si="62"/>
        <v>13.30535324248245</v>
      </c>
      <c r="H1012" s="10">
        <f t="shared" si="63"/>
        <v>13.241691265245693</v>
      </c>
      <c r="K1012" s="11">
        <f>_xlfn.XLOOKUP(F1012,Ref!$B$3:$B$12,Ref!$C$3:$C$12,"",1)</f>
        <v>1</v>
      </c>
      <c r="L1012" s="11">
        <f>_xlfn.XLOOKUP(G1012,Ref!$B$3:$B$12,Ref!$C$3:$C$12,"",1)</f>
        <v>1</v>
      </c>
      <c r="M1012" s="11">
        <f>_xlfn.XLOOKUP(H1012,Ref!$B$3:$B$12,Ref!$C$3:$C$12,"",1)</f>
        <v>1</v>
      </c>
    </row>
    <row r="1013" spans="2:13" x14ac:dyDescent="0.25">
      <c r="B1013" s="15" t="s">
        <v>24</v>
      </c>
      <c r="C1013" s="9">
        <v>75.5</v>
      </c>
      <c r="D1013" s="9">
        <v>80.2</v>
      </c>
      <c r="E1013" s="10">
        <v>86.4</v>
      </c>
      <c r="F1013" s="9">
        <f t="shared" si="61"/>
        <v>24.032396406876195</v>
      </c>
      <c r="G1013" s="9">
        <f t="shared" si="62"/>
        <v>25.528452871940015</v>
      </c>
      <c r="H1013" s="10">
        <f t="shared" si="63"/>
        <v>27.501974166279517</v>
      </c>
      <c r="K1013" s="11">
        <f>_xlfn.XLOOKUP(F1013,Ref!$B$3:$B$12,Ref!$C$3:$C$12,"",1)</f>
        <v>2</v>
      </c>
      <c r="L1013" s="11">
        <f>_xlfn.XLOOKUP(G1013,Ref!$B$3:$B$12,Ref!$C$3:$C$12,"",1)</f>
        <v>2</v>
      </c>
      <c r="M1013" s="11">
        <f>_xlfn.XLOOKUP(H1013,Ref!$B$3:$B$12,Ref!$C$3:$C$12,"",1)</f>
        <v>2</v>
      </c>
    </row>
    <row r="1014" spans="2:13" x14ac:dyDescent="0.25">
      <c r="B1014" s="15" t="s">
        <v>27</v>
      </c>
      <c r="C1014" s="9">
        <v>64.2</v>
      </c>
      <c r="D1014" s="9">
        <v>70.5</v>
      </c>
      <c r="E1014" s="10">
        <v>71.3</v>
      </c>
      <c r="F1014" s="9">
        <f t="shared" si="61"/>
        <v>20.435494692999363</v>
      </c>
      <c r="G1014" s="9">
        <f t="shared" si="62"/>
        <v>22.440846975957243</v>
      </c>
      <c r="H1014" s="10">
        <f t="shared" si="63"/>
        <v>22.695494884904274</v>
      </c>
      <c r="K1014" s="11">
        <f>_xlfn.XLOOKUP(F1014,Ref!$B$3:$B$12,Ref!$C$3:$C$12,"",1)</f>
        <v>2</v>
      </c>
      <c r="L1014" s="11">
        <f>_xlfn.XLOOKUP(G1014,Ref!$B$3:$B$12,Ref!$C$3:$C$12,"",1)</f>
        <v>2</v>
      </c>
      <c r="M1014" s="11">
        <f>_xlfn.XLOOKUP(H1014,Ref!$B$3:$B$12,Ref!$C$3:$C$12,"",1)</f>
        <v>2</v>
      </c>
    </row>
    <row r="1015" spans="2:13" x14ac:dyDescent="0.25">
      <c r="B1015" s="15" t="s">
        <v>32</v>
      </c>
      <c r="C1015" s="9">
        <v>36.700000000000003</v>
      </c>
      <c r="D1015" s="9">
        <v>36</v>
      </c>
      <c r="E1015" s="10">
        <v>0</v>
      </c>
      <c r="F1015" s="9">
        <f t="shared" si="61"/>
        <v>11.681972822945118</v>
      </c>
      <c r="G1015" s="9">
        <f t="shared" si="62"/>
        <v>11.459155902616464</v>
      </c>
      <c r="H1015" s="10">
        <f t="shared" si="63"/>
        <v>0</v>
      </c>
      <c r="K1015" s="11">
        <f>_xlfn.XLOOKUP(F1015,Ref!$B$3:$B$12,Ref!$C$3:$C$12,"",1)</f>
        <v>1</v>
      </c>
      <c r="L1015" s="11">
        <f>_xlfn.XLOOKUP(G1015,Ref!$B$3:$B$12,Ref!$C$3:$C$12,"",1)</f>
        <v>1</v>
      </c>
      <c r="M1015" s="11" t="str">
        <f>_xlfn.XLOOKUP(H1015,Ref!$B$3:$B$12,Ref!$C$3:$C$12,"",1)</f>
        <v>Morta</v>
      </c>
    </row>
    <row r="1016" spans="2:13" x14ac:dyDescent="0.25">
      <c r="B1016" s="15" t="s">
        <v>6</v>
      </c>
      <c r="C1016" s="9">
        <v>41.4</v>
      </c>
      <c r="D1016" s="9">
        <v>43</v>
      </c>
      <c r="E1016" s="10">
        <v>44.6</v>
      </c>
      <c r="F1016" s="9">
        <f t="shared" si="61"/>
        <v>13.178029288008934</v>
      </c>
      <c r="G1016" s="9">
        <f t="shared" si="62"/>
        <v>13.687325105903</v>
      </c>
      <c r="H1016" s="10">
        <f t="shared" si="63"/>
        <v>14.196620923797065</v>
      </c>
      <c r="K1016" s="11">
        <f>_xlfn.XLOOKUP(F1016,Ref!$B$3:$B$12,Ref!$C$3:$C$12,"",1)</f>
        <v>1</v>
      </c>
      <c r="L1016" s="11">
        <f>_xlfn.XLOOKUP(G1016,Ref!$B$3:$B$12,Ref!$C$3:$C$12,"",1)</f>
        <v>1</v>
      </c>
      <c r="M1016" s="11">
        <f>_xlfn.XLOOKUP(H1016,Ref!$B$3:$B$12,Ref!$C$3:$C$12,"",1)</f>
        <v>1</v>
      </c>
    </row>
    <row r="1017" spans="2:13" x14ac:dyDescent="0.25">
      <c r="B1017" s="15" t="s">
        <v>12</v>
      </c>
      <c r="C1017" s="9">
        <v>35.799999999999997</v>
      </c>
      <c r="D1017" s="9">
        <v>37.299999999999997</v>
      </c>
      <c r="E1017" s="10">
        <v>37.799999999999997</v>
      </c>
      <c r="F1017" s="9">
        <f t="shared" si="61"/>
        <v>11.395493925379705</v>
      </c>
      <c r="G1017" s="9">
        <f t="shared" si="62"/>
        <v>11.872958754655391</v>
      </c>
      <c r="H1017" s="10">
        <f t="shared" si="63"/>
        <v>12.032113697747286</v>
      </c>
      <c r="K1017" s="11">
        <f>_xlfn.XLOOKUP(F1017,Ref!$B$3:$B$12,Ref!$C$3:$C$12,"",1)</f>
        <v>1</v>
      </c>
      <c r="L1017" s="11">
        <f>_xlfn.XLOOKUP(G1017,Ref!$B$3:$B$12,Ref!$C$3:$C$12,"",1)</f>
        <v>1</v>
      </c>
      <c r="M1017" s="11">
        <f>_xlfn.XLOOKUP(H1017,Ref!$B$3:$B$12,Ref!$C$3:$C$12,"",1)</f>
        <v>1</v>
      </c>
    </row>
    <row r="1018" spans="2:13" x14ac:dyDescent="0.25">
      <c r="B1018" s="15" t="s">
        <v>65</v>
      </c>
      <c r="C1018" s="9">
        <v>90.7</v>
      </c>
      <c r="D1018" s="9">
        <v>100.5</v>
      </c>
      <c r="E1018" s="10">
        <v>104.5</v>
      </c>
      <c r="F1018" s="9">
        <f t="shared" si="61"/>
        <v>28.870706676869816</v>
      </c>
      <c r="G1018" s="9">
        <f t="shared" si="62"/>
        <v>31.990143561470965</v>
      </c>
      <c r="H1018" s="10">
        <f t="shared" si="63"/>
        <v>33.263383106206128</v>
      </c>
      <c r="K1018" s="11">
        <f>_xlfn.XLOOKUP(F1018,Ref!$B$3:$B$12,Ref!$C$3:$C$12,"",1)</f>
        <v>2</v>
      </c>
      <c r="L1018" s="11">
        <f>_xlfn.XLOOKUP(G1018,Ref!$B$3:$B$12,Ref!$C$3:$C$12,"",1)</f>
        <v>3</v>
      </c>
      <c r="M1018" s="11">
        <f>_xlfn.XLOOKUP(H1018,Ref!$B$3:$B$12,Ref!$C$3:$C$12,"",1)</f>
        <v>3</v>
      </c>
    </row>
    <row r="1019" spans="2:13" x14ac:dyDescent="0.25">
      <c r="B1019" s="15" t="s">
        <v>12</v>
      </c>
      <c r="C1019" s="9">
        <v>31.6</v>
      </c>
      <c r="D1019" s="9">
        <v>33.799999999999997</v>
      </c>
      <c r="E1019" s="10">
        <v>33.9</v>
      </c>
      <c r="F1019" s="9">
        <f t="shared" si="61"/>
        <v>10.058592403407786</v>
      </c>
      <c r="G1019" s="9">
        <f t="shared" si="62"/>
        <v>10.758874153012124</v>
      </c>
      <c r="H1019" s="10">
        <f t="shared" si="63"/>
        <v>10.790705141630504</v>
      </c>
      <c r="K1019" s="11">
        <f>_xlfn.XLOOKUP(F1019,Ref!$B$3:$B$12,Ref!$C$3:$C$12,"",1)</f>
        <v>1</v>
      </c>
      <c r="L1019" s="11">
        <f>_xlfn.XLOOKUP(G1019,Ref!$B$3:$B$12,Ref!$C$3:$C$12,"",1)</f>
        <v>1</v>
      </c>
      <c r="M1019" s="11">
        <f>_xlfn.XLOOKUP(H1019,Ref!$B$3:$B$12,Ref!$C$3:$C$12,"",1)</f>
        <v>1</v>
      </c>
    </row>
    <row r="1020" spans="2:13" x14ac:dyDescent="0.25">
      <c r="B1020" s="15" t="s">
        <v>12</v>
      </c>
      <c r="C1020" s="9">
        <v>44.9</v>
      </c>
      <c r="D1020" s="9">
        <v>48.2</v>
      </c>
      <c r="E1020" s="10">
        <v>50.6</v>
      </c>
      <c r="F1020" s="9">
        <f t="shared" si="61"/>
        <v>14.292113889652201</v>
      </c>
      <c r="G1020" s="9">
        <f t="shared" si="62"/>
        <v>15.342536514058711</v>
      </c>
      <c r="H1020" s="10">
        <f t="shared" si="63"/>
        <v>16.10648024089981</v>
      </c>
      <c r="K1020" s="11">
        <f>_xlfn.XLOOKUP(F1020,Ref!$B$3:$B$12,Ref!$C$3:$C$12,"",1)</f>
        <v>1</v>
      </c>
      <c r="L1020" s="11">
        <f>_xlfn.XLOOKUP(G1020,Ref!$B$3:$B$12,Ref!$C$3:$C$12,"",1)</f>
        <v>1</v>
      </c>
      <c r="M1020" s="11">
        <f>_xlfn.XLOOKUP(H1020,Ref!$B$3:$B$12,Ref!$C$3:$C$12,"",1)</f>
        <v>1</v>
      </c>
    </row>
    <row r="1021" spans="2:13" x14ac:dyDescent="0.25">
      <c r="B1021" s="15" t="s">
        <v>36</v>
      </c>
      <c r="C1021" s="9"/>
      <c r="D1021" s="9">
        <v>31.6</v>
      </c>
      <c r="E1021" s="10">
        <v>33.4</v>
      </c>
      <c r="F1021" s="9" t="str">
        <f t="shared" si="61"/>
        <v/>
      </c>
      <c r="G1021" s="9">
        <f t="shared" si="62"/>
        <v>10.058592403407786</v>
      </c>
      <c r="H1021" s="10">
        <f t="shared" si="63"/>
        <v>10.631550198538608</v>
      </c>
      <c r="K1021" s="11" t="str">
        <f>_xlfn.XLOOKUP(F1021,Ref!$B$3:$B$12,Ref!$C$3:$C$12,"",1)</f>
        <v/>
      </c>
      <c r="L1021" s="11">
        <f>_xlfn.XLOOKUP(G1021,Ref!$B$3:$B$12,Ref!$C$3:$C$12,"",1)</f>
        <v>1</v>
      </c>
      <c r="M1021" s="11">
        <f>_xlfn.XLOOKUP(H1021,Ref!$B$3:$B$12,Ref!$C$3:$C$12,"",1)</f>
        <v>1</v>
      </c>
    </row>
    <row r="1022" spans="2:13" x14ac:dyDescent="0.25">
      <c r="B1022" s="15" t="s">
        <v>11</v>
      </c>
      <c r="C1022" s="9"/>
      <c r="D1022" s="9">
        <v>31.5</v>
      </c>
      <c r="E1022" s="10">
        <v>34.299999999999997</v>
      </c>
      <c r="F1022" s="9" t="str">
        <f t="shared" si="61"/>
        <v/>
      </c>
      <c r="G1022" s="9">
        <f t="shared" si="62"/>
        <v>10.026761414789407</v>
      </c>
      <c r="H1022" s="10">
        <f t="shared" si="63"/>
        <v>10.91802909610402</v>
      </c>
      <c r="K1022" s="11" t="str">
        <f>_xlfn.XLOOKUP(F1022,Ref!$B$3:$B$12,Ref!$C$3:$C$12,"",1)</f>
        <v/>
      </c>
      <c r="L1022" s="11">
        <f>_xlfn.XLOOKUP(G1022,Ref!$B$3:$B$12,Ref!$C$3:$C$12,"",1)</f>
        <v>1</v>
      </c>
      <c r="M1022" s="11">
        <f>_xlfn.XLOOKUP(H1022,Ref!$B$3:$B$12,Ref!$C$3:$C$12,"",1)</f>
        <v>1</v>
      </c>
    </row>
    <row r="1023" spans="2:13" x14ac:dyDescent="0.25">
      <c r="B1023" s="15" t="s">
        <v>8</v>
      </c>
      <c r="C1023" s="9"/>
      <c r="D1023" s="9">
        <v>32.4</v>
      </c>
      <c r="E1023" s="10">
        <v>36</v>
      </c>
      <c r="F1023" s="9" t="str">
        <f t="shared" si="61"/>
        <v/>
      </c>
      <c r="G1023" s="9">
        <f t="shared" si="62"/>
        <v>10.313240312354818</v>
      </c>
      <c r="H1023" s="10">
        <f t="shared" si="63"/>
        <v>11.459155902616464</v>
      </c>
      <c r="K1023" s="11" t="str">
        <f>_xlfn.XLOOKUP(F1023,Ref!$B$3:$B$12,Ref!$C$3:$C$12,"",1)</f>
        <v/>
      </c>
      <c r="L1023" s="11">
        <f>_xlfn.XLOOKUP(G1023,Ref!$B$3:$B$12,Ref!$C$3:$C$12,"",1)</f>
        <v>1</v>
      </c>
      <c r="M1023" s="11">
        <f>_xlfn.XLOOKUP(H1023,Ref!$B$3:$B$12,Ref!$C$3:$C$12,"",1)</f>
        <v>1</v>
      </c>
    </row>
    <row r="1024" spans="2:13" x14ac:dyDescent="0.25">
      <c r="B1024" s="15" t="s">
        <v>41</v>
      </c>
      <c r="C1024" s="9">
        <v>73.7</v>
      </c>
      <c r="D1024" s="9">
        <v>79.5</v>
      </c>
      <c r="E1024" s="10">
        <v>82.2</v>
      </c>
      <c r="F1024" s="9">
        <f t="shared" si="61"/>
        <v>23.459438611745373</v>
      </c>
      <c r="G1024" s="9">
        <f t="shared" si="62"/>
        <v>25.305635951611361</v>
      </c>
      <c r="H1024" s="10">
        <f t="shared" si="63"/>
        <v>26.165072644307596</v>
      </c>
      <c r="K1024" s="11">
        <f>_xlfn.XLOOKUP(F1024,Ref!$B$3:$B$12,Ref!$C$3:$C$12,"",1)</f>
        <v>2</v>
      </c>
      <c r="L1024" s="11">
        <f>_xlfn.XLOOKUP(G1024,Ref!$B$3:$B$12,Ref!$C$3:$C$12,"",1)</f>
        <v>2</v>
      </c>
      <c r="M1024" s="11">
        <f>_xlfn.XLOOKUP(H1024,Ref!$B$3:$B$12,Ref!$C$3:$C$12,"",1)</f>
        <v>2</v>
      </c>
    </row>
    <row r="1025" spans="2:13" x14ac:dyDescent="0.25">
      <c r="B1025" s="15" t="s">
        <v>11</v>
      </c>
      <c r="C1025" s="9">
        <v>52.3</v>
      </c>
      <c r="D1025" s="9">
        <v>56.5</v>
      </c>
      <c r="E1025" s="10">
        <v>61.4</v>
      </c>
      <c r="F1025" s="9">
        <f t="shared" si="61"/>
        <v>16.647607047412251</v>
      </c>
      <c r="G1025" s="9">
        <f t="shared" si="62"/>
        <v>17.984508569384175</v>
      </c>
      <c r="H1025" s="10">
        <f t="shared" si="63"/>
        <v>19.544227011684747</v>
      </c>
      <c r="K1025" s="11">
        <f>_xlfn.XLOOKUP(F1025,Ref!$B$3:$B$12,Ref!$C$3:$C$12,"",1)</f>
        <v>1</v>
      </c>
      <c r="L1025" s="11">
        <f>_xlfn.XLOOKUP(G1025,Ref!$B$3:$B$12,Ref!$C$3:$C$12,"",1)</f>
        <v>1</v>
      </c>
      <c r="M1025" s="11">
        <f>_xlfn.XLOOKUP(H1025,Ref!$B$3:$B$12,Ref!$C$3:$C$12,"",1)</f>
        <v>1</v>
      </c>
    </row>
    <row r="1026" spans="2:13" x14ac:dyDescent="0.25">
      <c r="B1026" s="15" t="s">
        <v>28</v>
      </c>
      <c r="C1026" s="9"/>
      <c r="D1026" s="9"/>
      <c r="E1026" s="10">
        <v>31.5</v>
      </c>
      <c r="F1026" s="9" t="str">
        <f t="shared" si="61"/>
        <v/>
      </c>
      <c r="G1026" s="9" t="str">
        <f t="shared" si="62"/>
        <v/>
      </c>
      <c r="H1026" s="10">
        <f t="shared" si="63"/>
        <v>10.026761414789407</v>
      </c>
      <c r="K1026" s="11" t="str">
        <f>_xlfn.XLOOKUP(F1026,Ref!$B$3:$B$12,Ref!$C$3:$C$12,"",1)</f>
        <v/>
      </c>
      <c r="L1026" s="11" t="str">
        <f>_xlfn.XLOOKUP(G1026,Ref!$B$3:$B$12,Ref!$C$3:$C$12,"",1)</f>
        <v/>
      </c>
      <c r="M1026" s="11">
        <f>_xlfn.XLOOKUP(H1026,Ref!$B$3:$B$12,Ref!$C$3:$C$12,"",1)</f>
        <v>1</v>
      </c>
    </row>
    <row r="1027" spans="2:13" x14ac:dyDescent="0.25">
      <c r="B1027" s="15" t="s">
        <v>7</v>
      </c>
      <c r="C1027" s="9">
        <v>76.099999999999994</v>
      </c>
      <c r="D1027" s="9">
        <v>83.4</v>
      </c>
      <c r="E1027" s="10">
        <v>77.7</v>
      </c>
      <c r="F1027" s="9">
        <f t="shared" ref="F1027:F1083" si="64">IF(C1027="", "", C1027/PI())</f>
        <v>24.223382338586468</v>
      </c>
      <c r="G1027" s="9">
        <f t="shared" ref="G1027:G1083" si="65">IF(D1027="", "", D1027/PI())</f>
        <v>26.547044507728145</v>
      </c>
      <c r="H1027" s="10">
        <f t="shared" ref="H1027:H1083" si="66">IF(E1027="", "", E1027/PI())</f>
        <v>24.732678156480539</v>
      </c>
      <c r="K1027" s="11">
        <f>_xlfn.XLOOKUP(F1027,Ref!$B$3:$B$12,Ref!$C$3:$C$12,"",1)</f>
        <v>2</v>
      </c>
      <c r="L1027" s="11">
        <f>_xlfn.XLOOKUP(G1027,Ref!$B$3:$B$12,Ref!$C$3:$C$12,"",1)</f>
        <v>2</v>
      </c>
      <c r="M1027" s="11">
        <f>_xlfn.XLOOKUP(H1027,Ref!$B$3:$B$12,Ref!$C$3:$C$12,"",1)</f>
        <v>2</v>
      </c>
    </row>
    <row r="1028" spans="2:13" x14ac:dyDescent="0.25">
      <c r="B1028" s="15" t="s">
        <v>44</v>
      </c>
      <c r="C1028" s="9">
        <v>31.5</v>
      </c>
      <c r="D1028" s="9">
        <v>32</v>
      </c>
      <c r="E1028" s="10">
        <v>32.299999999999997</v>
      </c>
      <c r="F1028" s="9">
        <f t="shared" si="64"/>
        <v>10.026761414789407</v>
      </c>
      <c r="G1028" s="9">
        <f t="shared" si="65"/>
        <v>10.185916357881302</v>
      </c>
      <c r="H1028" s="10">
        <f t="shared" si="66"/>
        <v>10.281409323736439</v>
      </c>
      <c r="K1028" s="11">
        <f>_xlfn.XLOOKUP(F1028,Ref!$B$3:$B$12,Ref!$C$3:$C$12,"",1)</f>
        <v>1</v>
      </c>
      <c r="L1028" s="11">
        <f>_xlfn.XLOOKUP(G1028,Ref!$B$3:$B$12,Ref!$C$3:$C$12,"",1)</f>
        <v>1</v>
      </c>
      <c r="M1028" s="11">
        <f>_xlfn.XLOOKUP(H1028,Ref!$B$3:$B$12,Ref!$C$3:$C$12,"",1)</f>
        <v>1</v>
      </c>
    </row>
    <row r="1029" spans="2:13" x14ac:dyDescent="0.25">
      <c r="B1029" s="15" t="s">
        <v>14</v>
      </c>
      <c r="C1029" s="9">
        <v>56.1</v>
      </c>
      <c r="D1029" s="9">
        <v>62.8</v>
      </c>
      <c r="E1029" s="10">
        <v>72.3</v>
      </c>
      <c r="F1029" s="9">
        <f t="shared" si="64"/>
        <v>17.857184614910658</v>
      </c>
      <c r="G1029" s="9">
        <f t="shared" si="65"/>
        <v>19.989860852342055</v>
      </c>
      <c r="H1029" s="10">
        <f t="shared" si="66"/>
        <v>23.013804771088065</v>
      </c>
      <c r="K1029" s="11">
        <f>_xlfn.XLOOKUP(F1029,Ref!$B$3:$B$12,Ref!$C$3:$C$12,"",1)</f>
        <v>1</v>
      </c>
      <c r="L1029" s="11">
        <f>_xlfn.XLOOKUP(G1029,Ref!$B$3:$B$12,Ref!$C$3:$C$12,"",1)</f>
        <v>1</v>
      </c>
      <c r="M1029" s="11">
        <f>_xlfn.XLOOKUP(H1029,Ref!$B$3:$B$12,Ref!$C$3:$C$12,"",1)</f>
        <v>2</v>
      </c>
    </row>
    <row r="1030" spans="2:13" x14ac:dyDescent="0.25">
      <c r="B1030" s="15" t="s">
        <v>12</v>
      </c>
      <c r="C1030" s="9">
        <v>55.7</v>
      </c>
      <c r="D1030" s="9">
        <v>36.200000000000003</v>
      </c>
      <c r="E1030" s="10">
        <v>36.700000000000003</v>
      </c>
      <c r="F1030" s="9">
        <f t="shared" si="64"/>
        <v>17.729860660437144</v>
      </c>
      <c r="G1030" s="9">
        <f t="shared" si="65"/>
        <v>11.522817879853223</v>
      </c>
      <c r="H1030" s="10">
        <f t="shared" si="66"/>
        <v>11.681972822945118</v>
      </c>
      <c r="K1030" s="11">
        <f>_xlfn.XLOOKUP(F1030,Ref!$B$3:$B$12,Ref!$C$3:$C$12,"",1)</f>
        <v>1</v>
      </c>
      <c r="L1030" s="11">
        <f>_xlfn.XLOOKUP(G1030,Ref!$B$3:$B$12,Ref!$C$3:$C$12,"",1)</f>
        <v>1</v>
      </c>
      <c r="M1030" s="11">
        <f>_xlfn.XLOOKUP(H1030,Ref!$B$3:$B$12,Ref!$C$3:$C$12,"",1)</f>
        <v>1</v>
      </c>
    </row>
    <row r="1031" spans="2:13" x14ac:dyDescent="0.25">
      <c r="B1031" s="15" t="s">
        <v>12</v>
      </c>
      <c r="C1031" s="9">
        <v>31.5</v>
      </c>
      <c r="D1031" s="9">
        <v>31.5</v>
      </c>
      <c r="E1031" s="10">
        <v>31.5</v>
      </c>
      <c r="F1031" s="9">
        <f t="shared" si="64"/>
        <v>10.026761414789407</v>
      </c>
      <c r="G1031" s="9">
        <f t="shared" si="65"/>
        <v>10.026761414789407</v>
      </c>
      <c r="H1031" s="10">
        <f t="shared" si="66"/>
        <v>10.026761414789407</v>
      </c>
      <c r="K1031" s="11">
        <f>_xlfn.XLOOKUP(F1031,Ref!$B$3:$B$12,Ref!$C$3:$C$12,"",1)</f>
        <v>1</v>
      </c>
      <c r="L1031" s="11">
        <f>_xlfn.XLOOKUP(G1031,Ref!$B$3:$B$12,Ref!$C$3:$C$12,"",1)</f>
        <v>1</v>
      </c>
      <c r="M1031" s="11">
        <f>_xlfn.XLOOKUP(H1031,Ref!$B$3:$B$12,Ref!$C$3:$C$12,"",1)</f>
        <v>1</v>
      </c>
    </row>
    <row r="1032" spans="2:13" x14ac:dyDescent="0.25">
      <c r="B1032" s="15" t="s">
        <v>12</v>
      </c>
      <c r="C1032" s="9">
        <v>36.9</v>
      </c>
      <c r="D1032" s="9">
        <v>40.5</v>
      </c>
      <c r="E1032" s="10">
        <v>42.6</v>
      </c>
      <c r="F1032" s="9">
        <f t="shared" si="64"/>
        <v>11.745634800181875</v>
      </c>
      <c r="G1032" s="9">
        <f t="shared" si="65"/>
        <v>12.891550390443523</v>
      </c>
      <c r="H1032" s="10">
        <f t="shared" si="66"/>
        <v>13.560001151429484</v>
      </c>
      <c r="K1032" s="11">
        <f>_xlfn.XLOOKUP(F1032,Ref!$B$3:$B$12,Ref!$C$3:$C$12,"",1)</f>
        <v>1</v>
      </c>
      <c r="L1032" s="11">
        <f>_xlfn.XLOOKUP(G1032,Ref!$B$3:$B$12,Ref!$C$3:$C$12,"",1)</f>
        <v>1</v>
      </c>
      <c r="M1032" s="11">
        <f>_xlfn.XLOOKUP(H1032,Ref!$B$3:$B$12,Ref!$C$3:$C$12,"",1)</f>
        <v>1</v>
      </c>
    </row>
    <row r="1033" spans="2:13" x14ac:dyDescent="0.25">
      <c r="B1033" s="15" t="s">
        <v>32</v>
      </c>
      <c r="C1033" s="9">
        <v>50.8</v>
      </c>
      <c r="D1033" s="9">
        <v>52.5</v>
      </c>
      <c r="E1033" s="10">
        <v>53.3</v>
      </c>
      <c r="F1033" s="9">
        <f t="shared" si="64"/>
        <v>16.170142218136565</v>
      </c>
      <c r="G1033" s="9">
        <f t="shared" si="65"/>
        <v>16.71126902464901</v>
      </c>
      <c r="H1033" s="10">
        <f t="shared" si="66"/>
        <v>16.965916933596041</v>
      </c>
      <c r="K1033" s="11">
        <f>_xlfn.XLOOKUP(F1033,Ref!$B$3:$B$12,Ref!$C$3:$C$12,"",1)</f>
        <v>1</v>
      </c>
      <c r="L1033" s="11">
        <f>_xlfn.XLOOKUP(G1033,Ref!$B$3:$B$12,Ref!$C$3:$C$12,"",1)</f>
        <v>1</v>
      </c>
      <c r="M1033" s="11">
        <f>_xlfn.XLOOKUP(H1033,Ref!$B$3:$B$12,Ref!$C$3:$C$12,"",1)</f>
        <v>1</v>
      </c>
    </row>
    <row r="1034" spans="2:13" x14ac:dyDescent="0.25">
      <c r="B1034" s="15" t="s">
        <v>8</v>
      </c>
      <c r="C1034" s="9">
        <v>46.2</v>
      </c>
      <c r="D1034" s="9">
        <v>48.9</v>
      </c>
      <c r="E1034" s="10">
        <v>49.1</v>
      </c>
      <c r="F1034" s="9">
        <f t="shared" si="64"/>
        <v>14.70591674169113</v>
      </c>
      <c r="G1034" s="9">
        <f t="shared" si="65"/>
        <v>15.565353434387363</v>
      </c>
      <c r="H1034" s="10">
        <f t="shared" si="66"/>
        <v>15.629015411624122</v>
      </c>
      <c r="K1034" s="11">
        <f>_xlfn.XLOOKUP(F1034,Ref!$B$3:$B$12,Ref!$C$3:$C$12,"",1)</f>
        <v>1</v>
      </c>
      <c r="L1034" s="11">
        <f>_xlfn.XLOOKUP(G1034,Ref!$B$3:$B$12,Ref!$C$3:$C$12,"",1)</f>
        <v>1</v>
      </c>
      <c r="M1034" s="11">
        <f>_xlfn.XLOOKUP(H1034,Ref!$B$3:$B$12,Ref!$C$3:$C$12,"",1)</f>
        <v>1</v>
      </c>
    </row>
    <row r="1035" spans="2:13" x14ac:dyDescent="0.25">
      <c r="B1035" s="15" t="s">
        <v>27</v>
      </c>
      <c r="C1035" s="9">
        <v>61.5</v>
      </c>
      <c r="D1035" s="9">
        <v>64.7</v>
      </c>
      <c r="E1035" s="10">
        <v>77.7</v>
      </c>
      <c r="F1035" s="9">
        <f t="shared" si="64"/>
        <v>19.576058000303128</v>
      </c>
      <c r="G1035" s="9">
        <f t="shared" si="65"/>
        <v>20.594649636091258</v>
      </c>
      <c r="H1035" s="10">
        <f t="shared" si="66"/>
        <v>24.732678156480539</v>
      </c>
      <c r="K1035" s="11">
        <f>_xlfn.XLOOKUP(F1035,Ref!$B$3:$B$12,Ref!$C$3:$C$12,"",1)</f>
        <v>1</v>
      </c>
      <c r="L1035" s="11">
        <f>_xlfn.XLOOKUP(G1035,Ref!$B$3:$B$12,Ref!$C$3:$C$12,"",1)</f>
        <v>2</v>
      </c>
      <c r="M1035" s="11">
        <f>_xlfn.XLOOKUP(H1035,Ref!$B$3:$B$12,Ref!$C$3:$C$12,"",1)</f>
        <v>2</v>
      </c>
    </row>
    <row r="1036" spans="2:13" x14ac:dyDescent="0.25">
      <c r="B1036" s="15" t="s">
        <v>73</v>
      </c>
      <c r="C1036" s="9">
        <v>52.2</v>
      </c>
      <c r="D1036" s="9">
        <v>57</v>
      </c>
      <c r="E1036" s="10">
        <v>60.5</v>
      </c>
      <c r="F1036" s="9">
        <f t="shared" si="64"/>
        <v>16.615776058793873</v>
      </c>
      <c r="G1036" s="9">
        <f t="shared" si="65"/>
        <v>18.143663512476071</v>
      </c>
      <c r="H1036" s="10">
        <f t="shared" si="66"/>
        <v>19.257748114119337</v>
      </c>
      <c r="K1036" s="11">
        <f>_xlfn.XLOOKUP(F1036,Ref!$B$3:$B$12,Ref!$C$3:$C$12,"",1)</f>
        <v>1</v>
      </c>
      <c r="L1036" s="11">
        <f>_xlfn.XLOOKUP(G1036,Ref!$B$3:$B$12,Ref!$C$3:$C$12,"",1)</f>
        <v>1</v>
      </c>
      <c r="M1036" s="11">
        <f>_xlfn.XLOOKUP(H1036,Ref!$B$3:$B$12,Ref!$C$3:$C$12,"",1)</f>
        <v>1</v>
      </c>
    </row>
    <row r="1037" spans="2:13" x14ac:dyDescent="0.25">
      <c r="B1037" s="15" t="s">
        <v>73</v>
      </c>
      <c r="C1037" s="9">
        <v>49.9</v>
      </c>
      <c r="D1037" s="9">
        <v>55.7</v>
      </c>
      <c r="E1037" s="10">
        <v>60</v>
      </c>
      <c r="F1037" s="9">
        <f t="shared" si="64"/>
        <v>15.883663320571154</v>
      </c>
      <c r="G1037" s="9">
        <f t="shared" si="65"/>
        <v>17.729860660437144</v>
      </c>
      <c r="H1037" s="10">
        <f t="shared" si="66"/>
        <v>19.098593171027442</v>
      </c>
      <c r="K1037" s="11">
        <f>_xlfn.XLOOKUP(F1037,Ref!$B$3:$B$12,Ref!$C$3:$C$12,"",1)</f>
        <v>1</v>
      </c>
      <c r="L1037" s="11">
        <f>_xlfn.XLOOKUP(G1037,Ref!$B$3:$B$12,Ref!$C$3:$C$12,"",1)</f>
        <v>1</v>
      </c>
      <c r="M1037" s="11">
        <f>_xlfn.XLOOKUP(H1037,Ref!$B$3:$B$12,Ref!$C$3:$C$12,"",1)</f>
        <v>1</v>
      </c>
    </row>
    <row r="1038" spans="2:13" x14ac:dyDescent="0.25">
      <c r="B1038" s="15" t="s">
        <v>8</v>
      </c>
      <c r="C1038" s="9">
        <v>50.1</v>
      </c>
      <c r="D1038" s="9">
        <v>53.5</v>
      </c>
      <c r="E1038" s="10">
        <v>55.6</v>
      </c>
      <c r="F1038" s="9">
        <f t="shared" si="64"/>
        <v>15.947325297807915</v>
      </c>
      <c r="G1038" s="9">
        <f t="shared" si="65"/>
        <v>17.0295789108328</v>
      </c>
      <c r="H1038" s="10">
        <f t="shared" si="66"/>
        <v>17.698029671818762</v>
      </c>
      <c r="K1038" s="11">
        <f>_xlfn.XLOOKUP(F1038,Ref!$B$3:$B$12,Ref!$C$3:$C$12,"",1)</f>
        <v>1</v>
      </c>
      <c r="L1038" s="11">
        <f>_xlfn.XLOOKUP(G1038,Ref!$B$3:$B$12,Ref!$C$3:$C$12,"",1)</f>
        <v>1</v>
      </c>
      <c r="M1038" s="11">
        <f>_xlfn.XLOOKUP(H1038,Ref!$B$3:$B$12,Ref!$C$3:$C$12,"",1)</f>
        <v>1</v>
      </c>
    </row>
    <row r="1039" spans="2:13" x14ac:dyDescent="0.25">
      <c r="B1039" s="15" t="s">
        <v>8</v>
      </c>
      <c r="C1039" s="9">
        <v>47.5</v>
      </c>
      <c r="D1039" s="9">
        <v>50.7</v>
      </c>
      <c r="E1039" s="10">
        <v>55.5</v>
      </c>
      <c r="F1039" s="9">
        <f t="shared" si="64"/>
        <v>15.119719593730057</v>
      </c>
      <c r="G1039" s="9">
        <f t="shared" si="65"/>
        <v>16.138311229518187</v>
      </c>
      <c r="H1039" s="10">
        <f t="shared" si="66"/>
        <v>17.666198683200381</v>
      </c>
      <c r="K1039" s="11">
        <f>_xlfn.XLOOKUP(F1039,Ref!$B$3:$B$12,Ref!$C$3:$C$12,"",1)</f>
        <v>1</v>
      </c>
      <c r="L1039" s="11">
        <f>_xlfn.XLOOKUP(G1039,Ref!$B$3:$B$12,Ref!$C$3:$C$12,"",1)</f>
        <v>1</v>
      </c>
      <c r="M1039" s="11">
        <f>_xlfn.XLOOKUP(H1039,Ref!$B$3:$B$12,Ref!$C$3:$C$12,"",1)</f>
        <v>1</v>
      </c>
    </row>
    <row r="1040" spans="2:13" x14ac:dyDescent="0.25">
      <c r="B1040" s="15" t="s">
        <v>12</v>
      </c>
      <c r="C1040" s="9">
        <v>38.700000000000003</v>
      </c>
      <c r="D1040" s="9">
        <v>40.5</v>
      </c>
      <c r="E1040" s="10">
        <v>40.5</v>
      </c>
      <c r="F1040" s="9">
        <f t="shared" si="64"/>
        <v>12.318592595312701</v>
      </c>
      <c r="G1040" s="9">
        <f t="shared" si="65"/>
        <v>12.891550390443523</v>
      </c>
      <c r="H1040" s="10">
        <f t="shared" si="66"/>
        <v>12.891550390443523</v>
      </c>
      <c r="K1040" s="11">
        <f>_xlfn.XLOOKUP(F1040,Ref!$B$3:$B$12,Ref!$C$3:$C$12,"",1)</f>
        <v>1</v>
      </c>
      <c r="L1040" s="11">
        <f>_xlfn.XLOOKUP(G1040,Ref!$B$3:$B$12,Ref!$C$3:$C$12,"",1)</f>
        <v>1</v>
      </c>
      <c r="M1040" s="11">
        <f>_xlfn.XLOOKUP(H1040,Ref!$B$3:$B$12,Ref!$C$3:$C$12,"",1)</f>
        <v>1</v>
      </c>
    </row>
    <row r="1041" spans="2:13" x14ac:dyDescent="0.25">
      <c r="B1041" s="15" t="s">
        <v>76</v>
      </c>
      <c r="C1041" s="9">
        <v>35.4</v>
      </c>
      <c r="D1041" s="9">
        <v>36.6</v>
      </c>
      <c r="E1041" s="10">
        <v>37.5</v>
      </c>
      <c r="F1041" s="9">
        <f t="shared" si="64"/>
        <v>11.26816997090619</v>
      </c>
      <c r="G1041" s="9">
        <f t="shared" si="65"/>
        <v>11.650141834326739</v>
      </c>
      <c r="H1041" s="10">
        <f t="shared" si="66"/>
        <v>11.93662073189215</v>
      </c>
      <c r="K1041" s="11">
        <f>_xlfn.XLOOKUP(F1041,Ref!$B$3:$B$12,Ref!$C$3:$C$12,"",1)</f>
        <v>1</v>
      </c>
      <c r="L1041" s="11">
        <f>_xlfn.XLOOKUP(G1041,Ref!$B$3:$B$12,Ref!$C$3:$C$12,"",1)</f>
        <v>1</v>
      </c>
      <c r="M1041" s="11">
        <f>_xlfn.XLOOKUP(H1041,Ref!$B$3:$B$12,Ref!$C$3:$C$12,"",1)</f>
        <v>1</v>
      </c>
    </row>
    <row r="1042" spans="2:13" x14ac:dyDescent="0.25">
      <c r="B1042" s="15" t="s">
        <v>8</v>
      </c>
      <c r="C1042" s="9">
        <v>32.799999999999997</v>
      </c>
      <c r="D1042" s="9">
        <v>34.1</v>
      </c>
      <c r="E1042" s="10">
        <v>34.5</v>
      </c>
      <c r="F1042" s="9">
        <f t="shared" si="64"/>
        <v>10.440564266828334</v>
      </c>
      <c r="G1042" s="9">
        <f t="shared" si="65"/>
        <v>10.854367118867263</v>
      </c>
      <c r="H1042" s="10">
        <f t="shared" si="66"/>
        <v>10.981691073340778</v>
      </c>
      <c r="K1042" s="11">
        <f>_xlfn.XLOOKUP(F1042,Ref!$B$3:$B$12,Ref!$C$3:$C$12,"",1)</f>
        <v>1</v>
      </c>
      <c r="L1042" s="11">
        <f>_xlfn.XLOOKUP(G1042,Ref!$B$3:$B$12,Ref!$C$3:$C$12,"",1)</f>
        <v>1</v>
      </c>
      <c r="M1042" s="11">
        <f>_xlfn.XLOOKUP(H1042,Ref!$B$3:$B$12,Ref!$C$3:$C$12,"",1)</f>
        <v>1</v>
      </c>
    </row>
    <row r="1043" spans="2:13" x14ac:dyDescent="0.25">
      <c r="B1043" s="15" t="s">
        <v>12</v>
      </c>
      <c r="C1043" s="9">
        <v>33.9</v>
      </c>
      <c r="D1043" s="9">
        <v>35.5</v>
      </c>
      <c r="E1043" s="10">
        <v>36.4</v>
      </c>
      <c r="F1043" s="9">
        <f t="shared" si="64"/>
        <v>10.790705141630504</v>
      </c>
      <c r="G1043" s="9">
        <f t="shared" si="65"/>
        <v>11.300000959524569</v>
      </c>
      <c r="H1043" s="10">
        <f t="shared" si="66"/>
        <v>11.58647985708998</v>
      </c>
      <c r="K1043" s="11">
        <f>_xlfn.XLOOKUP(F1043,Ref!$B$3:$B$12,Ref!$C$3:$C$12,"",1)</f>
        <v>1</v>
      </c>
      <c r="L1043" s="11">
        <f>_xlfn.XLOOKUP(G1043,Ref!$B$3:$B$12,Ref!$C$3:$C$12,"",1)</f>
        <v>1</v>
      </c>
      <c r="M1043" s="11">
        <f>_xlfn.XLOOKUP(H1043,Ref!$B$3:$B$12,Ref!$C$3:$C$12,"",1)</f>
        <v>1</v>
      </c>
    </row>
    <row r="1044" spans="2:13" x14ac:dyDescent="0.25">
      <c r="B1044" s="15" t="s">
        <v>27</v>
      </c>
      <c r="C1044" s="9">
        <v>42.3</v>
      </c>
      <c r="D1044" s="9">
        <v>44.6</v>
      </c>
      <c r="E1044" s="10">
        <v>45.4</v>
      </c>
      <c r="F1044" s="9">
        <f t="shared" si="64"/>
        <v>13.464508185574346</v>
      </c>
      <c r="G1044" s="9">
        <f t="shared" si="65"/>
        <v>14.196620923797065</v>
      </c>
      <c r="H1044" s="10">
        <f t="shared" si="66"/>
        <v>14.451268832744097</v>
      </c>
      <c r="K1044" s="11">
        <f>_xlfn.XLOOKUP(F1044,Ref!$B$3:$B$12,Ref!$C$3:$C$12,"",1)</f>
        <v>1</v>
      </c>
      <c r="L1044" s="11">
        <f>_xlfn.XLOOKUP(G1044,Ref!$B$3:$B$12,Ref!$C$3:$C$12,"",1)</f>
        <v>1</v>
      </c>
      <c r="M1044" s="11">
        <f>_xlfn.XLOOKUP(H1044,Ref!$B$3:$B$12,Ref!$C$3:$C$12,"",1)</f>
        <v>1</v>
      </c>
    </row>
    <row r="1045" spans="2:13" x14ac:dyDescent="0.25">
      <c r="B1045" s="15" t="s">
        <v>22</v>
      </c>
      <c r="C1045" s="9">
        <v>35.799999999999997</v>
      </c>
      <c r="D1045" s="9">
        <v>40</v>
      </c>
      <c r="E1045" s="10">
        <v>41.6</v>
      </c>
      <c r="F1045" s="9">
        <f t="shared" si="64"/>
        <v>11.395493925379705</v>
      </c>
      <c r="G1045" s="9">
        <f t="shared" si="65"/>
        <v>12.732395447351628</v>
      </c>
      <c r="H1045" s="10">
        <f t="shared" si="66"/>
        <v>13.241691265245693</v>
      </c>
      <c r="K1045" s="11">
        <f>_xlfn.XLOOKUP(F1045,Ref!$B$3:$B$12,Ref!$C$3:$C$12,"",1)</f>
        <v>1</v>
      </c>
      <c r="L1045" s="11">
        <f>_xlfn.XLOOKUP(G1045,Ref!$B$3:$B$12,Ref!$C$3:$C$12,"",1)</f>
        <v>1</v>
      </c>
      <c r="M1045" s="11">
        <f>_xlfn.XLOOKUP(H1045,Ref!$B$3:$B$12,Ref!$C$3:$C$12,"",1)</f>
        <v>1</v>
      </c>
    </row>
    <row r="1046" spans="2:13" x14ac:dyDescent="0.25">
      <c r="B1046" s="15" t="s">
        <v>8</v>
      </c>
      <c r="C1046" s="9">
        <v>33.5</v>
      </c>
      <c r="D1046" s="9">
        <v>33.799999999999997</v>
      </c>
      <c r="E1046" s="10">
        <v>34.700000000000003</v>
      </c>
      <c r="F1046" s="9">
        <f t="shared" si="64"/>
        <v>10.663381187156988</v>
      </c>
      <c r="G1046" s="9">
        <f t="shared" si="65"/>
        <v>10.758874153012124</v>
      </c>
      <c r="H1046" s="10">
        <f t="shared" si="66"/>
        <v>11.045353050577537</v>
      </c>
      <c r="K1046" s="11">
        <f>_xlfn.XLOOKUP(F1046,Ref!$B$3:$B$12,Ref!$C$3:$C$12,"",1)</f>
        <v>1</v>
      </c>
      <c r="L1046" s="11">
        <f>_xlfn.XLOOKUP(G1046,Ref!$B$3:$B$12,Ref!$C$3:$C$12,"",1)</f>
        <v>1</v>
      </c>
      <c r="M1046" s="11">
        <f>_xlfn.XLOOKUP(H1046,Ref!$B$3:$B$12,Ref!$C$3:$C$12,"",1)</f>
        <v>1</v>
      </c>
    </row>
    <row r="1047" spans="2:13" x14ac:dyDescent="0.25">
      <c r="B1047" s="15" t="s">
        <v>8</v>
      </c>
      <c r="C1047" s="9">
        <v>68.5</v>
      </c>
      <c r="D1047" s="9">
        <v>72.8</v>
      </c>
      <c r="E1047" s="10">
        <v>74.7</v>
      </c>
      <c r="F1047" s="9">
        <f t="shared" si="64"/>
        <v>21.804227203589662</v>
      </c>
      <c r="G1047" s="9">
        <f t="shared" si="65"/>
        <v>23.17295971417996</v>
      </c>
      <c r="H1047" s="10">
        <f t="shared" si="66"/>
        <v>23.777748497929164</v>
      </c>
      <c r="K1047" s="11">
        <f>_xlfn.XLOOKUP(F1047,Ref!$B$3:$B$12,Ref!$C$3:$C$12,"",1)</f>
        <v>2</v>
      </c>
      <c r="L1047" s="11">
        <f>_xlfn.XLOOKUP(G1047,Ref!$B$3:$B$12,Ref!$C$3:$C$12,"",1)</f>
        <v>2</v>
      </c>
      <c r="M1047" s="11">
        <f>_xlfn.XLOOKUP(H1047,Ref!$B$3:$B$12,Ref!$C$3:$C$12,"",1)</f>
        <v>2</v>
      </c>
    </row>
    <row r="1048" spans="2:13" x14ac:dyDescent="0.25">
      <c r="B1048" s="15" t="s">
        <v>12</v>
      </c>
      <c r="C1048" s="9">
        <v>34.5</v>
      </c>
      <c r="D1048" s="9">
        <v>35.4</v>
      </c>
      <c r="E1048" s="10">
        <v>34.5</v>
      </c>
      <c r="F1048" s="9">
        <f t="shared" si="64"/>
        <v>10.981691073340778</v>
      </c>
      <c r="G1048" s="9">
        <f t="shared" si="65"/>
        <v>11.26816997090619</v>
      </c>
      <c r="H1048" s="10">
        <f t="shared" si="66"/>
        <v>10.981691073340778</v>
      </c>
      <c r="K1048" s="11">
        <f>_xlfn.XLOOKUP(F1048,Ref!$B$3:$B$12,Ref!$C$3:$C$12,"",1)</f>
        <v>1</v>
      </c>
      <c r="L1048" s="11">
        <f>_xlfn.XLOOKUP(G1048,Ref!$B$3:$B$12,Ref!$C$3:$C$12,"",1)</f>
        <v>1</v>
      </c>
      <c r="M1048" s="11">
        <f>_xlfn.XLOOKUP(H1048,Ref!$B$3:$B$12,Ref!$C$3:$C$12,"",1)</f>
        <v>1</v>
      </c>
    </row>
    <row r="1049" spans="2:13" x14ac:dyDescent="0.25">
      <c r="B1049" s="15" t="s">
        <v>12</v>
      </c>
      <c r="C1049" s="9">
        <v>33.700000000000003</v>
      </c>
      <c r="D1049" s="9">
        <v>33.9</v>
      </c>
      <c r="E1049" s="10">
        <v>35.200000000000003</v>
      </c>
      <c r="F1049" s="9">
        <f t="shared" si="64"/>
        <v>10.727043164393747</v>
      </c>
      <c r="G1049" s="9">
        <f t="shared" si="65"/>
        <v>10.790705141630504</v>
      </c>
      <c r="H1049" s="10">
        <f t="shared" si="66"/>
        <v>11.204507993669433</v>
      </c>
      <c r="K1049" s="11">
        <f>_xlfn.XLOOKUP(F1049,Ref!$B$3:$B$12,Ref!$C$3:$C$12,"",1)</f>
        <v>1</v>
      </c>
      <c r="L1049" s="11">
        <f>_xlfn.XLOOKUP(G1049,Ref!$B$3:$B$12,Ref!$C$3:$C$12,"",1)</f>
        <v>1</v>
      </c>
      <c r="M1049" s="11">
        <f>_xlfn.XLOOKUP(H1049,Ref!$B$3:$B$12,Ref!$C$3:$C$12,"",1)</f>
        <v>1</v>
      </c>
    </row>
    <row r="1050" spans="2:13" x14ac:dyDescent="0.25">
      <c r="B1050" s="15" t="s">
        <v>7</v>
      </c>
      <c r="C1050" s="9">
        <v>87</v>
      </c>
      <c r="D1050" s="9">
        <v>90.5</v>
      </c>
      <c r="E1050" s="10">
        <v>92.8</v>
      </c>
      <c r="F1050" s="9">
        <f t="shared" si="64"/>
        <v>27.69296009798979</v>
      </c>
      <c r="G1050" s="9">
        <f t="shared" si="65"/>
        <v>28.807044699633057</v>
      </c>
      <c r="H1050" s="10">
        <f t="shared" si="66"/>
        <v>29.539157437855774</v>
      </c>
      <c r="K1050" s="11">
        <f>_xlfn.XLOOKUP(F1050,Ref!$B$3:$B$12,Ref!$C$3:$C$12,"",1)</f>
        <v>2</v>
      </c>
      <c r="L1050" s="11">
        <f>_xlfn.XLOOKUP(G1050,Ref!$B$3:$B$12,Ref!$C$3:$C$12,"",1)</f>
        <v>2</v>
      </c>
      <c r="M1050" s="11">
        <f>_xlfn.XLOOKUP(H1050,Ref!$B$3:$B$12,Ref!$C$3:$C$12,"",1)</f>
        <v>2</v>
      </c>
    </row>
    <row r="1051" spans="2:13" x14ac:dyDescent="0.25">
      <c r="B1051" s="15" t="s">
        <v>8</v>
      </c>
      <c r="C1051" s="9">
        <v>46.5</v>
      </c>
      <c r="D1051" s="9">
        <v>51.5</v>
      </c>
      <c r="E1051" s="10">
        <v>56</v>
      </c>
      <c r="F1051" s="9">
        <f t="shared" si="64"/>
        <v>14.801409707546267</v>
      </c>
      <c r="G1051" s="9">
        <f t="shared" si="65"/>
        <v>16.392959138465219</v>
      </c>
      <c r="H1051" s="10">
        <f t="shared" si="66"/>
        <v>17.82535362629228</v>
      </c>
      <c r="K1051" s="11">
        <f>_xlfn.XLOOKUP(F1051,Ref!$B$3:$B$12,Ref!$C$3:$C$12,"",1)</f>
        <v>1</v>
      </c>
      <c r="L1051" s="11">
        <f>_xlfn.XLOOKUP(G1051,Ref!$B$3:$B$12,Ref!$C$3:$C$12,"",1)</f>
        <v>1</v>
      </c>
      <c r="M1051" s="11">
        <f>_xlfn.XLOOKUP(H1051,Ref!$B$3:$B$12,Ref!$C$3:$C$12,"",1)</f>
        <v>1</v>
      </c>
    </row>
    <row r="1052" spans="2:13" x14ac:dyDescent="0.25">
      <c r="B1052" s="15" t="s">
        <v>8</v>
      </c>
      <c r="C1052" s="9">
        <v>34.299999999999997</v>
      </c>
      <c r="D1052" s="9">
        <v>34.5</v>
      </c>
      <c r="E1052" s="10">
        <v>34.799999999999997</v>
      </c>
      <c r="F1052" s="9">
        <f t="shared" si="64"/>
        <v>10.91802909610402</v>
      </c>
      <c r="G1052" s="9">
        <f t="shared" si="65"/>
        <v>10.981691073340778</v>
      </c>
      <c r="H1052" s="10">
        <f t="shared" si="66"/>
        <v>11.077184039195915</v>
      </c>
      <c r="K1052" s="11">
        <f>_xlfn.XLOOKUP(F1052,Ref!$B$3:$B$12,Ref!$C$3:$C$12,"",1)</f>
        <v>1</v>
      </c>
      <c r="L1052" s="11">
        <f>_xlfn.XLOOKUP(G1052,Ref!$B$3:$B$12,Ref!$C$3:$C$12,"",1)</f>
        <v>1</v>
      </c>
      <c r="M1052" s="11">
        <f>_xlfn.XLOOKUP(H1052,Ref!$B$3:$B$12,Ref!$C$3:$C$12,"",1)</f>
        <v>1</v>
      </c>
    </row>
    <row r="1053" spans="2:13" x14ac:dyDescent="0.25">
      <c r="B1053" s="15" t="s">
        <v>65</v>
      </c>
      <c r="C1053" s="9">
        <v>105.4</v>
      </c>
      <c r="D1053" s="9">
        <v>118.2</v>
      </c>
      <c r="E1053" s="10">
        <v>126.3</v>
      </c>
      <c r="F1053" s="9">
        <f t="shared" si="64"/>
        <v>33.549862003771537</v>
      </c>
      <c r="G1053" s="9">
        <f t="shared" si="65"/>
        <v>37.624228546924058</v>
      </c>
      <c r="H1053" s="10">
        <f t="shared" si="66"/>
        <v>40.202538625012764</v>
      </c>
      <c r="K1053" s="11">
        <f>_xlfn.XLOOKUP(F1053,Ref!$B$3:$B$12,Ref!$C$3:$C$12,"",1)</f>
        <v>3</v>
      </c>
      <c r="L1053" s="11">
        <f>_xlfn.XLOOKUP(G1053,Ref!$B$3:$B$12,Ref!$C$3:$C$12,"",1)</f>
        <v>3</v>
      </c>
      <c r="M1053" s="11">
        <f>_xlfn.XLOOKUP(H1053,Ref!$B$3:$B$12,Ref!$C$3:$C$12,"",1)</f>
        <v>4</v>
      </c>
    </row>
    <row r="1054" spans="2:13" x14ac:dyDescent="0.25">
      <c r="B1054" s="15" t="s">
        <v>57</v>
      </c>
      <c r="C1054" s="9">
        <v>47.9</v>
      </c>
      <c r="D1054" s="9">
        <v>50</v>
      </c>
      <c r="E1054" s="10">
        <v>52.9</v>
      </c>
      <c r="F1054" s="9">
        <f t="shared" si="64"/>
        <v>15.247043548203573</v>
      </c>
      <c r="G1054" s="9">
        <f t="shared" si="65"/>
        <v>15.915494309189533</v>
      </c>
      <c r="H1054" s="10">
        <f t="shared" si="66"/>
        <v>16.838592979122527</v>
      </c>
      <c r="K1054" s="11">
        <f>_xlfn.XLOOKUP(F1054,Ref!$B$3:$B$12,Ref!$C$3:$C$12,"",1)</f>
        <v>1</v>
      </c>
      <c r="L1054" s="11">
        <f>_xlfn.XLOOKUP(G1054,Ref!$B$3:$B$12,Ref!$C$3:$C$12,"",1)</f>
        <v>1</v>
      </c>
      <c r="M1054" s="11">
        <f>_xlfn.XLOOKUP(H1054,Ref!$B$3:$B$12,Ref!$C$3:$C$12,"",1)</f>
        <v>1</v>
      </c>
    </row>
    <row r="1055" spans="2:13" x14ac:dyDescent="0.25">
      <c r="B1055" s="15" t="s">
        <v>25</v>
      </c>
      <c r="C1055" s="9">
        <v>37.5</v>
      </c>
      <c r="D1055" s="9">
        <v>70.400000000000006</v>
      </c>
      <c r="E1055" s="10">
        <v>73.3</v>
      </c>
      <c r="F1055" s="9">
        <f t="shared" si="64"/>
        <v>11.93662073189215</v>
      </c>
      <c r="G1055" s="9">
        <f t="shared" si="65"/>
        <v>22.409015987338865</v>
      </c>
      <c r="H1055" s="10">
        <f t="shared" si="66"/>
        <v>23.332114657271855</v>
      </c>
      <c r="K1055" s="11">
        <f>_xlfn.XLOOKUP(F1055,Ref!$B$3:$B$12,Ref!$C$3:$C$12,"",1)</f>
        <v>1</v>
      </c>
      <c r="L1055" s="11">
        <f>_xlfn.XLOOKUP(G1055,Ref!$B$3:$B$12,Ref!$C$3:$C$12,"",1)</f>
        <v>2</v>
      </c>
      <c r="M1055" s="11">
        <f>_xlfn.XLOOKUP(H1055,Ref!$B$3:$B$12,Ref!$C$3:$C$12,"",1)</f>
        <v>2</v>
      </c>
    </row>
    <row r="1056" spans="2:13" x14ac:dyDescent="0.25">
      <c r="B1056" s="15" t="s">
        <v>32</v>
      </c>
      <c r="C1056" s="9">
        <v>42.1</v>
      </c>
      <c r="D1056" s="9">
        <v>42.7</v>
      </c>
      <c r="E1056" s="10">
        <v>43.4</v>
      </c>
      <c r="F1056" s="9">
        <f t="shared" si="64"/>
        <v>13.400846208337589</v>
      </c>
      <c r="G1056" s="9">
        <f t="shared" si="65"/>
        <v>13.591832140047863</v>
      </c>
      <c r="H1056" s="10">
        <f t="shared" si="66"/>
        <v>13.814649060376516</v>
      </c>
      <c r="K1056" s="11">
        <f>_xlfn.XLOOKUP(F1056,Ref!$B$3:$B$12,Ref!$C$3:$C$12,"",1)</f>
        <v>1</v>
      </c>
      <c r="L1056" s="11">
        <f>_xlfn.XLOOKUP(G1056,Ref!$B$3:$B$12,Ref!$C$3:$C$12,"",1)</f>
        <v>1</v>
      </c>
      <c r="M1056" s="11">
        <f>_xlfn.XLOOKUP(H1056,Ref!$B$3:$B$12,Ref!$C$3:$C$12,"",1)</f>
        <v>1</v>
      </c>
    </row>
    <row r="1057" spans="2:13" x14ac:dyDescent="0.25">
      <c r="B1057" s="15" t="s">
        <v>8</v>
      </c>
      <c r="C1057" s="9">
        <v>45.2</v>
      </c>
      <c r="D1057" s="9">
        <v>48.2</v>
      </c>
      <c r="E1057" s="10">
        <v>50.7</v>
      </c>
      <c r="F1057" s="9">
        <f t="shared" si="64"/>
        <v>14.38760685550734</v>
      </c>
      <c r="G1057" s="9">
        <f t="shared" si="65"/>
        <v>15.342536514058711</v>
      </c>
      <c r="H1057" s="10">
        <f t="shared" si="66"/>
        <v>16.138311229518187</v>
      </c>
      <c r="K1057" s="11">
        <f>_xlfn.XLOOKUP(F1057,Ref!$B$3:$B$12,Ref!$C$3:$C$12,"",1)</f>
        <v>1</v>
      </c>
      <c r="L1057" s="11">
        <f>_xlfn.XLOOKUP(G1057,Ref!$B$3:$B$12,Ref!$C$3:$C$12,"",1)</f>
        <v>1</v>
      </c>
      <c r="M1057" s="11">
        <f>_xlfn.XLOOKUP(H1057,Ref!$B$3:$B$12,Ref!$C$3:$C$12,"",1)</f>
        <v>1</v>
      </c>
    </row>
    <row r="1058" spans="2:13" x14ac:dyDescent="0.25">
      <c r="B1058" s="15" t="s">
        <v>6</v>
      </c>
      <c r="C1058" s="9">
        <v>33.9</v>
      </c>
      <c r="D1058" s="9">
        <v>41.5</v>
      </c>
      <c r="E1058" s="10">
        <v>42.2</v>
      </c>
      <c r="F1058" s="9">
        <f t="shared" si="64"/>
        <v>10.790705141630504</v>
      </c>
      <c r="G1058" s="9">
        <f t="shared" si="65"/>
        <v>13.209860276627314</v>
      </c>
      <c r="H1058" s="10">
        <f t="shared" si="66"/>
        <v>13.432677196955968</v>
      </c>
      <c r="K1058" s="11">
        <f>_xlfn.XLOOKUP(F1058,Ref!$B$3:$B$12,Ref!$C$3:$C$12,"",1)</f>
        <v>1</v>
      </c>
      <c r="L1058" s="11">
        <f>_xlfn.XLOOKUP(G1058,Ref!$B$3:$B$12,Ref!$C$3:$C$12,"",1)</f>
        <v>1</v>
      </c>
      <c r="M1058" s="11">
        <f>_xlfn.XLOOKUP(H1058,Ref!$B$3:$B$12,Ref!$C$3:$C$12,"",1)</f>
        <v>1</v>
      </c>
    </row>
    <row r="1059" spans="2:13" x14ac:dyDescent="0.25">
      <c r="B1059" s="15" t="s">
        <v>78</v>
      </c>
      <c r="C1059" s="9">
        <v>51.2</v>
      </c>
      <c r="D1059" s="9">
        <v>54.6</v>
      </c>
      <c r="E1059" s="10">
        <v>57.8</v>
      </c>
      <c r="F1059" s="9">
        <f t="shared" si="64"/>
        <v>16.297466172610083</v>
      </c>
      <c r="G1059" s="9">
        <f t="shared" si="65"/>
        <v>17.379719785634972</v>
      </c>
      <c r="H1059" s="10">
        <f t="shared" si="66"/>
        <v>18.398311421423102</v>
      </c>
      <c r="K1059" s="11">
        <f>_xlfn.XLOOKUP(F1059,Ref!$B$3:$B$12,Ref!$C$3:$C$12,"",1)</f>
        <v>1</v>
      </c>
      <c r="L1059" s="11">
        <f>_xlfn.XLOOKUP(G1059,Ref!$B$3:$B$12,Ref!$C$3:$C$12,"",1)</f>
        <v>1</v>
      </c>
      <c r="M1059" s="11">
        <f>_xlfn.XLOOKUP(H1059,Ref!$B$3:$B$12,Ref!$C$3:$C$12,"",1)</f>
        <v>1</v>
      </c>
    </row>
    <row r="1060" spans="2:13" x14ac:dyDescent="0.25">
      <c r="B1060" s="15" t="s">
        <v>12</v>
      </c>
      <c r="C1060" s="9">
        <v>42.1</v>
      </c>
      <c r="D1060" s="9">
        <v>50</v>
      </c>
      <c r="E1060" s="10">
        <v>49.7</v>
      </c>
      <c r="F1060" s="9">
        <f t="shared" si="64"/>
        <v>13.400846208337589</v>
      </c>
      <c r="G1060" s="9">
        <f t="shared" si="65"/>
        <v>15.915494309189533</v>
      </c>
      <c r="H1060" s="10">
        <f t="shared" si="66"/>
        <v>15.820001343334399</v>
      </c>
      <c r="K1060" s="11">
        <f>_xlfn.XLOOKUP(F1060,Ref!$B$3:$B$12,Ref!$C$3:$C$12,"",1)</f>
        <v>1</v>
      </c>
      <c r="L1060" s="11">
        <f>_xlfn.XLOOKUP(G1060,Ref!$B$3:$B$12,Ref!$C$3:$C$12,"",1)</f>
        <v>1</v>
      </c>
      <c r="M1060" s="11">
        <f>_xlfn.XLOOKUP(H1060,Ref!$B$3:$B$12,Ref!$C$3:$C$12,"",1)</f>
        <v>1</v>
      </c>
    </row>
    <row r="1061" spans="2:13" x14ac:dyDescent="0.25">
      <c r="B1061" s="15" t="s">
        <v>8</v>
      </c>
      <c r="C1061" s="9">
        <v>40.9</v>
      </c>
      <c r="D1061" s="9">
        <v>42.8</v>
      </c>
      <c r="E1061" s="10">
        <v>44.6</v>
      </c>
      <c r="F1061" s="9">
        <f t="shared" si="64"/>
        <v>13.018874344917039</v>
      </c>
      <c r="G1061" s="9">
        <f t="shared" si="65"/>
        <v>13.623663128666241</v>
      </c>
      <c r="H1061" s="10">
        <f t="shared" si="66"/>
        <v>14.196620923797065</v>
      </c>
      <c r="K1061" s="11">
        <f>_xlfn.XLOOKUP(F1061,Ref!$B$3:$B$12,Ref!$C$3:$C$12,"",1)</f>
        <v>1</v>
      </c>
      <c r="L1061" s="11">
        <f>_xlfn.XLOOKUP(G1061,Ref!$B$3:$B$12,Ref!$C$3:$C$12,"",1)</f>
        <v>1</v>
      </c>
      <c r="M1061" s="11">
        <f>_xlfn.XLOOKUP(H1061,Ref!$B$3:$B$12,Ref!$C$3:$C$12,"",1)</f>
        <v>1</v>
      </c>
    </row>
    <row r="1062" spans="2:13" x14ac:dyDescent="0.25">
      <c r="B1062" s="15" t="s">
        <v>28</v>
      </c>
      <c r="C1062" s="9">
        <v>33.5</v>
      </c>
      <c r="D1062" s="9">
        <v>34</v>
      </c>
      <c r="E1062" s="10">
        <v>34.6</v>
      </c>
      <c r="F1062" s="9">
        <f t="shared" si="64"/>
        <v>10.663381187156988</v>
      </c>
      <c r="G1062" s="9">
        <f t="shared" si="65"/>
        <v>10.822536130248883</v>
      </c>
      <c r="H1062" s="10">
        <f t="shared" si="66"/>
        <v>11.013522061959158</v>
      </c>
      <c r="K1062" s="11">
        <f>_xlfn.XLOOKUP(F1062,Ref!$B$3:$B$12,Ref!$C$3:$C$12,"",1)</f>
        <v>1</v>
      </c>
      <c r="L1062" s="11">
        <f>_xlfn.XLOOKUP(G1062,Ref!$B$3:$B$12,Ref!$C$3:$C$12,"",1)</f>
        <v>1</v>
      </c>
      <c r="M1062" s="11">
        <f>_xlfn.XLOOKUP(H1062,Ref!$B$3:$B$12,Ref!$C$3:$C$12,"",1)</f>
        <v>1</v>
      </c>
    </row>
    <row r="1063" spans="2:13" x14ac:dyDescent="0.25">
      <c r="B1063" s="15" t="s">
        <v>46</v>
      </c>
      <c r="C1063" s="9">
        <v>46.5</v>
      </c>
      <c r="D1063" s="9">
        <v>46.5</v>
      </c>
      <c r="E1063" s="10">
        <v>46.8</v>
      </c>
      <c r="F1063" s="9">
        <f t="shared" si="64"/>
        <v>14.801409707546267</v>
      </c>
      <c r="G1063" s="9">
        <f t="shared" si="65"/>
        <v>14.801409707546267</v>
      </c>
      <c r="H1063" s="10">
        <f t="shared" si="66"/>
        <v>14.896902673401403</v>
      </c>
      <c r="K1063" s="11">
        <f>_xlfn.XLOOKUP(F1063,Ref!$B$3:$B$12,Ref!$C$3:$C$12,"",1)</f>
        <v>1</v>
      </c>
      <c r="L1063" s="11">
        <f>_xlfn.XLOOKUP(G1063,Ref!$B$3:$B$12,Ref!$C$3:$C$12,"",1)</f>
        <v>1</v>
      </c>
      <c r="M1063" s="11">
        <f>_xlfn.XLOOKUP(H1063,Ref!$B$3:$B$12,Ref!$C$3:$C$12,"",1)</f>
        <v>1</v>
      </c>
    </row>
    <row r="1064" spans="2:13" x14ac:dyDescent="0.25">
      <c r="B1064" s="15" t="s">
        <v>6</v>
      </c>
      <c r="C1064" s="9">
        <v>36.1</v>
      </c>
      <c r="D1064" s="9">
        <v>39</v>
      </c>
      <c r="E1064" s="10">
        <v>39.1</v>
      </c>
      <c r="F1064" s="9">
        <f t="shared" si="64"/>
        <v>11.490986891234844</v>
      </c>
      <c r="G1064" s="9">
        <f t="shared" si="65"/>
        <v>12.414085561167836</v>
      </c>
      <c r="H1064" s="10">
        <f t="shared" si="66"/>
        <v>12.445916549786217</v>
      </c>
      <c r="K1064" s="11">
        <f>_xlfn.XLOOKUP(F1064,Ref!$B$3:$B$12,Ref!$C$3:$C$12,"",1)</f>
        <v>1</v>
      </c>
      <c r="L1064" s="11">
        <f>_xlfn.XLOOKUP(G1064,Ref!$B$3:$B$12,Ref!$C$3:$C$12,"",1)</f>
        <v>1</v>
      </c>
      <c r="M1064" s="11">
        <f>_xlfn.XLOOKUP(H1064,Ref!$B$3:$B$12,Ref!$C$3:$C$12,"",1)</f>
        <v>1</v>
      </c>
    </row>
    <row r="1065" spans="2:13" x14ac:dyDescent="0.25">
      <c r="B1065" s="15" t="s">
        <v>11</v>
      </c>
      <c r="C1065" s="9">
        <v>57.1</v>
      </c>
      <c r="D1065" s="9">
        <v>60.5</v>
      </c>
      <c r="E1065" s="10">
        <v>62.9</v>
      </c>
      <c r="F1065" s="9">
        <f t="shared" si="64"/>
        <v>18.175494501094448</v>
      </c>
      <c r="G1065" s="9">
        <f t="shared" si="65"/>
        <v>19.257748114119337</v>
      </c>
      <c r="H1065" s="10">
        <f t="shared" si="66"/>
        <v>20.021691840960433</v>
      </c>
      <c r="K1065" s="11">
        <f>_xlfn.XLOOKUP(F1065,Ref!$B$3:$B$12,Ref!$C$3:$C$12,"",1)</f>
        <v>1</v>
      </c>
      <c r="L1065" s="11">
        <f>_xlfn.XLOOKUP(G1065,Ref!$B$3:$B$12,Ref!$C$3:$C$12,"",1)</f>
        <v>1</v>
      </c>
      <c r="M1065" s="11">
        <f>_xlfn.XLOOKUP(H1065,Ref!$B$3:$B$12,Ref!$C$3:$C$12,"",1)</f>
        <v>2</v>
      </c>
    </row>
    <row r="1066" spans="2:13" x14ac:dyDescent="0.25">
      <c r="B1066" s="15" t="s">
        <v>46</v>
      </c>
      <c r="C1066" s="9">
        <v>63.8</v>
      </c>
      <c r="D1066" s="9">
        <v>65.900000000000006</v>
      </c>
      <c r="E1066" s="10">
        <v>66.8</v>
      </c>
      <c r="F1066" s="9">
        <f t="shared" si="64"/>
        <v>20.308170738525845</v>
      </c>
      <c r="G1066" s="9">
        <f t="shared" si="65"/>
        <v>20.976621499511808</v>
      </c>
      <c r="H1066" s="10">
        <f t="shared" si="66"/>
        <v>21.263100397077217</v>
      </c>
      <c r="K1066" s="11">
        <f>_xlfn.XLOOKUP(F1066,Ref!$B$3:$B$12,Ref!$C$3:$C$12,"",1)</f>
        <v>2</v>
      </c>
      <c r="L1066" s="11">
        <f>_xlfn.XLOOKUP(G1066,Ref!$B$3:$B$12,Ref!$C$3:$C$12,"",1)</f>
        <v>2</v>
      </c>
      <c r="M1066" s="11">
        <f>_xlfn.XLOOKUP(H1066,Ref!$B$3:$B$12,Ref!$C$3:$C$12,"",1)</f>
        <v>2</v>
      </c>
    </row>
    <row r="1067" spans="2:13" x14ac:dyDescent="0.25">
      <c r="B1067" s="15" t="s">
        <v>46</v>
      </c>
      <c r="C1067" s="9">
        <v>36</v>
      </c>
      <c r="D1067" s="9">
        <v>0</v>
      </c>
      <c r="E1067" s="10">
        <v>0</v>
      </c>
      <c r="F1067" s="9">
        <f t="shared" si="64"/>
        <v>11.459155902616464</v>
      </c>
      <c r="G1067" s="9">
        <f t="shared" si="65"/>
        <v>0</v>
      </c>
      <c r="H1067" s="10">
        <f t="shared" si="66"/>
        <v>0</v>
      </c>
      <c r="K1067" s="11">
        <f>_xlfn.XLOOKUP(F1067,Ref!$B$3:$B$12,Ref!$C$3:$C$12,"",1)</f>
        <v>1</v>
      </c>
      <c r="L1067" s="11" t="str">
        <f>_xlfn.XLOOKUP(G1067,Ref!$B$3:$B$12,Ref!$C$3:$C$12,"",1)</f>
        <v>Morta</v>
      </c>
      <c r="M1067" s="11" t="str">
        <f>_xlfn.XLOOKUP(H1067,Ref!$B$3:$B$12,Ref!$C$3:$C$12,"",1)</f>
        <v>Morta</v>
      </c>
    </row>
    <row r="1068" spans="2:13" x14ac:dyDescent="0.25">
      <c r="B1068" s="15" t="s">
        <v>11</v>
      </c>
      <c r="C1068" s="9">
        <v>65.2</v>
      </c>
      <c r="D1068" s="9">
        <v>74.400000000000006</v>
      </c>
      <c r="E1068" s="10">
        <v>83</v>
      </c>
      <c r="F1068" s="9">
        <f t="shared" si="64"/>
        <v>20.753804579183154</v>
      </c>
      <c r="G1068" s="9">
        <f t="shared" si="65"/>
        <v>23.682255532074027</v>
      </c>
      <c r="H1068" s="10">
        <f t="shared" si="66"/>
        <v>26.419720553254628</v>
      </c>
      <c r="K1068" s="11">
        <f>_xlfn.XLOOKUP(F1068,Ref!$B$3:$B$12,Ref!$C$3:$C$12,"",1)</f>
        <v>2</v>
      </c>
      <c r="L1068" s="11">
        <f>_xlfn.XLOOKUP(G1068,Ref!$B$3:$B$12,Ref!$C$3:$C$12,"",1)</f>
        <v>2</v>
      </c>
      <c r="M1068" s="11">
        <f>_xlfn.XLOOKUP(H1068,Ref!$B$3:$B$12,Ref!$C$3:$C$12,"",1)</f>
        <v>2</v>
      </c>
    </row>
    <row r="1069" spans="2:13" x14ac:dyDescent="0.25">
      <c r="B1069" s="15" t="s">
        <v>46</v>
      </c>
      <c r="C1069" s="9">
        <v>49.4</v>
      </c>
      <c r="D1069" s="9">
        <v>51.5</v>
      </c>
      <c r="E1069" s="10">
        <v>52</v>
      </c>
      <c r="F1069" s="9">
        <f t="shared" si="64"/>
        <v>15.724508377479259</v>
      </c>
      <c r="G1069" s="9">
        <f t="shared" si="65"/>
        <v>16.392959138465219</v>
      </c>
      <c r="H1069" s="10">
        <f t="shared" si="66"/>
        <v>16.552114081557114</v>
      </c>
      <c r="K1069" s="11">
        <f>_xlfn.XLOOKUP(F1069,Ref!$B$3:$B$12,Ref!$C$3:$C$12,"",1)</f>
        <v>1</v>
      </c>
      <c r="L1069" s="11">
        <f>_xlfn.XLOOKUP(G1069,Ref!$B$3:$B$12,Ref!$C$3:$C$12,"",1)</f>
        <v>1</v>
      </c>
      <c r="M1069" s="11">
        <f>_xlfn.XLOOKUP(H1069,Ref!$B$3:$B$12,Ref!$C$3:$C$12,"",1)</f>
        <v>1</v>
      </c>
    </row>
    <row r="1070" spans="2:13" x14ac:dyDescent="0.25">
      <c r="B1070" s="15" t="s">
        <v>46</v>
      </c>
      <c r="C1070" s="9">
        <v>76.5</v>
      </c>
      <c r="D1070" s="9">
        <v>78</v>
      </c>
      <c r="E1070" s="10">
        <v>80.8</v>
      </c>
      <c r="F1070" s="9">
        <f t="shared" si="64"/>
        <v>24.350706293059986</v>
      </c>
      <c r="G1070" s="9">
        <f t="shared" si="65"/>
        <v>24.828171122335672</v>
      </c>
      <c r="H1070" s="10">
        <f t="shared" si="66"/>
        <v>25.719438803650288</v>
      </c>
      <c r="K1070" s="11">
        <f>_xlfn.XLOOKUP(F1070,Ref!$B$3:$B$12,Ref!$C$3:$C$12,"",1)</f>
        <v>2</v>
      </c>
      <c r="L1070" s="11">
        <f>_xlfn.XLOOKUP(G1070,Ref!$B$3:$B$12,Ref!$C$3:$C$12,"",1)</f>
        <v>2</v>
      </c>
      <c r="M1070" s="11">
        <f>_xlfn.XLOOKUP(H1070,Ref!$B$3:$B$12,Ref!$C$3:$C$12,"",1)</f>
        <v>2</v>
      </c>
    </row>
    <row r="1071" spans="2:13" x14ac:dyDescent="0.25">
      <c r="B1071" s="15" t="s">
        <v>46</v>
      </c>
      <c r="C1071" s="9">
        <v>47.8</v>
      </c>
      <c r="D1071" s="9">
        <v>48.5</v>
      </c>
      <c r="E1071" s="10">
        <v>49.1</v>
      </c>
      <c r="F1071" s="9">
        <f t="shared" si="64"/>
        <v>15.215212559585193</v>
      </c>
      <c r="G1071" s="9">
        <f t="shared" si="65"/>
        <v>15.438029479913848</v>
      </c>
      <c r="H1071" s="10">
        <f t="shared" si="66"/>
        <v>15.629015411624122</v>
      </c>
      <c r="K1071" s="11">
        <f>_xlfn.XLOOKUP(F1071,Ref!$B$3:$B$12,Ref!$C$3:$C$12,"",1)</f>
        <v>1</v>
      </c>
      <c r="L1071" s="11">
        <f>_xlfn.XLOOKUP(G1071,Ref!$B$3:$B$12,Ref!$C$3:$C$12,"",1)</f>
        <v>1</v>
      </c>
      <c r="M1071" s="11">
        <f>_xlfn.XLOOKUP(H1071,Ref!$B$3:$B$12,Ref!$C$3:$C$12,"",1)</f>
        <v>1</v>
      </c>
    </row>
    <row r="1072" spans="2:13" x14ac:dyDescent="0.25">
      <c r="B1072" s="15" t="s">
        <v>6</v>
      </c>
      <c r="C1072" s="9">
        <v>35.6</v>
      </c>
      <c r="D1072" s="9">
        <v>36.299999999999997</v>
      </c>
      <c r="E1072" s="10">
        <v>36.299999999999997</v>
      </c>
      <c r="F1072" s="9">
        <f t="shared" si="64"/>
        <v>11.331831948142948</v>
      </c>
      <c r="G1072" s="9">
        <f t="shared" si="65"/>
        <v>11.554648868471601</v>
      </c>
      <c r="H1072" s="10">
        <f t="shared" si="66"/>
        <v>11.554648868471601</v>
      </c>
      <c r="K1072" s="11">
        <f>_xlfn.XLOOKUP(F1072,Ref!$B$3:$B$12,Ref!$C$3:$C$12,"",1)</f>
        <v>1</v>
      </c>
      <c r="L1072" s="11">
        <f>_xlfn.XLOOKUP(G1072,Ref!$B$3:$B$12,Ref!$C$3:$C$12,"",1)</f>
        <v>1</v>
      </c>
      <c r="M1072" s="11">
        <f>_xlfn.XLOOKUP(H1072,Ref!$B$3:$B$12,Ref!$C$3:$C$12,"",1)</f>
        <v>1</v>
      </c>
    </row>
    <row r="1073" spans="2:13" x14ac:dyDescent="0.25">
      <c r="B1073" s="15" t="s">
        <v>44</v>
      </c>
      <c r="C1073" s="9">
        <v>33.4</v>
      </c>
      <c r="D1073" s="9">
        <v>34.200000000000003</v>
      </c>
      <c r="E1073" s="10">
        <v>34.299999999999997</v>
      </c>
      <c r="F1073" s="9">
        <f t="shared" si="64"/>
        <v>10.631550198538608</v>
      </c>
      <c r="G1073" s="9">
        <f t="shared" si="65"/>
        <v>10.886198107485642</v>
      </c>
      <c r="H1073" s="10">
        <f t="shared" si="66"/>
        <v>10.91802909610402</v>
      </c>
      <c r="K1073" s="11">
        <f>_xlfn.XLOOKUP(F1073,Ref!$B$3:$B$12,Ref!$C$3:$C$12,"",1)</f>
        <v>1</v>
      </c>
      <c r="L1073" s="11">
        <f>_xlfn.XLOOKUP(G1073,Ref!$B$3:$B$12,Ref!$C$3:$C$12,"",1)</f>
        <v>1</v>
      </c>
      <c r="M1073" s="11">
        <f>_xlfn.XLOOKUP(H1073,Ref!$B$3:$B$12,Ref!$C$3:$C$12,"",1)</f>
        <v>1</v>
      </c>
    </row>
    <row r="1074" spans="2:13" x14ac:dyDescent="0.25">
      <c r="B1074" s="15" t="s">
        <v>65</v>
      </c>
      <c r="C1074" s="9">
        <v>36.1</v>
      </c>
      <c r="D1074" s="9">
        <v>37.1</v>
      </c>
      <c r="E1074" s="10">
        <v>0</v>
      </c>
      <c r="F1074" s="9">
        <f t="shared" si="64"/>
        <v>11.490986891234844</v>
      </c>
      <c r="G1074" s="9">
        <f t="shared" si="65"/>
        <v>11.809296777418634</v>
      </c>
      <c r="H1074" s="10">
        <f t="shared" si="66"/>
        <v>0</v>
      </c>
      <c r="K1074" s="11">
        <f>_xlfn.XLOOKUP(F1074,Ref!$B$3:$B$12,Ref!$C$3:$C$12,"",1)</f>
        <v>1</v>
      </c>
      <c r="L1074" s="11">
        <f>_xlfn.XLOOKUP(G1074,Ref!$B$3:$B$12,Ref!$C$3:$C$12,"",1)</f>
        <v>1</v>
      </c>
      <c r="M1074" s="11" t="str">
        <f>_xlfn.XLOOKUP(H1074,Ref!$B$3:$B$12,Ref!$C$3:$C$12,"",1)</f>
        <v>Morta</v>
      </c>
    </row>
    <row r="1075" spans="2:13" x14ac:dyDescent="0.25">
      <c r="B1075" s="15" t="s">
        <v>46</v>
      </c>
      <c r="C1075" s="9">
        <v>55.8</v>
      </c>
      <c r="D1075" s="9">
        <v>0</v>
      </c>
      <c r="E1075" s="10">
        <v>0</v>
      </c>
      <c r="F1075" s="9">
        <f t="shared" si="64"/>
        <v>17.761691649055518</v>
      </c>
      <c r="G1075" s="9">
        <f t="shared" si="65"/>
        <v>0</v>
      </c>
      <c r="H1075" s="10">
        <f t="shared" si="66"/>
        <v>0</v>
      </c>
      <c r="K1075" s="11">
        <f>_xlfn.XLOOKUP(F1075,Ref!$B$3:$B$12,Ref!$C$3:$C$12,"",1)</f>
        <v>1</v>
      </c>
      <c r="L1075" s="11" t="str">
        <f>_xlfn.XLOOKUP(G1075,Ref!$B$3:$B$12,Ref!$C$3:$C$12,"",1)</f>
        <v>Morta</v>
      </c>
      <c r="M1075" s="11" t="str">
        <f>_xlfn.XLOOKUP(H1075,Ref!$B$3:$B$12,Ref!$C$3:$C$12,"",1)</f>
        <v>Morta</v>
      </c>
    </row>
    <row r="1076" spans="2:13" x14ac:dyDescent="0.25">
      <c r="B1076" s="15" t="s">
        <v>75</v>
      </c>
      <c r="C1076" s="9">
        <v>76.3</v>
      </c>
      <c r="D1076" s="9">
        <v>85</v>
      </c>
      <c r="E1076" s="10">
        <v>91.5</v>
      </c>
      <c r="F1076" s="9">
        <f t="shared" si="64"/>
        <v>24.287044315823227</v>
      </c>
      <c r="G1076" s="9">
        <f t="shared" si="65"/>
        <v>27.056340325622209</v>
      </c>
      <c r="H1076" s="10">
        <f t="shared" si="66"/>
        <v>29.125354585816847</v>
      </c>
      <c r="K1076" s="11">
        <f>_xlfn.XLOOKUP(F1076,Ref!$B$3:$B$12,Ref!$C$3:$C$12,"",1)</f>
        <v>2</v>
      </c>
      <c r="L1076" s="11">
        <f>_xlfn.XLOOKUP(G1076,Ref!$B$3:$B$12,Ref!$C$3:$C$12,"",1)</f>
        <v>2</v>
      </c>
      <c r="M1076" s="11">
        <f>_xlfn.XLOOKUP(H1076,Ref!$B$3:$B$12,Ref!$C$3:$C$12,"",1)</f>
        <v>2</v>
      </c>
    </row>
    <row r="1077" spans="2:13" x14ac:dyDescent="0.25">
      <c r="B1077" s="15" t="s">
        <v>75</v>
      </c>
      <c r="C1077" s="9">
        <v>80.5</v>
      </c>
      <c r="D1077" s="9">
        <v>86.1</v>
      </c>
      <c r="E1077" s="10">
        <v>86.9</v>
      </c>
      <c r="F1077" s="9">
        <f t="shared" si="64"/>
        <v>25.623945837795151</v>
      </c>
      <c r="G1077" s="9">
        <f t="shared" si="65"/>
        <v>27.406481200424377</v>
      </c>
      <c r="H1077" s="10">
        <f t="shared" si="66"/>
        <v>27.661129109371412</v>
      </c>
      <c r="K1077" s="11">
        <f>_xlfn.XLOOKUP(F1077,Ref!$B$3:$B$12,Ref!$C$3:$C$12,"",1)</f>
        <v>2</v>
      </c>
      <c r="L1077" s="11">
        <f>_xlfn.XLOOKUP(G1077,Ref!$B$3:$B$12,Ref!$C$3:$C$12,"",1)</f>
        <v>2</v>
      </c>
      <c r="M1077" s="11">
        <f>_xlfn.XLOOKUP(H1077,Ref!$B$3:$B$12,Ref!$C$3:$C$12,"",1)</f>
        <v>2</v>
      </c>
    </row>
    <row r="1078" spans="2:13" x14ac:dyDescent="0.25">
      <c r="B1078" s="15" t="s">
        <v>8</v>
      </c>
      <c r="C1078" s="9"/>
      <c r="D1078" s="9">
        <v>33.299999999999997</v>
      </c>
      <c r="E1078" s="10">
        <v>35.4</v>
      </c>
      <c r="F1078" s="9" t="str">
        <f t="shared" si="64"/>
        <v/>
      </c>
      <c r="G1078" s="9">
        <f t="shared" si="65"/>
        <v>10.599719209920229</v>
      </c>
      <c r="H1078" s="10">
        <f t="shared" si="66"/>
        <v>11.26816997090619</v>
      </c>
      <c r="K1078" s="11" t="str">
        <f>_xlfn.XLOOKUP(F1078,Ref!$B$3:$B$12,Ref!$C$3:$C$12,"",1)</f>
        <v/>
      </c>
      <c r="L1078" s="11">
        <f>_xlfn.XLOOKUP(G1078,Ref!$B$3:$B$12,Ref!$C$3:$C$12,"",1)</f>
        <v>1</v>
      </c>
      <c r="M1078" s="11">
        <f>_xlfn.XLOOKUP(H1078,Ref!$B$3:$B$12,Ref!$C$3:$C$12,"",1)</f>
        <v>1</v>
      </c>
    </row>
    <row r="1079" spans="2:13" x14ac:dyDescent="0.25">
      <c r="B1079" s="15" t="s">
        <v>79</v>
      </c>
      <c r="C1079" s="9"/>
      <c r="D1079" s="9">
        <v>31.7</v>
      </c>
      <c r="E1079" s="10">
        <v>33</v>
      </c>
      <c r="F1079" s="9" t="str">
        <f t="shared" si="64"/>
        <v/>
      </c>
      <c r="G1079" s="9">
        <f t="shared" si="65"/>
        <v>10.090423392026164</v>
      </c>
      <c r="H1079" s="10">
        <f t="shared" si="66"/>
        <v>10.504226244065093</v>
      </c>
      <c r="K1079" s="11" t="str">
        <f>_xlfn.XLOOKUP(F1079,Ref!$B$3:$B$12,Ref!$C$3:$C$12,"",1)</f>
        <v/>
      </c>
      <c r="L1079" s="11">
        <f>_xlfn.XLOOKUP(G1079,Ref!$B$3:$B$12,Ref!$C$3:$C$12,"",1)</f>
        <v>1</v>
      </c>
      <c r="M1079" s="11">
        <f>_xlfn.XLOOKUP(H1079,Ref!$B$3:$B$12,Ref!$C$3:$C$12,"",1)</f>
        <v>1</v>
      </c>
    </row>
    <row r="1080" spans="2:13" x14ac:dyDescent="0.25">
      <c r="B1080" s="15" t="s">
        <v>60</v>
      </c>
      <c r="C1080" s="9">
        <v>44</v>
      </c>
      <c r="D1080" s="9">
        <v>52.5</v>
      </c>
      <c r="E1080" s="10">
        <v>61.6</v>
      </c>
      <c r="F1080" s="9">
        <f t="shared" si="64"/>
        <v>14.00563499208679</v>
      </c>
      <c r="G1080" s="9">
        <f t="shared" si="65"/>
        <v>16.71126902464901</v>
      </c>
      <c r="H1080" s="10">
        <f t="shared" si="66"/>
        <v>19.607888988921506</v>
      </c>
      <c r="K1080" s="11">
        <f>_xlfn.XLOOKUP(F1080,Ref!$B$3:$B$12,Ref!$C$3:$C$12,"",1)</f>
        <v>1</v>
      </c>
      <c r="L1080" s="11">
        <f>_xlfn.XLOOKUP(G1080,Ref!$B$3:$B$12,Ref!$C$3:$C$12,"",1)</f>
        <v>1</v>
      </c>
      <c r="M1080" s="11">
        <f>_xlfn.XLOOKUP(H1080,Ref!$B$3:$B$12,Ref!$C$3:$C$12,"",1)</f>
        <v>1</v>
      </c>
    </row>
    <row r="1081" spans="2:13" x14ac:dyDescent="0.25">
      <c r="B1081" s="15" t="s">
        <v>12</v>
      </c>
      <c r="C1081" s="9">
        <v>43.3</v>
      </c>
      <c r="D1081" s="9">
        <v>43.5</v>
      </c>
      <c r="E1081" s="10">
        <v>46.1</v>
      </c>
      <c r="F1081" s="9">
        <f t="shared" si="64"/>
        <v>13.782818071758136</v>
      </c>
      <c r="G1081" s="9">
        <f t="shared" si="65"/>
        <v>13.846480048994895</v>
      </c>
      <c r="H1081" s="10">
        <f t="shared" si="66"/>
        <v>14.674085753072751</v>
      </c>
      <c r="K1081" s="11">
        <f>_xlfn.XLOOKUP(F1081,Ref!$B$3:$B$12,Ref!$C$3:$C$12,"",1)</f>
        <v>1</v>
      </c>
      <c r="L1081" s="11">
        <f>_xlfn.XLOOKUP(G1081,Ref!$B$3:$B$12,Ref!$C$3:$C$12,"",1)</f>
        <v>1</v>
      </c>
      <c r="M1081" s="11">
        <f>_xlfn.XLOOKUP(H1081,Ref!$B$3:$B$12,Ref!$C$3:$C$12,"",1)</f>
        <v>1</v>
      </c>
    </row>
    <row r="1082" spans="2:13" x14ac:dyDescent="0.25">
      <c r="B1082" s="15" t="s">
        <v>24</v>
      </c>
      <c r="C1082" s="9">
        <v>51</v>
      </c>
      <c r="D1082" s="9">
        <v>61.3</v>
      </c>
      <c r="E1082" s="10">
        <v>72.599999999999994</v>
      </c>
      <c r="F1082" s="9">
        <f t="shared" si="64"/>
        <v>16.233804195373324</v>
      </c>
      <c r="G1082" s="9">
        <f t="shared" si="65"/>
        <v>19.512396023066369</v>
      </c>
      <c r="H1082" s="10">
        <f t="shared" si="66"/>
        <v>23.109297736943201</v>
      </c>
      <c r="K1082" s="11">
        <f>_xlfn.XLOOKUP(F1082,Ref!$B$3:$B$12,Ref!$C$3:$C$12,"",1)</f>
        <v>1</v>
      </c>
      <c r="L1082" s="11">
        <f>_xlfn.XLOOKUP(G1082,Ref!$B$3:$B$12,Ref!$C$3:$C$12,"",1)</f>
        <v>1</v>
      </c>
      <c r="M1082" s="11">
        <f>_xlfn.XLOOKUP(H1082,Ref!$B$3:$B$12,Ref!$C$3:$C$12,"",1)</f>
        <v>2</v>
      </c>
    </row>
    <row r="1083" spans="2:13" x14ac:dyDescent="0.25">
      <c r="B1083" s="15" t="s">
        <v>12</v>
      </c>
      <c r="C1083" s="9">
        <v>36.299999999999997</v>
      </c>
      <c r="D1083" s="9">
        <v>37.5</v>
      </c>
      <c r="E1083" s="10">
        <v>37.5</v>
      </c>
      <c r="F1083" s="9">
        <f t="shared" si="64"/>
        <v>11.554648868471601</v>
      </c>
      <c r="G1083" s="9">
        <f t="shared" si="65"/>
        <v>11.93662073189215</v>
      </c>
      <c r="H1083" s="10">
        <f t="shared" si="66"/>
        <v>11.93662073189215</v>
      </c>
      <c r="K1083" s="11">
        <f>_xlfn.XLOOKUP(F1083,Ref!$B$3:$B$12,Ref!$C$3:$C$12,"",1)</f>
        <v>1</v>
      </c>
      <c r="L1083" s="11">
        <f>_xlfn.XLOOKUP(G1083,Ref!$B$3:$B$12,Ref!$C$3:$C$12,"",1)</f>
        <v>1</v>
      </c>
      <c r="M1083" s="11">
        <f>_xlfn.XLOOKUP(H1083,Ref!$B$3:$B$12,Ref!$C$3:$C$12,"",1)</f>
        <v>1</v>
      </c>
    </row>
    <row r="1084" spans="2:13" x14ac:dyDescent="0.25">
      <c r="B1084" s="15" t="s">
        <v>43</v>
      </c>
      <c r="C1084" s="9">
        <v>102</v>
      </c>
      <c r="D1084" s="9">
        <v>102.1</v>
      </c>
      <c r="E1084" s="10">
        <v>102.1</v>
      </c>
      <c r="F1084" s="9">
        <f t="shared" ref="F1084:F1146" si="67">IF(C1084="", "", C1084/PI())</f>
        <v>32.467608390746648</v>
      </c>
      <c r="G1084" s="9">
        <f t="shared" ref="G1084:G1146" si="68">IF(D1084="", "", D1084/PI())</f>
        <v>32.499439379365029</v>
      </c>
      <c r="H1084" s="10">
        <f t="shared" ref="H1084:H1146" si="69">IF(E1084="", "", E1084/PI())</f>
        <v>32.499439379365029</v>
      </c>
      <c r="K1084" s="11">
        <f>_xlfn.XLOOKUP(F1084,Ref!$B$3:$B$12,Ref!$C$3:$C$12,"",1)</f>
        <v>3</v>
      </c>
      <c r="L1084" s="11">
        <f>_xlfn.XLOOKUP(G1084,Ref!$B$3:$B$12,Ref!$C$3:$C$12,"",1)</f>
        <v>3</v>
      </c>
      <c r="M1084" s="11">
        <f>_xlfn.XLOOKUP(H1084,Ref!$B$3:$B$12,Ref!$C$3:$C$12,"",1)</f>
        <v>3</v>
      </c>
    </row>
    <row r="1085" spans="2:13" x14ac:dyDescent="0.25">
      <c r="B1085" s="15" t="s">
        <v>11</v>
      </c>
      <c r="C1085" s="9">
        <v>33.299999999999997</v>
      </c>
      <c r="D1085" s="9">
        <v>37.299999999999997</v>
      </c>
      <c r="E1085" s="10">
        <v>40.4</v>
      </c>
      <c r="F1085" s="9">
        <f t="shared" si="67"/>
        <v>10.599719209920229</v>
      </c>
      <c r="G1085" s="9">
        <f t="shared" si="68"/>
        <v>11.872958754655391</v>
      </c>
      <c r="H1085" s="10">
        <f t="shared" si="69"/>
        <v>12.859719401825144</v>
      </c>
      <c r="K1085" s="11">
        <f>_xlfn.XLOOKUP(F1085,Ref!$B$3:$B$12,Ref!$C$3:$C$12,"",1)</f>
        <v>1</v>
      </c>
      <c r="L1085" s="11">
        <f>_xlfn.XLOOKUP(G1085,Ref!$B$3:$B$12,Ref!$C$3:$C$12,"",1)</f>
        <v>1</v>
      </c>
      <c r="M1085" s="11">
        <f>_xlfn.XLOOKUP(H1085,Ref!$B$3:$B$12,Ref!$C$3:$C$12,"",1)</f>
        <v>1</v>
      </c>
    </row>
    <row r="1086" spans="2:13" x14ac:dyDescent="0.25">
      <c r="B1086" s="15" t="s">
        <v>25</v>
      </c>
      <c r="C1086" s="9">
        <v>53.3</v>
      </c>
      <c r="D1086" s="9">
        <v>54.8</v>
      </c>
      <c r="E1086" s="10">
        <v>55.4</v>
      </c>
      <c r="F1086" s="9">
        <f t="shared" si="67"/>
        <v>16.965916933596041</v>
      </c>
      <c r="G1086" s="9">
        <f t="shared" si="68"/>
        <v>17.443381762871727</v>
      </c>
      <c r="H1086" s="10">
        <f t="shared" si="69"/>
        <v>17.634367694582004</v>
      </c>
      <c r="K1086" s="11">
        <f>_xlfn.XLOOKUP(F1086,Ref!$B$3:$B$12,Ref!$C$3:$C$12,"",1)</f>
        <v>1</v>
      </c>
      <c r="L1086" s="11">
        <f>_xlfn.XLOOKUP(G1086,Ref!$B$3:$B$12,Ref!$C$3:$C$12,"",1)</f>
        <v>1</v>
      </c>
      <c r="M1086" s="11">
        <f>_xlfn.XLOOKUP(H1086,Ref!$B$3:$B$12,Ref!$C$3:$C$12,"",1)</f>
        <v>1</v>
      </c>
    </row>
    <row r="1087" spans="2:13" x14ac:dyDescent="0.25">
      <c r="B1087" s="15" t="s">
        <v>77</v>
      </c>
      <c r="C1087" s="9">
        <v>33.9</v>
      </c>
      <c r="D1087" s="9">
        <v>37.5</v>
      </c>
      <c r="E1087" s="10">
        <v>40.9</v>
      </c>
      <c r="F1087" s="9">
        <f t="shared" si="67"/>
        <v>10.790705141630504</v>
      </c>
      <c r="G1087" s="9">
        <f t="shared" si="68"/>
        <v>11.93662073189215</v>
      </c>
      <c r="H1087" s="10">
        <f t="shared" si="69"/>
        <v>13.018874344917039</v>
      </c>
      <c r="K1087" s="11">
        <f>_xlfn.XLOOKUP(F1087,Ref!$B$3:$B$12,Ref!$C$3:$C$12,"",1)</f>
        <v>1</v>
      </c>
      <c r="L1087" s="11">
        <f>_xlfn.XLOOKUP(G1087,Ref!$B$3:$B$12,Ref!$C$3:$C$12,"",1)</f>
        <v>1</v>
      </c>
      <c r="M1087" s="11">
        <f>_xlfn.XLOOKUP(H1087,Ref!$B$3:$B$12,Ref!$C$3:$C$12,"",1)</f>
        <v>1</v>
      </c>
    </row>
    <row r="1088" spans="2:13" x14ac:dyDescent="0.25">
      <c r="B1088" s="15" t="s">
        <v>12</v>
      </c>
      <c r="C1088" s="9">
        <v>33</v>
      </c>
      <c r="D1088" s="9">
        <v>0</v>
      </c>
      <c r="E1088" s="10">
        <v>0</v>
      </c>
      <c r="F1088" s="9">
        <f t="shared" si="67"/>
        <v>10.504226244065093</v>
      </c>
      <c r="G1088" s="9">
        <f t="shared" si="68"/>
        <v>0</v>
      </c>
      <c r="H1088" s="10">
        <f t="shared" si="69"/>
        <v>0</v>
      </c>
      <c r="K1088" s="11">
        <f>_xlfn.XLOOKUP(F1088,Ref!$B$3:$B$12,Ref!$C$3:$C$12,"",1)</f>
        <v>1</v>
      </c>
      <c r="L1088" s="11" t="str">
        <f>_xlfn.XLOOKUP(G1088,Ref!$B$3:$B$12,Ref!$C$3:$C$12,"",1)</f>
        <v>Morta</v>
      </c>
      <c r="M1088" s="11" t="str">
        <f>_xlfn.XLOOKUP(H1088,Ref!$B$3:$B$12,Ref!$C$3:$C$12,"",1)</f>
        <v>Morta</v>
      </c>
    </row>
    <row r="1089" spans="2:13" x14ac:dyDescent="0.25">
      <c r="B1089" s="15" t="s">
        <v>46</v>
      </c>
      <c r="C1089" s="9">
        <v>54.4</v>
      </c>
      <c r="D1089" s="9">
        <v>56.9</v>
      </c>
      <c r="E1089" s="10">
        <v>60.7</v>
      </c>
      <c r="F1089" s="9">
        <f t="shared" si="67"/>
        <v>17.316057808398213</v>
      </c>
      <c r="G1089" s="9">
        <f t="shared" si="68"/>
        <v>18.111832523857689</v>
      </c>
      <c r="H1089" s="10">
        <f t="shared" si="69"/>
        <v>19.321410091356096</v>
      </c>
      <c r="K1089" s="11">
        <f>_xlfn.XLOOKUP(F1089,Ref!$B$3:$B$12,Ref!$C$3:$C$12,"",1)</f>
        <v>1</v>
      </c>
      <c r="L1089" s="11">
        <f>_xlfn.XLOOKUP(G1089,Ref!$B$3:$B$12,Ref!$C$3:$C$12,"",1)</f>
        <v>1</v>
      </c>
      <c r="M1089" s="11">
        <f>_xlfn.XLOOKUP(H1089,Ref!$B$3:$B$12,Ref!$C$3:$C$12,"",1)</f>
        <v>1</v>
      </c>
    </row>
    <row r="1090" spans="2:13" x14ac:dyDescent="0.25">
      <c r="B1090" s="15" t="s">
        <v>46</v>
      </c>
      <c r="C1090" s="9">
        <v>45.8</v>
      </c>
      <c r="D1090" s="9">
        <v>48.1</v>
      </c>
      <c r="E1090" s="10">
        <v>50.4</v>
      </c>
      <c r="F1090" s="9">
        <f t="shared" si="67"/>
        <v>14.578592787217612</v>
      </c>
      <c r="G1090" s="9">
        <f t="shared" si="68"/>
        <v>15.310705525440332</v>
      </c>
      <c r="H1090" s="10">
        <f t="shared" si="69"/>
        <v>16.042818263663051</v>
      </c>
      <c r="K1090" s="11">
        <f>_xlfn.XLOOKUP(F1090,Ref!$B$3:$B$12,Ref!$C$3:$C$12,"",1)</f>
        <v>1</v>
      </c>
      <c r="L1090" s="11">
        <f>_xlfn.XLOOKUP(G1090,Ref!$B$3:$B$12,Ref!$C$3:$C$12,"",1)</f>
        <v>1</v>
      </c>
      <c r="M1090" s="11">
        <f>_xlfn.XLOOKUP(H1090,Ref!$B$3:$B$12,Ref!$C$3:$C$12,"",1)</f>
        <v>1</v>
      </c>
    </row>
    <row r="1091" spans="2:13" x14ac:dyDescent="0.25">
      <c r="B1091" s="15" t="s">
        <v>43</v>
      </c>
      <c r="C1091" s="9">
        <v>45.1</v>
      </c>
      <c r="D1091" s="9">
        <v>47.1</v>
      </c>
      <c r="E1091" s="10">
        <v>48.8</v>
      </c>
      <c r="F1091" s="9">
        <f t="shared" si="67"/>
        <v>14.35577586688896</v>
      </c>
      <c r="G1091" s="9">
        <f t="shared" si="68"/>
        <v>14.992395639256541</v>
      </c>
      <c r="H1091" s="10">
        <f t="shared" si="69"/>
        <v>15.533522445768984</v>
      </c>
      <c r="K1091" s="11">
        <f>_xlfn.XLOOKUP(F1091,Ref!$B$3:$B$12,Ref!$C$3:$C$12,"",1)</f>
        <v>1</v>
      </c>
      <c r="L1091" s="11">
        <f>_xlfn.XLOOKUP(G1091,Ref!$B$3:$B$12,Ref!$C$3:$C$12,"",1)</f>
        <v>1</v>
      </c>
      <c r="M1091" s="11">
        <f>_xlfn.XLOOKUP(H1091,Ref!$B$3:$B$12,Ref!$C$3:$C$12,"",1)</f>
        <v>1</v>
      </c>
    </row>
    <row r="1092" spans="2:13" x14ac:dyDescent="0.25">
      <c r="B1092" s="15" t="s">
        <v>46</v>
      </c>
      <c r="C1092" s="9">
        <v>51.7</v>
      </c>
      <c r="D1092" s="9">
        <v>53.4</v>
      </c>
      <c r="E1092" s="10">
        <v>58</v>
      </c>
      <c r="F1092" s="9">
        <f t="shared" si="67"/>
        <v>16.456621115701978</v>
      </c>
      <c r="G1092" s="9">
        <f t="shared" si="68"/>
        <v>16.997747922214423</v>
      </c>
      <c r="H1092" s="10">
        <f t="shared" si="69"/>
        <v>18.461973398659861</v>
      </c>
      <c r="K1092" s="11">
        <f>_xlfn.XLOOKUP(F1092,Ref!$B$3:$B$12,Ref!$C$3:$C$12,"",1)</f>
        <v>1</v>
      </c>
      <c r="L1092" s="11">
        <f>_xlfn.XLOOKUP(G1092,Ref!$B$3:$B$12,Ref!$C$3:$C$12,"",1)</f>
        <v>1</v>
      </c>
      <c r="M1092" s="11">
        <f>_xlfn.XLOOKUP(H1092,Ref!$B$3:$B$12,Ref!$C$3:$C$12,"",1)</f>
        <v>1</v>
      </c>
    </row>
    <row r="1093" spans="2:13" x14ac:dyDescent="0.25">
      <c r="B1093" s="15" t="s">
        <v>33</v>
      </c>
      <c r="C1093" s="9">
        <v>38.1</v>
      </c>
      <c r="D1093" s="9">
        <v>37.6</v>
      </c>
      <c r="E1093" s="10">
        <v>38.4</v>
      </c>
      <c r="F1093" s="9">
        <f t="shared" si="67"/>
        <v>12.127606663602425</v>
      </c>
      <c r="G1093" s="9">
        <f t="shared" si="68"/>
        <v>11.968451720510529</v>
      </c>
      <c r="H1093" s="10">
        <f t="shared" si="69"/>
        <v>12.223099629457561</v>
      </c>
      <c r="K1093" s="11">
        <f>_xlfn.XLOOKUP(F1093,Ref!$B$3:$B$12,Ref!$C$3:$C$12,"",1)</f>
        <v>1</v>
      </c>
      <c r="L1093" s="11">
        <f>_xlfn.XLOOKUP(G1093,Ref!$B$3:$B$12,Ref!$C$3:$C$12,"",1)</f>
        <v>1</v>
      </c>
      <c r="M1093" s="11">
        <f>_xlfn.XLOOKUP(H1093,Ref!$B$3:$B$12,Ref!$C$3:$C$12,"",1)</f>
        <v>1</v>
      </c>
    </row>
    <row r="1094" spans="2:13" x14ac:dyDescent="0.25">
      <c r="B1094" s="15" t="s">
        <v>7</v>
      </c>
      <c r="C1094" s="9">
        <v>67.8</v>
      </c>
      <c r="D1094" s="9">
        <v>71.400000000000006</v>
      </c>
      <c r="E1094" s="10">
        <v>73.900000000000006</v>
      </c>
      <c r="F1094" s="9">
        <f t="shared" si="67"/>
        <v>21.581410283261008</v>
      </c>
      <c r="G1094" s="9">
        <f t="shared" si="68"/>
        <v>22.727325873522656</v>
      </c>
      <c r="H1094" s="10">
        <f t="shared" si="69"/>
        <v>23.523100588982132</v>
      </c>
      <c r="K1094" s="11">
        <f>_xlfn.XLOOKUP(F1094,Ref!$B$3:$B$12,Ref!$C$3:$C$12,"",1)</f>
        <v>2</v>
      </c>
      <c r="L1094" s="11">
        <f>_xlfn.XLOOKUP(G1094,Ref!$B$3:$B$12,Ref!$C$3:$C$12,"",1)</f>
        <v>2</v>
      </c>
      <c r="M1094" s="11">
        <f>_xlfn.XLOOKUP(H1094,Ref!$B$3:$B$12,Ref!$C$3:$C$12,"",1)</f>
        <v>2</v>
      </c>
    </row>
    <row r="1095" spans="2:13" x14ac:dyDescent="0.25">
      <c r="B1095" s="15" t="s">
        <v>54</v>
      </c>
      <c r="C1095" s="9">
        <v>39.200000000000003</v>
      </c>
      <c r="D1095" s="9">
        <v>39.799999999999997</v>
      </c>
      <c r="E1095" s="10">
        <v>41.7</v>
      </c>
      <c r="F1095" s="9">
        <f t="shared" si="67"/>
        <v>12.477747538404596</v>
      </c>
      <c r="G1095" s="9">
        <f t="shared" si="68"/>
        <v>12.668733470114868</v>
      </c>
      <c r="H1095" s="10">
        <f t="shared" si="69"/>
        <v>13.273522253864073</v>
      </c>
      <c r="K1095" s="11">
        <f>_xlfn.XLOOKUP(F1095,Ref!$B$3:$B$12,Ref!$C$3:$C$12,"",1)</f>
        <v>1</v>
      </c>
      <c r="L1095" s="11">
        <f>_xlfn.XLOOKUP(G1095,Ref!$B$3:$B$12,Ref!$C$3:$C$12,"",1)</f>
        <v>1</v>
      </c>
      <c r="M1095" s="11">
        <f>_xlfn.XLOOKUP(H1095,Ref!$B$3:$B$12,Ref!$C$3:$C$12,"",1)</f>
        <v>1</v>
      </c>
    </row>
    <row r="1096" spans="2:13" x14ac:dyDescent="0.25">
      <c r="B1096" s="15" t="s">
        <v>10</v>
      </c>
      <c r="C1096" s="9">
        <v>33.9</v>
      </c>
      <c r="D1096" s="9">
        <v>38.9</v>
      </c>
      <c r="E1096" s="10">
        <v>43.4</v>
      </c>
      <c r="F1096" s="9">
        <f t="shared" si="67"/>
        <v>10.790705141630504</v>
      </c>
      <c r="G1096" s="9">
        <f t="shared" si="68"/>
        <v>12.382254572549456</v>
      </c>
      <c r="H1096" s="10">
        <f t="shared" si="69"/>
        <v>13.814649060376516</v>
      </c>
      <c r="K1096" s="11">
        <f>_xlfn.XLOOKUP(F1096,Ref!$B$3:$B$12,Ref!$C$3:$C$12,"",1)</f>
        <v>1</v>
      </c>
      <c r="L1096" s="11">
        <f>_xlfn.XLOOKUP(G1096,Ref!$B$3:$B$12,Ref!$C$3:$C$12,"",1)</f>
        <v>1</v>
      </c>
      <c r="M1096" s="11">
        <f>_xlfn.XLOOKUP(H1096,Ref!$B$3:$B$12,Ref!$C$3:$C$12,"",1)</f>
        <v>1</v>
      </c>
    </row>
    <row r="1097" spans="2:13" x14ac:dyDescent="0.25">
      <c r="B1097" s="15" t="s">
        <v>12</v>
      </c>
      <c r="C1097" s="9">
        <v>36.1</v>
      </c>
      <c r="D1097" s="9">
        <v>37.9</v>
      </c>
      <c r="E1097" s="10">
        <v>38.4</v>
      </c>
      <c r="F1097" s="9">
        <f t="shared" si="67"/>
        <v>11.490986891234844</v>
      </c>
      <c r="G1097" s="9">
        <f t="shared" si="68"/>
        <v>12.063944686365666</v>
      </c>
      <c r="H1097" s="10">
        <f t="shared" si="69"/>
        <v>12.223099629457561</v>
      </c>
      <c r="K1097" s="11">
        <f>_xlfn.XLOOKUP(F1097,Ref!$B$3:$B$12,Ref!$C$3:$C$12,"",1)</f>
        <v>1</v>
      </c>
      <c r="L1097" s="11">
        <f>_xlfn.XLOOKUP(G1097,Ref!$B$3:$B$12,Ref!$C$3:$C$12,"",1)</f>
        <v>1</v>
      </c>
      <c r="M1097" s="11">
        <f>_xlfn.XLOOKUP(H1097,Ref!$B$3:$B$12,Ref!$C$3:$C$12,"",1)</f>
        <v>1</v>
      </c>
    </row>
    <row r="1098" spans="2:13" x14ac:dyDescent="0.25">
      <c r="B1098" s="15" t="s">
        <v>46</v>
      </c>
      <c r="C1098" s="9">
        <v>54.2</v>
      </c>
      <c r="D1098" s="9">
        <v>54.8</v>
      </c>
      <c r="E1098" s="10">
        <v>56.6</v>
      </c>
      <c r="F1098" s="9">
        <f t="shared" si="67"/>
        <v>17.252395831161454</v>
      </c>
      <c r="G1098" s="9">
        <f t="shared" si="68"/>
        <v>17.443381762871727</v>
      </c>
      <c r="H1098" s="10">
        <f t="shared" si="69"/>
        <v>18.016339558002553</v>
      </c>
      <c r="K1098" s="11">
        <f>_xlfn.XLOOKUP(F1098,Ref!$B$3:$B$12,Ref!$C$3:$C$12,"",1)</f>
        <v>1</v>
      </c>
      <c r="L1098" s="11">
        <f>_xlfn.XLOOKUP(G1098,Ref!$B$3:$B$12,Ref!$C$3:$C$12,"",1)</f>
        <v>1</v>
      </c>
      <c r="M1098" s="11">
        <f>_xlfn.XLOOKUP(H1098,Ref!$B$3:$B$12,Ref!$C$3:$C$12,"",1)</f>
        <v>1</v>
      </c>
    </row>
    <row r="1099" spans="2:13" x14ac:dyDescent="0.25">
      <c r="B1099" s="15" t="s">
        <v>46</v>
      </c>
      <c r="C1099" s="9">
        <v>37.1</v>
      </c>
      <c r="D1099" s="9">
        <v>36.799999999999997</v>
      </c>
      <c r="E1099" s="10">
        <v>37.5</v>
      </c>
      <c r="F1099" s="9">
        <f t="shared" si="67"/>
        <v>11.809296777418634</v>
      </c>
      <c r="G1099" s="9">
        <f t="shared" si="68"/>
        <v>11.713803811563496</v>
      </c>
      <c r="H1099" s="10">
        <f t="shared" si="69"/>
        <v>11.93662073189215</v>
      </c>
      <c r="K1099" s="11">
        <f>_xlfn.XLOOKUP(F1099,Ref!$B$3:$B$12,Ref!$C$3:$C$12,"",1)</f>
        <v>1</v>
      </c>
      <c r="L1099" s="11">
        <f>_xlfn.XLOOKUP(G1099,Ref!$B$3:$B$12,Ref!$C$3:$C$12,"",1)</f>
        <v>1</v>
      </c>
      <c r="M1099" s="11">
        <f>_xlfn.XLOOKUP(H1099,Ref!$B$3:$B$12,Ref!$C$3:$C$12,"",1)</f>
        <v>1</v>
      </c>
    </row>
    <row r="1100" spans="2:13" x14ac:dyDescent="0.25">
      <c r="B1100" s="15" t="s">
        <v>6</v>
      </c>
      <c r="C1100" s="9">
        <v>32.4</v>
      </c>
      <c r="D1100" s="9">
        <v>34.5</v>
      </c>
      <c r="E1100" s="10">
        <v>35.4</v>
      </c>
      <c r="F1100" s="9">
        <f t="shared" si="67"/>
        <v>10.313240312354818</v>
      </c>
      <c r="G1100" s="9">
        <f t="shared" si="68"/>
        <v>10.981691073340778</v>
      </c>
      <c r="H1100" s="10">
        <f t="shared" si="69"/>
        <v>11.26816997090619</v>
      </c>
      <c r="K1100" s="11">
        <f>_xlfn.XLOOKUP(F1100,Ref!$B$3:$B$12,Ref!$C$3:$C$12,"",1)</f>
        <v>1</v>
      </c>
      <c r="L1100" s="11">
        <f>_xlfn.XLOOKUP(G1100,Ref!$B$3:$B$12,Ref!$C$3:$C$12,"",1)</f>
        <v>1</v>
      </c>
      <c r="M1100" s="11">
        <f>_xlfn.XLOOKUP(H1100,Ref!$B$3:$B$12,Ref!$C$3:$C$12,"",1)</f>
        <v>1</v>
      </c>
    </row>
    <row r="1101" spans="2:13" x14ac:dyDescent="0.25">
      <c r="B1101" s="15" t="s">
        <v>80</v>
      </c>
      <c r="C1101" s="9">
        <v>63</v>
      </c>
      <c r="D1101" s="9">
        <v>63.3</v>
      </c>
      <c r="E1101" s="10">
        <v>63.3</v>
      </c>
      <c r="F1101" s="9">
        <f t="shared" si="67"/>
        <v>20.053522829578814</v>
      </c>
      <c r="G1101" s="9">
        <f t="shared" si="68"/>
        <v>20.14901579543395</v>
      </c>
      <c r="H1101" s="10">
        <f t="shared" si="69"/>
        <v>20.14901579543395</v>
      </c>
      <c r="K1101" s="11">
        <f>_xlfn.XLOOKUP(F1101,Ref!$B$3:$B$12,Ref!$C$3:$C$12,"",1)</f>
        <v>2</v>
      </c>
      <c r="L1101" s="11">
        <f>_xlfn.XLOOKUP(G1101,Ref!$B$3:$B$12,Ref!$C$3:$C$12,"",1)</f>
        <v>2</v>
      </c>
      <c r="M1101" s="11">
        <f>_xlfn.XLOOKUP(H1101,Ref!$B$3:$B$12,Ref!$C$3:$C$12,"",1)</f>
        <v>2</v>
      </c>
    </row>
    <row r="1102" spans="2:13" x14ac:dyDescent="0.25">
      <c r="B1102" s="15" t="s">
        <v>8</v>
      </c>
      <c r="C1102" s="9">
        <v>34.700000000000003</v>
      </c>
      <c r="D1102" s="9">
        <v>35.5</v>
      </c>
      <c r="E1102" s="10">
        <v>35.5</v>
      </c>
      <c r="F1102" s="9">
        <f t="shared" si="67"/>
        <v>11.045353050577537</v>
      </c>
      <c r="G1102" s="9">
        <f t="shared" si="68"/>
        <v>11.300000959524569</v>
      </c>
      <c r="H1102" s="10">
        <f t="shared" si="69"/>
        <v>11.300000959524569</v>
      </c>
      <c r="K1102" s="11">
        <f>_xlfn.XLOOKUP(F1102,Ref!$B$3:$B$12,Ref!$C$3:$C$12,"",1)</f>
        <v>1</v>
      </c>
      <c r="L1102" s="11">
        <f>_xlfn.XLOOKUP(G1102,Ref!$B$3:$B$12,Ref!$C$3:$C$12,"",1)</f>
        <v>1</v>
      </c>
      <c r="M1102" s="11">
        <f>_xlfn.XLOOKUP(H1102,Ref!$B$3:$B$12,Ref!$C$3:$C$12,"",1)</f>
        <v>1</v>
      </c>
    </row>
    <row r="1103" spans="2:13" x14ac:dyDescent="0.25">
      <c r="B1103" s="15" t="s">
        <v>12</v>
      </c>
      <c r="C1103" s="9">
        <v>45.2</v>
      </c>
      <c r="D1103" s="9">
        <v>50.8</v>
      </c>
      <c r="E1103" s="10">
        <v>54.5</v>
      </c>
      <c r="F1103" s="9">
        <f t="shared" si="67"/>
        <v>14.38760685550734</v>
      </c>
      <c r="G1103" s="9">
        <f t="shared" si="68"/>
        <v>16.170142218136565</v>
      </c>
      <c r="H1103" s="10">
        <f t="shared" si="69"/>
        <v>17.347888797016591</v>
      </c>
      <c r="K1103" s="11">
        <f>_xlfn.XLOOKUP(F1103,Ref!$B$3:$B$12,Ref!$C$3:$C$12,"",1)</f>
        <v>1</v>
      </c>
      <c r="L1103" s="11">
        <f>_xlfn.XLOOKUP(G1103,Ref!$B$3:$B$12,Ref!$C$3:$C$12,"",1)</f>
        <v>1</v>
      </c>
      <c r="M1103" s="11">
        <f>_xlfn.XLOOKUP(H1103,Ref!$B$3:$B$12,Ref!$C$3:$C$12,"",1)</f>
        <v>1</v>
      </c>
    </row>
    <row r="1104" spans="2:13" x14ac:dyDescent="0.25">
      <c r="B1104" s="15" t="s">
        <v>12</v>
      </c>
      <c r="C1104" s="9">
        <v>32.299999999999997</v>
      </c>
      <c r="D1104" s="9">
        <v>33.799999999999997</v>
      </c>
      <c r="E1104" s="10">
        <v>33.200000000000003</v>
      </c>
      <c r="F1104" s="9">
        <f t="shared" si="67"/>
        <v>10.281409323736439</v>
      </c>
      <c r="G1104" s="9">
        <f t="shared" si="68"/>
        <v>10.758874153012124</v>
      </c>
      <c r="H1104" s="10">
        <f t="shared" si="69"/>
        <v>10.567888221301851</v>
      </c>
      <c r="K1104" s="11">
        <f>_xlfn.XLOOKUP(F1104,Ref!$B$3:$B$12,Ref!$C$3:$C$12,"",1)</f>
        <v>1</v>
      </c>
      <c r="L1104" s="11">
        <f>_xlfn.XLOOKUP(G1104,Ref!$B$3:$B$12,Ref!$C$3:$C$12,"",1)</f>
        <v>1</v>
      </c>
      <c r="M1104" s="11">
        <f>_xlfn.XLOOKUP(H1104,Ref!$B$3:$B$12,Ref!$C$3:$C$12,"",1)</f>
        <v>1</v>
      </c>
    </row>
    <row r="1105" spans="2:13" x14ac:dyDescent="0.25">
      <c r="B1105" s="15" t="s">
        <v>31</v>
      </c>
      <c r="C1105" s="9">
        <v>72.5</v>
      </c>
      <c r="D1105" s="9">
        <v>72.5</v>
      </c>
      <c r="E1105" s="10">
        <v>72.5</v>
      </c>
      <c r="F1105" s="9">
        <f t="shared" si="67"/>
        <v>23.077466748324824</v>
      </c>
      <c r="G1105" s="9">
        <f t="shared" si="68"/>
        <v>23.077466748324824</v>
      </c>
      <c r="H1105" s="10">
        <f t="shared" si="69"/>
        <v>23.077466748324824</v>
      </c>
      <c r="K1105" s="11">
        <f>_xlfn.XLOOKUP(F1105,Ref!$B$3:$B$12,Ref!$C$3:$C$12,"",1)</f>
        <v>2</v>
      </c>
      <c r="L1105" s="11">
        <f>_xlfn.XLOOKUP(G1105,Ref!$B$3:$B$12,Ref!$C$3:$C$12,"",1)</f>
        <v>2</v>
      </c>
      <c r="M1105" s="11">
        <f>_xlfn.XLOOKUP(H1105,Ref!$B$3:$B$12,Ref!$C$3:$C$12,"",1)</f>
        <v>2</v>
      </c>
    </row>
    <row r="1106" spans="2:13" x14ac:dyDescent="0.25">
      <c r="B1106" s="15" t="s">
        <v>10</v>
      </c>
      <c r="C1106" s="9">
        <v>33</v>
      </c>
      <c r="D1106" s="9">
        <v>35.6</v>
      </c>
      <c r="E1106" s="10">
        <v>37.4</v>
      </c>
      <c r="F1106" s="9">
        <f t="shared" si="67"/>
        <v>10.504226244065093</v>
      </c>
      <c r="G1106" s="9">
        <f t="shared" si="68"/>
        <v>11.331831948142948</v>
      </c>
      <c r="H1106" s="10">
        <f t="shared" si="69"/>
        <v>11.904789743273771</v>
      </c>
      <c r="K1106" s="11">
        <f>_xlfn.XLOOKUP(F1106,Ref!$B$3:$B$12,Ref!$C$3:$C$12,"",1)</f>
        <v>1</v>
      </c>
      <c r="L1106" s="11">
        <f>_xlfn.XLOOKUP(G1106,Ref!$B$3:$B$12,Ref!$C$3:$C$12,"",1)</f>
        <v>1</v>
      </c>
      <c r="M1106" s="11">
        <f>_xlfn.XLOOKUP(H1106,Ref!$B$3:$B$12,Ref!$C$3:$C$12,"",1)</f>
        <v>1</v>
      </c>
    </row>
    <row r="1107" spans="2:13" x14ac:dyDescent="0.25">
      <c r="B1107" s="15" t="s">
        <v>46</v>
      </c>
      <c r="C1107" s="9">
        <v>61.9</v>
      </c>
      <c r="D1107" s="9">
        <v>63.4</v>
      </c>
      <c r="E1107" s="10">
        <v>68.7</v>
      </c>
      <c r="F1107" s="9">
        <f t="shared" si="67"/>
        <v>19.703381954776642</v>
      </c>
      <c r="G1107" s="9">
        <f t="shared" si="68"/>
        <v>20.180846784052328</v>
      </c>
      <c r="H1107" s="10">
        <f t="shared" si="69"/>
        <v>21.86788918082642</v>
      </c>
      <c r="K1107" s="11">
        <f>_xlfn.XLOOKUP(F1107,Ref!$B$3:$B$12,Ref!$C$3:$C$12,"",1)</f>
        <v>1</v>
      </c>
      <c r="L1107" s="11">
        <f>_xlfn.XLOOKUP(G1107,Ref!$B$3:$B$12,Ref!$C$3:$C$12,"",1)</f>
        <v>2</v>
      </c>
      <c r="M1107" s="11">
        <f>_xlfn.XLOOKUP(H1107,Ref!$B$3:$B$12,Ref!$C$3:$C$12,"",1)</f>
        <v>2</v>
      </c>
    </row>
    <row r="1108" spans="2:13" x14ac:dyDescent="0.25">
      <c r="B1108" s="15" t="s">
        <v>46</v>
      </c>
      <c r="C1108" s="9">
        <v>43.5</v>
      </c>
      <c r="D1108" s="9">
        <v>45.6</v>
      </c>
      <c r="E1108" s="10">
        <v>46.4</v>
      </c>
      <c r="F1108" s="9">
        <f t="shared" si="67"/>
        <v>13.846480048994895</v>
      </c>
      <c r="G1108" s="9">
        <f t="shared" si="68"/>
        <v>14.514930809980855</v>
      </c>
      <c r="H1108" s="10">
        <f t="shared" si="69"/>
        <v>14.769578718927887</v>
      </c>
      <c r="K1108" s="11">
        <f>_xlfn.XLOOKUP(F1108,Ref!$B$3:$B$12,Ref!$C$3:$C$12,"",1)</f>
        <v>1</v>
      </c>
      <c r="L1108" s="11">
        <f>_xlfn.XLOOKUP(G1108,Ref!$B$3:$B$12,Ref!$C$3:$C$12,"",1)</f>
        <v>1</v>
      </c>
      <c r="M1108" s="11">
        <f>_xlfn.XLOOKUP(H1108,Ref!$B$3:$B$12,Ref!$C$3:$C$12,"",1)</f>
        <v>1</v>
      </c>
    </row>
    <row r="1109" spans="2:13" x14ac:dyDescent="0.25">
      <c r="B1109" s="15" t="s">
        <v>8</v>
      </c>
      <c r="C1109" s="9">
        <v>45.1</v>
      </c>
      <c r="D1109" s="9">
        <v>45.9</v>
      </c>
      <c r="E1109" s="10">
        <v>46.2</v>
      </c>
      <c r="F1109" s="9">
        <f t="shared" si="67"/>
        <v>14.35577586688896</v>
      </c>
      <c r="G1109" s="9">
        <f t="shared" si="68"/>
        <v>14.610423775835992</v>
      </c>
      <c r="H1109" s="10">
        <f t="shared" si="69"/>
        <v>14.70591674169113</v>
      </c>
      <c r="K1109" s="11">
        <f>_xlfn.XLOOKUP(F1109,Ref!$B$3:$B$12,Ref!$C$3:$C$12,"",1)</f>
        <v>1</v>
      </c>
      <c r="L1109" s="11">
        <f>_xlfn.XLOOKUP(G1109,Ref!$B$3:$B$12,Ref!$C$3:$C$12,"",1)</f>
        <v>1</v>
      </c>
      <c r="M1109" s="11">
        <f>_xlfn.XLOOKUP(H1109,Ref!$B$3:$B$12,Ref!$C$3:$C$12,"",1)</f>
        <v>1</v>
      </c>
    </row>
    <row r="1110" spans="2:13" x14ac:dyDescent="0.25">
      <c r="B1110" s="15" t="s">
        <v>5</v>
      </c>
      <c r="C1110" s="9">
        <v>35.299999999999997</v>
      </c>
      <c r="D1110" s="9">
        <v>35.5</v>
      </c>
      <c r="E1110" s="10">
        <v>35.9</v>
      </c>
      <c r="F1110" s="9">
        <f t="shared" si="67"/>
        <v>11.23633898228781</v>
      </c>
      <c r="G1110" s="9">
        <f t="shared" si="68"/>
        <v>11.300000959524569</v>
      </c>
      <c r="H1110" s="10">
        <f t="shared" si="69"/>
        <v>11.427324913998085</v>
      </c>
      <c r="K1110" s="11">
        <f>_xlfn.XLOOKUP(F1110,Ref!$B$3:$B$12,Ref!$C$3:$C$12,"",1)</f>
        <v>1</v>
      </c>
      <c r="L1110" s="11">
        <f>_xlfn.XLOOKUP(G1110,Ref!$B$3:$B$12,Ref!$C$3:$C$12,"",1)</f>
        <v>1</v>
      </c>
      <c r="M1110" s="11">
        <f>_xlfn.XLOOKUP(H1110,Ref!$B$3:$B$12,Ref!$C$3:$C$12,"",1)</f>
        <v>1</v>
      </c>
    </row>
    <row r="1111" spans="2:13" x14ac:dyDescent="0.25">
      <c r="B1111" s="15" t="s">
        <v>48</v>
      </c>
      <c r="C1111" s="9">
        <v>32.5</v>
      </c>
      <c r="D1111" s="9">
        <v>34.4</v>
      </c>
      <c r="E1111" s="10">
        <v>35.4</v>
      </c>
      <c r="F1111" s="9">
        <f t="shared" si="67"/>
        <v>10.345071300973197</v>
      </c>
      <c r="G1111" s="9">
        <f t="shared" si="68"/>
        <v>10.949860084722399</v>
      </c>
      <c r="H1111" s="10">
        <f t="shared" si="69"/>
        <v>11.26816997090619</v>
      </c>
      <c r="K1111" s="11">
        <f>_xlfn.XLOOKUP(F1111,Ref!$B$3:$B$12,Ref!$C$3:$C$12,"",1)</f>
        <v>1</v>
      </c>
      <c r="L1111" s="11">
        <f>_xlfn.XLOOKUP(G1111,Ref!$B$3:$B$12,Ref!$C$3:$C$12,"",1)</f>
        <v>1</v>
      </c>
      <c r="M1111" s="11">
        <f>_xlfn.XLOOKUP(H1111,Ref!$B$3:$B$12,Ref!$C$3:$C$12,"",1)</f>
        <v>1</v>
      </c>
    </row>
    <row r="1112" spans="2:13" x14ac:dyDescent="0.25">
      <c r="B1112" s="15" t="s">
        <v>8</v>
      </c>
      <c r="C1112" s="9">
        <v>39</v>
      </c>
      <c r="D1112" s="9">
        <v>38.4</v>
      </c>
      <c r="E1112" s="10">
        <v>41.2</v>
      </c>
      <c r="F1112" s="9">
        <f t="shared" si="67"/>
        <v>12.414085561167836</v>
      </c>
      <c r="G1112" s="9">
        <f t="shared" si="68"/>
        <v>12.223099629457561</v>
      </c>
      <c r="H1112" s="10">
        <f t="shared" si="69"/>
        <v>13.114367310772177</v>
      </c>
      <c r="K1112" s="11">
        <f>_xlfn.XLOOKUP(F1112,Ref!$B$3:$B$12,Ref!$C$3:$C$12,"",1)</f>
        <v>1</v>
      </c>
      <c r="L1112" s="11">
        <f>_xlfn.XLOOKUP(G1112,Ref!$B$3:$B$12,Ref!$C$3:$C$12,"",1)</f>
        <v>1</v>
      </c>
      <c r="M1112" s="11">
        <f>_xlfn.XLOOKUP(H1112,Ref!$B$3:$B$12,Ref!$C$3:$C$12,"",1)</f>
        <v>1</v>
      </c>
    </row>
    <row r="1113" spans="2:13" x14ac:dyDescent="0.25">
      <c r="B1113" s="15" t="s">
        <v>5</v>
      </c>
      <c r="C1113" s="9">
        <v>49.1</v>
      </c>
      <c r="D1113" s="9">
        <v>51.6</v>
      </c>
      <c r="E1113" s="10">
        <v>52</v>
      </c>
      <c r="F1113" s="9">
        <f t="shared" si="67"/>
        <v>15.629015411624122</v>
      </c>
      <c r="G1113" s="9">
        <f t="shared" si="68"/>
        <v>16.4247901270836</v>
      </c>
      <c r="H1113" s="10">
        <f t="shared" si="69"/>
        <v>16.552114081557114</v>
      </c>
      <c r="K1113" s="11">
        <f>_xlfn.XLOOKUP(F1113,Ref!$B$3:$B$12,Ref!$C$3:$C$12,"",1)</f>
        <v>1</v>
      </c>
      <c r="L1113" s="11">
        <f>_xlfn.XLOOKUP(G1113,Ref!$B$3:$B$12,Ref!$C$3:$C$12,"",1)</f>
        <v>1</v>
      </c>
      <c r="M1113" s="11">
        <f>_xlfn.XLOOKUP(H1113,Ref!$B$3:$B$12,Ref!$C$3:$C$12,"",1)</f>
        <v>1</v>
      </c>
    </row>
    <row r="1114" spans="2:13" x14ac:dyDescent="0.25">
      <c r="B1114" s="15" t="s">
        <v>26</v>
      </c>
      <c r="C1114" s="9">
        <v>157</v>
      </c>
      <c r="D1114" s="9">
        <v>158.5</v>
      </c>
      <c r="E1114" s="10">
        <v>166</v>
      </c>
      <c r="F1114" s="9">
        <f t="shared" si="67"/>
        <v>49.974652130855141</v>
      </c>
      <c r="G1114" s="9">
        <f t="shared" si="68"/>
        <v>50.452116960130823</v>
      </c>
      <c r="H1114" s="10">
        <f t="shared" si="69"/>
        <v>52.839441106509256</v>
      </c>
      <c r="K1114" s="11">
        <f>_xlfn.XLOOKUP(F1114,Ref!$B$3:$B$12,Ref!$C$3:$C$12,"",1)</f>
        <v>4</v>
      </c>
      <c r="L1114" s="11">
        <f>_xlfn.XLOOKUP(G1114,Ref!$B$3:$B$12,Ref!$C$3:$C$12,"",1)</f>
        <v>5</v>
      </c>
      <c r="M1114" s="11">
        <f>_xlfn.XLOOKUP(H1114,Ref!$B$3:$B$12,Ref!$C$3:$C$12,"",1)</f>
        <v>5</v>
      </c>
    </row>
    <row r="1115" spans="2:13" x14ac:dyDescent="0.25">
      <c r="B1115" s="15" t="s">
        <v>22</v>
      </c>
      <c r="C1115" s="9">
        <v>38.200000000000003</v>
      </c>
      <c r="D1115" s="9">
        <v>39.9</v>
      </c>
      <c r="E1115" s="10">
        <v>41.4</v>
      </c>
      <c r="F1115" s="9">
        <f t="shared" si="67"/>
        <v>12.159437652220806</v>
      </c>
      <c r="G1115" s="9">
        <f t="shared" si="68"/>
        <v>12.700564458733249</v>
      </c>
      <c r="H1115" s="10">
        <f t="shared" si="69"/>
        <v>13.178029288008934</v>
      </c>
      <c r="K1115" s="11">
        <f>_xlfn.XLOOKUP(F1115,Ref!$B$3:$B$12,Ref!$C$3:$C$12,"",1)</f>
        <v>1</v>
      </c>
      <c r="L1115" s="11">
        <f>_xlfn.XLOOKUP(G1115,Ref!$B$3:$B$12,Ref!$C$3:$C$12,"",1)</f>
        <v>1</v>
      </c>
      <c r="M1115" s="11">
        <f>_xlfn.XLOOKUP(H1115,Ref!$B$3:$B$12,Ref!$C$3:$C$12,"",1)</f>
        <v>1</v>
      </c>
    </row>
    <row r="1116" spans="2:13" x14ac:dyDescent="0.25">
      <c r="B1116" s="15" t="s">
        <v>25</v>
      </c>
      <c r="C1116" s="9">
        <v>49.9</v>
      </c>
      <c r="D1116" s="9">
        <v>56</v>
      </c>
      <c r="E1116" s="10">
        <v>52.6</v>
      </c>
      <c r="F1116" s="9">
        <f t="shared" si="67"/>
        <v>15.883663320571154</v>
      </c>
      <c r="G1116" s="9">
        <f t="shared" si="68"/>
        <v>17.82535362629228</v>
      </c>
      <c r="H1116" s="10">
        <f t="shared" si="69"/>
        <v>16.743100013267391</v>
      </c>
      <c r="K1116" s="11">
        <f>_xlfn.XLOOKUP(F1116,Ref!$B$3:$B$12,Ref!$C$3:$C$12,"",1)</f>
        <v>1</v>
      </c>
      <c r="L1116" s="11">
        <f>_xlfn.XLOOKUP(G1116,Ref!$B$3:$B$12,Ref!$C$3:$C$12,"",1)</f>
        <v>1</v>
      </c>
      <c r="M1116" s="11">
        <f>_xlfn.XLOOKUP(H1116,Ref!$B$3:$B$12,Ref!$C$3:$C$12,"",1)</f>
        <v>1</v>
      </c>
    </row>
    <row r="1117" spans="2:13" x14ac:dyDescent="0.25">
      <c r="B1117" s="15" t="s">
        <v>25</v>
      </c>
      <c r="C1117" s="9">
        <v>49.8</v>
      </c>
      <c r="D1117" s="9">
        <v>50.2</v>
      </c>
      <c r="E1117" s="10">
        <v>52.5</v>
      </c>
      <c r="F1117" s="9">
        <f t="shared" si="67"/>
        <v>15.851832331952775</v>
      </c>
      <c r="G1117" s="9">
        <f t="shared" si="68"/>
        <v>15.979156286426294</v>
      </c>
      <c r="H1117" s="10">
        <f t="shared" si="69"/>
        <v>16.71126902464901</v>
      </c>
      <c r="K1117" s="11">
        <f>_xlfn.XLOOKUP(F1117,Ref!$B$3:$B$12,Ref!$C$3:$C$12,"",1)</f>
        <v>1</v>
      </c>
      <c r="L1117" s="11">
        <f>_xlfn.XLOOKUP(G1117,Ref!$B$3:$B$12,Ref!$C$3:$C$12,"",1)</f>
        <v>1</v>
      </c>
      <c r="M1117" s="11">
        <f>_xlfn.XLOOKUP(H1117,Ref!$B$3:$B$12,Ref!$C$3:$C$12,"",1)</f>
        <v>1</v>
      </c>
    </row>
    <row r="1118" spans="2:13" x14ac:dyDescent="0.25">
      <c r="B1118" s="15" t="s">
        <v>25</v>
      </c>
      <c r="C1118" s="9">
        <v>34.200000000000003</v>
      </c>
      <c r="D1118" s="9">
        <v>34</v>
      </c>
      <c r="E1118" s="10">
        <v>34.799999999999997</v>
      </c>
      <c r="F1118" s="9">
        <f t="shared" si="67"/>
        <v>10.886198107485642</v>
      </c>
      <c r="G1118" s="9">
        <f t="shared" si="68"/>
        <v>10.822536130248883</v>
      </c>
      <c r="H1118" s="10">
        <f t="shared" si="69"/>
        <v>11.077184039195915</v>
      </c>
      <c r="K1118" s="11">
        <f>_xlfn.XLOOKUP(F1118,Ref!$B$3:$B$12,Ref!$C$3:$C$12,"",1)</f>
        <v>1</v>
      </c>
      <c r="L1118" s="11">
        <f>_xlfn.XLOOKUP(G1118,Ref!$B$3:$B$12,Ref!$C$3:$C$12,"",1)</f>
        <v>1</v>
      </c>
      <c r="M1118" s="11">
        <f>_xlfn.XLOOKUP(H1118,Ref!$B$3:$B$12,Ref!$C$3:$C$12,"",1)</f>
        <v>1</v>
      </c>
    </row>
    <row r="1119" spans="2:13" x14ac:dyDescent="0.25">
      <c r="B1119" s="15" t="s">
        <v>12</v>
      </c>
      <c r="C1119" s="9">
        <v>32.5</v>
      </c>
      <c r="D1119" s="9">
        <v>32.5</v>
      </c>
      <c r="E1119" s="10">
        <v>0</v>
      </c>
      <c r="F1119" s="9">
        <f t="shared" si="67"/>
        <v>10.345071300973197</v>
      </c>
      <c r="G1119" s="9">
        <f t="shared" si="68"/>
        <v>10.345071300973197</v>
      </c>
      <c r="H1119" s="10">
        <f t="shared" si="69"/>
        <v>0</v>
      </c>
      <c r="K1119" s="11">
        <f>_xlfn.XLOOKUP(F1119,Ref!$B$3:$B$12,Ref!$C$3:$C$12,"",1)</f>
        <v>1</v>
      </c>
      <c r="L1119" s="11">
        <f>_xlfn.XLOOKUP(G1119,Ref!$B$3:$B$12,Ref!$C$3:$C$12,"",1)</f>
        <v>1</v>
      </c>
      <c r="M1119" s="11" t="str">
        <f>_xlfn.XLOOKUP(H1119,Ref!$B$3:$B$12,Ref!$C$3:$C$12,"",1)</f>
        <v>Morta</v>
      </c>
    </row>
    <row r="1120" spans="2:13" x14ac:dyDescent="0.25">
      <c r="B1120" s="15" t="s">
        <v>12</v>
      </c>
      <c r="C1120" s="9">
        <v>35.9</v>
      </c>
      <c r="D1120" s="9">
        <v>36.299999999999997</v>
      </c>
      <c r="E1120" s="10">
        <v>0</v>
      </c>
      <c r="F1120" s="9">
        <f t="shared" si="67"/>
        <v>11.427324913998085</v>
      </c>
      <c r="G1120" s="9">
        <f t="shared" si="68"/>
        <v>11.554648868471601</v>
      </c>
      <c r="H1120" s="10">
        <f t="shared" si="69"/>
        <v>0</v>
      </c>
      <c r="K1120" s="11">
        <f>_xlfn.XLOOKUP(F1120,Ref!$B$3:$B$12,Ref!$C$3:$C$12,"",1)</f>
        <v>1</v>
      </c>
      <c r="L1120" s="11">
        <f>_xlfn.XLOOKUP(G1120,Ref!$B$3:$B$12,Ref!$C$3:$C$12,"",1)</f>
        <v>1</v>
      </c>
      <c r="M1120" s="11" t="str">
        <f>_xlfn.XLOOKUP(H1120,Ref!$B$3:$B$12,Ref!$C$3:$C$12,"",1)</f>
        <v>Morta</v>
      </c>
    </row>
    <row r="1121" spans="2:13" x14ac:dyDescent="0.25">
      <c r="B1121" s="15" t="s">
        <v>46</v>
      </c>
      <c r="C1121" s="9">
        <v>56</v>
      </c>
      <c r="D1121" s="9">
        <v>58.5</v>
      </c>
      <c r="E1121" s="10">
        <v>60.6</v>
      </c>
      <c r="F1121" s="9">
        <f t="shared" si="67"/>
        <v>17.82535362629228</v>
      </c>
      <c r="G1121" s="9">
        <f t="shared" si="68"/>
        <v>18.621128341751756</v>
      </c>
      <c r="H1121" s="10">
        <f t="shared" si="69"/>
        <v>19.289579102737715</v>
      </c>
      <c r="K1121" s="11">
        <f>_xlfn.XLOOKUP(F1121,Ref!$B$3:$B$12,Ref!$C$3:$C$12,"",1)</f>
        <v>1</v>
      </c>
      <c r="L1121" s="11">
        <f>_xlfn.XLOOKUP(G1121,Ref!$B$3:$B$12,Ref!$C$3:$C$12,"",1)</f>
        <v>1</v>
      </c>
      <c r="M1121" s="11">
        <f>_xlfn.XLOOKUP(H1121,Ref!$B$3:$B$12,Ref!$C$3:$C$12,"",1)</f>
        <v>1</v>
      </c>
    </row>
    <row r="1122" spans="2:13" x14ac:dyDescent="0.25">
      <c r="B1122" s="15" t="s">
        <v>25</v>
      </c>
      <c r="C1122" s="9">
        <v>50.5</v>
      </c>
      <c r="D1122" s="9">
        <v>52.7</v>
      </c>
      <c r="E1122" s="10">
        <v>54.6</v>
      </c>
      <c r="F1122" s="9">
        <f t="shared" si="67"/>
        <v>16.074649252281429</v>
      </c>
      <c r="G1122" s="9">
        <f t="shared" si="68"/>
        <v>16.774931001885768</v>
      </c>
      <c r="H1122" s="10">
        <f t="shared" si="69"/>
        <v>17.379719785634972</v>
      </c>
      <c r="K1122" s="11">
        <f>_xlfn.XLOOKUP(F1122,Ref!$B$3:$B$12,Ref!$C$3:$C$12,"",1)</f>
        <v>1</v>
      </c>
      <c r="L1122" s="11">
        <f>_xlfn.XLOOKUP(G1122,Ref!$B$3:$B$12,Ref!$C$3:$C$12,"",1)</f>
        <v>1</v>
      </c>
      <c r="M1122" s="11">
        <f>_xlfn.XLOOKUP(H1122,Ref!$B$3:$B$12,Ref!$C$3:$C$12,"",1)</f>
        <v>1</v>
      </c>
    </row>
    <row r="1123" spans="2:13" x14ac:dyDescent="0.25">
      <c r="B1123" s="15" t="s">
        <v>6</v>
      </c>
      <c r="C1123" s="9">
        <v>33.700000000000003</v>
      </c>
      <c r="D1123" s="9">
        <v>35.700000000000003</v>
      </c>
      <c r="E1123" s="10">
        <v>37.5</v>
      </c>
      <c r="F1123" s="9">
        <f t="shared" si="67"/>
        <v>10.727043164393747</v>
      </c>
      <c r="G1123" s="9">
        <f t="shared" si="68"/>
        <v>11.363662936761328</v>
      </c>
      <c r="H1123" s="10">
        <f t="shared" si="69"/>
        <v>11.93662073189215</v>
      </c>
      <c r="K1123" s="11">
        <f>_xlfn.XLOOKUP(F1123,Ref!$B$3:$B$12,Ref!$C$3:$C$12,"",1)</f>
        <v>1</v>
      </c>
      <c r="L1123" s="11">
        <f>_xlfn.XLOOKUP(G1123,Ref!$B$3:$B$12,Ref!$C$3:$C$12,"",1)</f>
        <v>1</v>
      </c>
      <c r="M1123" s="11">
        <f>_xlfn.XLOOKUP(H1123,Ref!$B$3:$B$12,Ref!$C$3:$C$12,"",1)</f>
        <v>1</v>
      </c>
    </row>
    <row r="1124" spans="2:13" x14ac:dyDescent="0.25">
      <c r="B1124" s="15" t="s">
        <v>44</v>
      </c>
      <c r="C1124" s="9">
        <v>32.799999999999997</v>
      </c>
      <c r="D1124" s="9">
        <v>34</v>
      </c>
      <c r="E1124" s="10">
        <v>34.4</v>
      </c>
      <c r="F1124" s="9">
        <f t="shared" si="67"/>
        <v>10.440564266828334</v>
      </c>
      <c r="G1124" s="9">
        <f t="shared" si="68"/>
        <v>10.822536130248883</v>
      </c>
      <c r="H1124" s="10">
        <f t="shared" si="69"/>
        <v>10.949860084722399</v>
      </c>
      <c r="K1124" s="11">
        <f>_xlfn.XLOOKUP(F1124,Ref!$B$3:$B$12,Ref!$C$3:$C$12,"",1)</f>
        <v>1</v>
      </c>
      <c r="L1124" s="11">
        <f>_xlfn.XLOOKUP(G1124,Ref!$B$3:$B$12,Ref!$C$3:$C$12,"",1)</f>
        <v>1</v>
      </c>
      <c r="M1124" s="11">
        <f>_xlfn.XLOOKUP(H1124,Ref!$B$3:$B$12,Ref!$C$3:$C$12,"",1)</f>
        <v>1</v>
      </c>
    </row>
    <row r="1125" spans="2:13" x14ac:dyDescent="0.25">
      <c r="B1125" s="15" t="s">
        <v>56</v>
      </c>
      <c r="C1125" s="9">
        <v>34.5</v>
      </c>
      <c r="D1125" s="9">
        <v>36</v>
      </c>
      <c r="E1125" s="10">
        <v>36.799999999999997</v>
      </c>
      <c r="F1125" s="9">
        <f t="shared" si="67"/>
        <v>10.981691073340778</v>
      </c>
      <c r="G1125" s="9">
        <f t="shared" si="68"/>
        <v>11.459155902616464</v>
      </c>
      <c r="H1125" s="10">
        <f t="shared" si="69"/>
        <v>11.713803811563496</v>
      </c>
      <c r="K1125" s="11">
        <f>_xlfn.XLOOKUP(F1125,Ref!$B$3:$B$12,Ref!$C$3:$C$12,"",1)</f>
        <v>1</v>
      </c>
      <c r="L1125" s="11">
        <f>_xlfn.XLOOKUP(G1125,Ref!$B$3:$B$12,Ref!$C$3:$C$12,"",1)</f>
        <v>1</v>
      </c>
      <c r="M1125" s="11">
        <f>_xlfn.XLOOKUP(H1125,Ref!$B$3:$B$12,Ref!$C$3:$C$12,"",1)</f>
        <v>1</v>
      </c>
    </row>
    <row r="1126" spans="2:13" x14ac:dyDescent="0.25">
      <c r="B1126" s="15" t="s">
        <v>65</v>
      </c>
      <c r="C1126" s="9">
        <v>215.2</v>
      </c>
      <c r="D1126" s="9">
        <v>218.5</v>
      </c>
      <c r="E1126" s="10">
        <v>220</v>
      </c>
      <c r="F1126" s="9">
        <f t="shared" si="67"/>
        <v>68.500287506751746</v>
      </c>
      <c r="G1126" s="9">
        <f t="shared" si="68"/>
        <v>69.550710131158269</v>
      </c>
      <c r="H1126" s="10">
        <f t="shared" si="69"/>
        <v>70.028174960433944</v>
      </c>
      <c r="K1126" s="11">
        <f>_xlfn.XLOOKUP(F1126,Ref!$B$3:$B$12,Ref!$C$3:$C$12,"",1)</f>
        <v>6</v>
      </c>
      <c r="L1126" s="11">
        <f>_xlfn.XLOOKUP(G1126,Ref!$B$3:$B$12,Ref!$C$3:$C$12,"",1)</f>
        <v>6</v>
      </c>
      <c r="M1126" s="11">
        <f>_xlfn.XLOOKUP(H1126,Ref!$B$3:$B$12,Ref!$C$3:$C$12,"",1)</f>
        <v>7</v>
      </c>
    </row>
    <row r="1127" spans="2:13" x14ac:dyDescent="0.25">
      <c r="B1127" s="15" t="s">
        <v>41</v>
      </c>
      <c r="C1127" s="9">
        <v>66.7</v>
      </c>
      <c r="D1127" s="9">
        <v>73.900000000000006</v>
      </c>
      <c r="E1127" s="10">
        <v>81</v>
      </c>
      <c r="F1127" s="9">
        <f t="shared" si="67"/>
        <v>21.231269408458839</v>
      </c>
      <c r="G1127" s="9">
        <f t="shared" si="68"/>
        <v>23.523100588982132</v>
      </c>
      <c r="H1127" s="10">
        <f t="shared" si="69"/>
        <v>25.783100780887047</v>
      </c>
      <c r="K1127" s="11">
        <f>_xlfn.XLOOKUP(F1127,Ref!$B$3:$B$12,Ref!$C$3:$C$12,"",1)</f>
        <v>2</v>
      </c>
      <c r="L1127" s="11">
        <f>_xlfn.XLOOKUP(G1127,Ref!$B$3:$B$12,Ref!$C$3:$C$12,"",1)</f>
        <v>2</v>
      </c>
      <c r="M1127" s="11">
        <f>_xlfn.XLOOKUP(H1127,Ref!$B$3:$B$12,Ref!$C$3:$C$12,"",1)</f>
        <v>2</v>
      </c>
    </row>
    <row r="1128" spans="2:13" x14ac:dyDescent="0.25">
      <c r="B1128" s="15" t="s">
        <v>8</v>
      </c>
      <c r="C1128" s="9">
        <v>38.5</v>
      </c>
      <c r="D1128" s="9">
        <v>39.299999999999997</v>
      </c>
      <c r="E1128" s="10">
        <v>40.5</v>
      </c>
      <c r="F1128" s="9">
        <f t="shared" si="67"/>
        <v>12.254930618075941</v>
      </c>
      <c r="G1128" s="9">
        <f t="shared" si="68"/>
        <v>12.509578527022972</v>
      </c>
      <c r="H1128" s="10">
        <f t="shared" si="69"/>
        <v>12.891550390443523</v>
      </c>
      <c r="K1128" s="11">
        <f>_xlfn.XLOOKUP(F1128,Ref!$B$3:$B$12,Ref!$C$3:$C$12,"",1)</f>
        <v>1</v>
      </c>
      <c r="L1128" s="11">
        <f>_xlfn.XLOOKUP(G1128,Ref!$B$3:$B$12,Ref!$C$3:$C$12,"",1)</f>
        <v>1</v>
      </c>
      <c r="M1128" s="11">
        <f>_xlfn.XLOOKUP(H1128,Ref!$B$3:$B$12,Ref!$C$3:$C$12,"",1)</f>
        <v>1</v>
      </c>
    </row>
    <row r="1129" spans="2:13" x14ac:dyDescent="0.25">
      <c r="B1129" s="15" t="s">
        <v>14</v>
      </c>
      <c r="C1129" s="9">
        <v>62.3</v>
      </c>
      <c r="D1129" s="9">
        <v>69.599999999999994</v>
      </c>
      <c r="E1129" s="10">
        <v>77.5</v>
      </c>
      <c r="F1129" s="9">
        <f t="shared" si="67"/>
        <v>19.83070590925016</v>
      </c>
      <c r="G1129" s="9">
        <f t="shared" si="68"/>
        <v>22.15436807839183</v>
      </c>
      <c r="H1129" s="10">
        <f t="shared" si="69"/>
        <v>24.669016179243776</v>
      </c>
      <c r="K1129" s="11">
        <f>_xlfn.XLOOKUP(F1129,Ref!$B$3:$B$12,Ref!$C$3:$C$12,"",1)</f>
        <v>1</v>
      </c>
      <c r="L1129" s="11">
        <f>_xlfn.XLOOKUP(G1129,Ref!$B$3:$B$12,Ref!$C$3:$C$12,"",1)</f>
        <v>2</v>
      </c>
      <c r="M1129" s="11">
        <f>_xlfn.XLOOKUP(H1129,Ref!$B$3:$B$12,Ref!$C$3:$C$12,"",1)</f>
        <v>2</v>
      </c>
    </row>
    <row r="1130" spans="2:13" x14ac:dyDescent="0.25">
      <c r="B1130" s="15" t="s">
        <v>22</v>
      </c>
      <c r="C1130" s="9">
        <v>38.4</v>
      </c>
      <c r="D1130" s="9">
        <v>38.799999999999997</v>
      </c>
      <c r="E1130" s="10">
        <v>39.200000000000003</v>
      </c>
      <c r="F1130" s="9">
        <f t="shared" si="67"/>
        <v>12.223099629457561</v>
      </c>
      <c r="G1130" s="9">
        <f t="shared" si="68"/>
        <v>12.350423583931077</v>
      </c>
      <c r="H1130" s="10">
        <f t="shared" si="69"/>
        <v>12.477747538404596</v>
      </c>
      <c r="K1130" s="11">
        <f>_xlfn.XLOOKUP(F1130,Ref!$B$3:$B$12,Ref!$C$3:$C$12,"",1)</f>
        <v>1</v>
      </c>
      <c r="L1130" s="11">
        <f>_xlfn.XLOOKUP(G1130,Ref!$B$3:$B$12,Ref!$C$3:$C$12,"",1)</f>
        <v>1</v>
      </c>
      <c r="M1130" s="11">
        <f>_xlfn.XLOOKUP(H1130,Ref!$B$3:$B$12,Ref!$C$3:$C$12,"",1)</f>
        <v>1</v>
      </c>
    </row>
    <row r="1131" spans="2:13" x14ac:dyDescent="0.25">
      <c r="B1131" s="15" t="s">
        <v>27</v>
      </c>
      <c r="C1131" s="9">
        <v>49</v>
      </c>
      <c r="D1131" s="9">
        <v>51.4</v>
      </c>
      <c r="E1131" s="10">
        <v>53.5</v>
      </c>
      <c r="F1131" s="9">
        <f t="shared" si="67"/>
        <v>15.597184423005743</v>
      </c>
      <c r="G1131" s="9">
        <f t="shared" si="68"/>
        <v>16.361128149846841</v>
      </c>
      <c r="H1131" s="10">
        <f t="shared" si="69"/>
        <v>17.0295789108328</v>
      </c>
      <c r="K1131" s="11">
        <f>_xlfn.XLOOKUP(F1131,Ref!$B$3:$B$12,Ref!$C$3:$C$12,"",1)</f>
        <v>1</v>
      </c>
      <c r="L1131" s="11">
        <f>_xlfn.XLOOKUP(G1131,Ref!$B$3:$B$12,Ref!$C$3:$C$12,"",1)</f>
        <v>1</v>
      </c>
      <c r="M1131" s="11">
        <f>_xlfn.XLOOKUP(H1131,Ref!$B$3:$B$12,Ref!$C$3:$C$12,"",1)</f>
        <v>1</v>
      </c>
    </row>
    <row r="1132" spans="2:13" x14ac:dyDescent="0.25">
      <c r="B1132" s="15" t="s">
        <v>7</v>
      </c>
      <c r="C1132" s="9">
        <v>42.3</v>
      </c>
      <c r="D1132" s="9">
        <v>44.5</v>
      </c>
      <c r="E1132" s="10">
        <v>46.5</v>
      </c>
      <c r="F1132" s="9">
        <f t="shared" si="67"/>
        <v>13.464508185574346</v>
      </c>
      <c r="G1132" s="9">
        <f t="shared" si="68"/>
        <v>14.164789935178685</v>
      </c>
      <c r="H1132" s="10">
        <f t="shared" si="69"/>
        <v>14.801409707546267</v>
      </c>
      <c r="K1132" s="11">
        <f>_xlfn.XLOOKUP(F1132,Ref!$B$3:$B$12,Ref!$C$3:$C$12,"",1)</f>
        <v>1</v>
      </c>
      <c r="L1132" s="11">
        <f>_xlfn.XLOOKUP(G1132,Ref!$B$3:$B$12,Ref!$C$3:$C$12,"",1)</f>
        <v>1</v>
      </c>
      <c r="M1132" s="11">
        <f>_xlfn.XLOOKUP(H1132,Ref!$B$3:$B$12,Ref!$C$3:$C$12,"",1)</f>
        <v>1</v>
      </c>
    </row>
    <row r="1133" spans="2:13" x14ac:dyDescent="0.25">
      <c r="B1133" s="15" t="s">
        <v>44</v>
      </c>
      <c r="C1133" s="9">
        <v>43.9</v>
      </c>
      <c r="D1133" s="9">
        <v>45.9</v>
      </c>
      <c r="E1133" s="10">
        <v>44.8</v>
      </c>
      <c r="F1133" s="9">
        <f t="shared" si="67"/>
        <v>13.973804003468411</v>
      </c>
      <c r="G1133" s="9">
        <f t="shared" si="68"/>
        <v>14.610423775835992</v>
      </c>
      <c r="H1133" s="10">
        <f t="shared" si="69"/>
        <v>14.260282901033822</v>
      </c>
      <c r="K1133" s="11">
        <f>_xlfn.XLOOKUP(F1133,Ref!$B$3:$B$12,Ref!$C$3:$C$12,"",1)</f>
        <v>1</v>
      </c>
      <c r="L1133" s="11">
        <f>_xlfn.XLOOKUP(G1133,Ref!$B$3:$B$12,Ref!$C$3:$C$12,"",1)</f>
        <v>1</v>
      </c>
      <c r="M1133" s="11">
        <f>_xlfn.XLOOKUP(H1133,Ref!$B$3:$B$12,Ref!$C$3:$C$12,"",1)</f>
        <v>1</v>
      </c>
    </row>
    <row r="1134" spans="2:13" x14ac:dyDescent="0.25">
      <c r="B1134" s="15" t="s">
        <v>7</v>
      </c>
      <c r="C1134" s="9">
        <v>48.1</v>
      </c>
      <c r="D1134" s="9">
        <v>53.7</v>
      </c>
      <c r="E1134" s="10">
        <v>47.5</v>
      </c>
      <c r="F1134" s="9">
        <f t="shared" si="67"/>
        <v>15.310705525440332</v>
      </c>
      <c r="G1134" s="9">
        <f t="shared" si="68"/>
        <v>17.093240888069559</v>
      </c>
      <c r="H1134" s="10">
        <f t="shared" si="69"/>
        <v>15.119719593730057</v>
      </c>
      <c r="K1134" s="11">
        <f>_xlfn.XLOOKUP(F1134,Ref!$B$3:$B$12,Ref!$C$3:$C$12,"",1)</f>
        <v>1</v>
      </c>
      <c r="L1134" s="11">
        <f>_xlfn.XLOOKUP(G1134,Ref!$B$3:$B$12,Ref!$C$3:$C$12,"",1)</f>
        <v>1</v>
      </c>
      <c r="M1134" s="11">
        <f>_xlfn.XLOOKUP(H1134,Ref!$B$3:$B$12,Ref!$C$3:$C$12,"",1)</f>
        <v>1</v>
      </c>
    </row>
    <row r="1135" spans="2:13" x14ac:dyDescent="0.25">
      <c r="B1135" s="15" t="s">
        <v>48</v>
      </c>
      <c r="C1135" s="9">
        <v>43.4</v>
      </c>
      <c r="D1135" s="9">
        <v>43.8</v>
      </c>
      <c r="E1135" s="10">
        <v>45</v>
      </c>
      <c r="F1135" s="9">
        <f t="shared" si="67"/>
        <v>13.814649060376516</v>
      </c>
      <c r="G1135" s="9">
        <f t="shared" si="68"/>
        <v>13.941973014850031</v>
      </c>
      <c r="H1135" s="10">
        <f t="shared" si="69"/>
        <v>14.323944878270581</v>
      </c>
      <c r="K1135" s="11">
        <f>_xlfn.XLOOKUP(F1135,Ref!$B$3:$B$12,Ref!$C$3:$C$12,"",1)</f>
        <v>1</v>
      </c>
      <c r="L1135" s="11">
        <f>_xlfn.XLOOKUP(G1135,Ref!$B$3:$B$12,Ref!$C$3:$C$12,"",1)</f>
        <v>1</v>
      </c>
      <c r="M1135" s="11">
        <f>_xlfn.XLOOKUP(H1135,Ref!$B$3:$B$12,Ref!$C$3:$C$12,"",1)</f>
        <v>1</v>
      </c>
    </row>
    <row r="1136" spans="2:13" x14ac:dyDescent="0.25">
      <c r="B1136" s="15" t="s">
        <v>48</v>
      </c>
      <c r="C1136" s="9">
        <v>36.6</v>
      </c>
      <c r="D1136" s="9">
        <v>36.5</v>
      </c>
      <c r="E1136" s="10">
        <v>36.4</v>
      </c>
      <c r="F1136" s="9">
        <f t="shared" si="67"/>
        <v>11.650141834326739</v>
      </c>
      <c r="G1136" s="9">
        <f t="shared" si="68"/>
        <v>11.618310845708359</v>
      </c>
      <c r="H1136" s="10">
        <f t="shared" si="69"/>
        <v>11.58647985708998</v>
      </c>
      <c r="K1136" s="11">
        <f>_xlfn.XLOOKUP(F1136,Ref!$B$3:$B$12,Ref!$C$3:$C$12,"",1)</f>
        <v>1</v>
      </c>
      <c r="L1136" s="11">
        <f>_xlfn.XLOOKUP(G1136,Ref!$B$3:$B$12,Ref!$C$3:$C$12,"",1)</f>
        <v>1</v>
      </c>
      <c r="M1136" s="11">
        <f>_xlfn.XLOOKUP(H1136,Ref!$B$3:$B$12,Ref!$C$3:$C$12,"",1)</f>
        <v>1</v>
      </c>
    </row>
    <row r="1137" spans="2:13" x14ac:dyDescent="0.25">
      <c r="B1137" s="15" t="s">
        <v>56</v>
      </c>
      <c r="C1137" s="9">
        <v>33.9</v>
      </c>
      <c r="D1137" s="9">
        <v>34.799999999999997</v>
      </c>
      <c r="E1137" s="10">
        <v>35.9</v>
      </c>
      <c r="F1137" s="9">
        <f t="shared" si="67"/>
        <v>10.790705141630504</v>
      </c>
      <c r="G1137" s="9">
        <f t="shared" si="68"/>
        <v>11.077184039195915</v>
      </c>
      <c r="H1137" s="10">
        <f t="shared" si="69"/>
        <v>11.427324913998085</v>
      </c>
      <c r="K1137" s="11">
        <f>_xlfn.XLOOKUP(F1137,Ref!$B$3:$B$12,Ref!$C$3:$C$12,"",1)</f>
        <v>1</v>
      </c>
      <c r="L1137" s="11">
        <f>_xlfn.XLOOKUP(G1137,Ref!$B$3:$B$12,Ref!$C$3:$C$12,"",1)</f>
        <v>1</v>
      </c>
      <c r="M1137" s="11">
        <f>_xlfn.XLOOKUP(H1137,Ref!$B$3:$B$12,Ref!$C$3:$C$12,"",1)</f>
        <v>1</v>
      </c>
    </row>
    <row r="1138" spans="2:13" x14ac:dyDescent="0.25">
      <c r="B1138" s="15" t="s">
        <v>6</v>
      </c>
      <c r="C1138" s="9">
        <v>31.7</v>
      </c>
      <c r="D1138" s="9">
        <v>32.4</v>
      </c>
      <c r="E1138" s="10">
        <v>32.5</v>
      </c>
      <c r="F1138" s="9">
        <f t="shared" si="67"/>
        <v>10.090423392026164</v>
      </c>
      <c r="G1138" s="9">
        <f t="shared" si="68"/>
        <v>10.313240312354818</v>
      </c>
      <c r="H1138" s="10">
        <f t="shared" si="69"/>
        <v>10.345071300973197</v>
      </c>
      <c r="K1138" s="11">
        <f>_xlfn.XLOOKUP(F1138,Ref!$B$3:$B$12,Ref!$C$3:$C$12,"",1)</f>
        <v>1</v>
      </c>
      <c r="L1138" s="11">
        <f>_xlfn.XLOOKUP(G1138,Ref!$B$3:$B$12,Ref!$C$3:$C$12,"",1)</f>
        <v>1</v>
      </c>
      <c r="M1138" s="11">
        <f>_xlfn.XLOOKUP(H1138,Ref!$B$3:$B$12,Ref!$C$3:$C$12,"",1)</f>
        <v>1</v>
      </c>
    </row>
    <row r="1139" spans="2:13" x14ac:dyDescent="0.25">
      <c r="B1139" s="15" t="s">
        <v>6</v>
      </c>
      <c r="C1139" s="9">
        <v>32.5</v>
      </c>
      <c r="D1139" s="9">
        <v>33.5</v>
      </c>
      <c r="E1139" s="10">
        <v>33.5</v>
      </c>
      <c r="F1139" s="9">
        <f t="shared" si="67"/>
        <v>10.345071300973197</v>
      </c>
      <c r="G1139" s="9">
        <f t="shared" si="68"/>
        <v>10.663381187156988</v>
      </c>
      <c r="H1139" s="10">
        <f t="shared" si="69"/>
        <v>10.663381187156988</v>
      </c>
      <c r="K1139" s="11">
        <f>_xlfn.XLOOKUP(F1139,Ref!$B$3:$B$12,Ref!$C$3:$C$12,"",1)</f>
        <v>1</v>
      </c>
      <c r="L1139" s="11">
        <f>_xlfn.XLOOKUP(G1139,Ref!$B$3:$B$12,Ref!$C$3:$C$12,"",1)</f>
        <v>1</v>
      </c>
      <c r="M1139" s="11">
        <f>_xlfn.XLOOKUP(H1139,Ref!$B$3:$B$12,Ref!$C$3:$C$12,"",1)</f>
        <v>1</v>
      </c>
    </row>
    <row r="1140" spans="2:13" x14ac:dyDescent="0.25">
      <c r="B1140" s="15" t="s">
        <v>14</v>
      </c>
      <c r="C1140" s="9">
        <v>37.1</v>
      </c>
      <c r="D1140" s="9">
        <v>44</v>
      </c>
      <c r="E1140" s="10">
        <v>49.8</v>
      </c>
      <c r="F1140" s="9">
        <f t="shared" si="67"/>
        <v>11.809296777418634</v>
      </c>
      <c r="G1140" s="9">
        <f t="shared" si="68"/>
        <v>14.00563499208679</v>
      </c>
      <c r="H1140" s="10">
        <f t="shared" si="69"/>
        <v>15.851832331952775</v>
      </c>
      <c r="K1140" s="11">
        <f>_xlfn.XLOOKUP(F1140,Ref!$B$3:$B$12,Ref!$C$3:$C$12,"",1)</f>
        <v>1</v>
      </c>
      <c r="L1140" s="11">
        <f>_xlfn.XLOOKUP(G1140,Ref!$B$3:$B$12,Ref!$C$3:$C$12,"",1)</f>
        <v>1</v>
      </c>
      <c r="M1140" s="11">
        <f>_xlfn.XLOOKUP(H1140,Ref!$B$3:$B$12,Ref!$C$3:$C$12,"",1)</f>
        <v>1</v>
      </c>
    </row>
    <row r="1141" spans="2:13" x14ac:dyDescent="0.25">
      <c r="B1141" s="15" t="s">
        <v>8</v>
      </c>
      <c r="C1141" s="9">
        <v>32.4</v>
      </c>
      <c r="D1141" s="9">
        <v>32</v>
      </c>
      <c r="E1141" s="10">
        <v>33</v>
      </c>
      <c r="F1141" s="9">
        <f t="shared" si="67"/>
        <v>10.313240312354818</v>
      </c>
      <c r="G1141" s="9">
        <f t="shared" si="68"/>
        <v>10.185916357881302</v>
      </c>
      <c r="H1141" s="10">
        <f t="shared" si="69"/>
        <v>10.504226244065093</v>
      </c>
      <c r="K1141" s="11">
        <f>_xlfn.XLOOKUP(F1141,Ref!$B$3:$B$12,Ref!$C$3:$C$12,"",1)</f>
        <v>1</v>
      </c>
      <c r="L1141" s="11">
        <f>_xlfn.XLOOKUP(G1141,Ref!$B$3:$B$12,Ref!$C$3:$C$12,"",1)</f>
        <v>1</v>
      </c>
      <c r="M1141" s="11">
        <f>_xlfn.XLOOKUP(H1141,Ref!$B$3:$B$12,Ref!$C$3:$C$12,"",1)</f>
        <v>1</v>
      </c>
    </row>
    <row r="1142" spans="2:13" x14ac:dyDescent="0.25">
      <c r="B1142" s="15" t="s">
        <v>57</v>
      </c>
      <c r="C1142" s="9">
        <v>47.4</v>
      </c>
      <c r="D1142" s="9">
        <v>56.8</v>
      </c>
      <c r="E1142" s="10">
        <v>59.6</v>
      </c>
      <c r="F1142" s="9">
        <f t="shared" si="67"/>
        <v>15.087888605111678</v>
      </c>
      <c r="G1142" s="9">
        <f t="shared" si="68"/>
        <v>18.080001535239308</v>
      </c>
      <c r="H1142" s="10">
        <f t="shared" si="69"/>
        <v>18.971269216553925</v>
      </c>
      <c r="K1142" s="11">
        <f>_xlfn.XLOOKUP(F1142,Ref!$B$3:$B$12,Ref!$C$3:$C$12,"",1)</f>
        <v>1</v>
      </c>
      <c r="L1142" s="11">
        <f>_xlfn.XLOOKUP(G1142,Ref!$B$3:$B$12,Ref!$C$3:$C$12,"",1)</f>
        <v>1</v>
      </c>
      <c r="M1142" s="11">
        <f>_xlfn.XLOOKUP(H1142,Ref!$B$3:$B$12,Ref!$C$3:$C$12,"",1)</f>
        <v>1</v>
      </c>
    </row>
    <row r="1143" spans="2:13" x14ac:dyDescent="0.25">
      <c r="B1143" s="15" t="s">
        <v>8</v>
      </c>
      <c r="C1143" s="9">
        <v>36.5</v>
      </c>
      <c r="D1143" s="9">
        <v>39.200000000000003</v>
      </c>
      <c r="E1143" s="10">
        <v>42.5</v>
      </c>
      <c r="F1143" s="9">
        <f t="shared" si="67"/>
        <v>11.618310845708359</v>
      </c>
      <c r="G1143" s="9">
        <f t="shared" si="68"/>
        <v>12.477747538404596</v>
      </c>
      <c r="H1143" s="10">
        <f t="shared" si="69"/>
        <v>13.528170162811104</v>
      </c>
      <c r="K1143" s="11">
        <f>_xlfn.XLOOKUP(F1143,Ref!$B$3:$B$12,Ref!$C$3:$C$12,"",1)</f>
        <v>1</v>
      </c>
      <c r="L1143" s="11">
        <f>_xlfn.XLOOKUP(G1143,Ref!$B$3:$B$12,Ref!$C$3:$C$12,"",1)</f>
        <v>1</v>
      </c>
      <c r="M1143" s="11">
        <f>_xlfn.XLOOKUP(H1143,Ref!$B$3:$B$12,Ref!$C$3:$C$12,"",1)</f>
        <v>1</v>
      </c>
    </row>
    <row r="1144" spans="2:13" x14ac:dyDescent="0.25">
      <c r="B1144" s="15" t="s">
        <v>8</v>
      </c>
      <c r="C1144" s="9">
        <v>60.1</v>
      </c>
      <c r="D1144" s="9">
        <v>68</v>
      </c>
      <c r="E1144" s="10">
        <v>75.099999999999994</v>
      </c>
      <c r="F1144" s="9">
        <f t="shared" si="67"/>
        <v>19.13042415964582</v>
      </c>
      <c r="G1144" s="9">
        <f t="shared" si="68"/>
        <v>21.645072260497766</v>
      </c>
      <c r="H1144" s="10">
        <f t="shared" si="69"/>
        <v>23.905072452402678</v>
      </c>
      <c r="K1144" s="11">
        <f>_xlfn.XLOOKUP(F1144,Ref!$B$3:$B$12,Ref!$C$3:$C$12,"",1)</f>
        <v>1</v>
      </c>
      <c r="L1144" s="11">
        <f>_xlfn.XLOOKUP(G1144,Ref!$B$3:$B$12,Ref!$C$3:$C$12,"",1)</f>
        <v>2</v>
      </c>
      <c r="M1144" s="11">
        <f>_xlfn.XLOOKUP(H1144,Ref!$B$3:$B$12,Ref!$C$3:$C$12,"",1)</f>
        <v>2</v>
      </c>
    </row>
    <row r="1145" spans="2:13" x14ac:dyDescent="0.25">
      <c r="B1145" s="15" t="s">
        <v>6</v>
      </c>
      <c r="C1145" s="9"/>
      <c r="D1145" s="9">
        <v>31.5</v>
      </c>
      <c r="E1145" s="10">
        <v>32.4</v>
      </c>
      <c r="F1145" s="9" t="str">
        <f t="shared" si="67"/>
        <v/>
      </c>
      <c r="G1145" s="9">
        <f t="shared" si="68"/>
        <v>10.026761414789407</v>
      </c>
      <c r="H1145" s="10">
        <f t="shared" si="69"/>
        <v>10.313240312354818</v>
      </c>
      <c r="K1145" s="11" t="str">
        <f>_xlfn.XLOOKUP(F1145,Ref!$B$3:$B$12,Ref!$C$3:$C$12,"",1)</f>
        <v/>
      </c>
      <c r="L1145" s="11">
        <f>_xlfn.XLOOKUP(G1145,Ref!$B$3:$B$12,Ref!$C$3:$C$12,"",1)</f>
        <v>1</v>
      </c>
      <c r="M1145" s="11">
        <f>_xlfn.XLOOKUP(H1145,Ref!$B$3:$B$12,Ref!$C$3:$C$12,"",1)</f>
        <v>1</v>
      </c>
    </row>
    <row r="1146" spans="2:13" x14ac:dyDescent="0.25">
      <c r="B1146" s="15" t="s">
        <v>27</v>
      </c>
      <c r="C1146" s="9"/>
      <c r="D1146" s="9"/>
      <c r="E1146" s="10">
        <v>32.700000000000003</v>
      </c>
      <c r="F1146" s="9" t="str">
        <f t="shared" si="67"/>
        <v/>
      </c>
      <c r="G1146" s="9" t="str">
        <f t="shared" si="68"/>
        <v/>
      </c>
      <c r="H1146" s="10">
        <f t="shared" si="69"/>
        <v>10.408733278209956</v>
      </c>
      <c r="K1146" s="11" t="str">
        <f>_xlfn.XLOOKUP(F1146,Ref!$B$3:$B$12,Ref!$C$3:$C$12,"",1)</f>
        <v/>
      </c>
      <c r="L1146" s="11" t="str">
        <f>_xlfn.XLOOKUP(G1146,Ref!$B$3:$B$12,Ref!$C$3:$C$12,"",1)</f>
        <v/>
      </c>
      <c r="M1146" s="11">
        <f>_xlfn.XLOOKUP(H1146,Ref!$B$3:$B$12,Ref!$C$3:$C$12,"",1)</f>
        <v>1</v>
      </c>
    </row>
    <row r="1147" spans="2:13" x14ac:dyDescent="0.25">
      <c r="B1147" s="15" t="s">
        <v>10</v>
      </c>
      <c r="C1147" s="9">
        <v>46.9</v>
      </c>
      <c r="D1147" s="9">
        <v>49.4</v>
      </c>
      <c r="E1147" s="10">
        <v>52.8</v>
      </c>
      <c r="F1147" s="9">
        <f t="shared" ref="F1147:F1204" si="70">IF(C1147="", "", C1147/PI())</f>
        <v>14.928733662019782</v>
      </c>
      <c r="G1147" s="9">
        <f t="shared" ref="G1147:G1204" si="71">IF(D1147="", "", D1147/PI())</f>
        <v>15.724508377479259</v>
      </c>
      <c r="H1147" s="10">
        <f t="shared" ref="H1147:H1204" si="72">IF(E1147="", "", E1147/PI())</f>
        <v>16.806761990504146</v>
      </c>
      <c r="K1147" s="11">
        <f>_xlfn.XLOOKUP(F1147,Ref!$B$3:$B$12,Ref!$C$3:$C$12,"",1)</f>
        <v>1</v>
      </c>
      <c r="L1147" s="11">
        <f>_xlfn.XLOOKUP(G1147,Ref!$B$3:$B$12,Ref!$C$3:$C$12,"",1)</f>
        <v>1</v>
      </c>
      <c r="M1147" s="11">
        <f>_xlfn.XLOOKUP(H1147,Ref!$B$3:$B$12,Ref!$C$3:$C$12,"",1)</f>
        <v>1</v>
      </c>
    </row>
    <row r="1148" spans="2:13" x14ac:dyDescent="0.25">
      <c r="B1148" s="15" t="s">
        <v>27</v>
      </c>
      <c r="C1148" s="9">
        <v>38.4</v>
      </c>
      <c r="D1148" s="9">
        <v>41.8</v>
      </c>
      <c r="E1148" s="10">
        <v>44.7</v>
      </c>
      <c r="F1148" s="9">
        <f t="shared" si="70"/>
        <v>12.223099629457561</v>
      </c>
      <c r="G1148" s="9">
        <f t="shared" si="71"/>
        <v>13.30535324248245</v>
      </c>
      <c r="H1148" s="10">
        <f t="shared" si="72"/>
        <v>14.228451912415444</v>
      </c>
      <c r="K1148" s="11">
        <f>_xlfn.XLOOKUP(F1148,Ref!$B$3:$B$12,Ref!$C$3:$C$12,"",1)</f>
        <v>1</v>
      </c>
      <c r="L1148" s="11">
        <f>_xlfn.XLOOKUP(G1148,Ref!$B$3:$B$12,Ref!$C$3:$C$12,"",1)</f>
        <v>1</v>
      </c>
      <c r="M1148" s="11">
        <f>_xlfn.XLOOKUP(H1148,Ref!$B$3:$B$12,Ref!$C$3:$C$12,"",1)</f>
        <v>1</v>
      </c>
    </row>
    <row r="1149" spans="2:13" x14ac:dyDescent="0.25">
      <c r="B1149" s="15" t="s">
        <v>27</v>
      </c>
      <c r="C1149" s="9">
        <v>45.9</v>
      </c>
      <c r="D1149" s="9">
        <v>51.1</v>
      </c>
      <c r="E1149" s="10">
        <v>53.6</v>
      </c>
      <c r="F1149" s="9">
        <f t="shared" si="70"/>
        <v>14.610423775835992</v>
      </c>
      <c r="G1149" s="9">
        <f t="shared" si="71"/>
        <v>16.265635183991705</v>
      </c>
      <c r="H1149" s="10">
        <f t="shared" si="72"/>
        <v>17.061409899451181</v>
      </c>
      <c r="K1149" s="11">
        <f>_xlfn.XLOOKUP(F1149,Ref!$B$3:$B$12,Ref!$C$3:$C$12,"",1)</f>
        <v>1</v>
      </c>
      <c r="L1149" s="11">
        <f>_xlfn.XLOOKUP(G1149,Ref!$B$3:$B$12,Ref!$C$3:$C$12,"",1)</f>
        <v>1</v>
      </c>
      <c r="M1149" s="11">
        <f>_xlfn.XLOOKUP(H1149,Ref!$B$3:$B$12,Ref!$C$3:$C$12,"",1)</f>
        <v>1</v>
      </c>
    </row>
    <row r="1150" spans="2:13" x14ac:dyDescent="0.25">
      <c r="B1150" s="15" t="s">
        <v>12</v>
      </c>
      <c r="C1150" s="9">
        <v>39.200000000000003</v>
      </c>
      <c r="D1150" s="9">
        <v>42.8</v>
      </c>
      <c r="E1150" s="10">
        <v>44.6</v>
      </c>
      <c r="F1150" s="9">
        <f t="shared" si="70"/>
        <v>12.477747538404596</v>
      </c>
      <c r="G1150" s="9">
        <f t="shared" si="71"/>
        <v>13.623663128666241</v>
      </c>
      <c r="H1150" s="10">
        <f t="shared" si="72"/>
        <v>14.196620923797065</v>
      </c>
      <c r="K1150" s="11">
        <f>_xlfn.XLOOKUP(F1150,Ref!$B$3:$B$12,Ref!$C$3:$C$12,"",1)</f>
        <v>1</v>
      </c>
      <c r="L1150" s="11">
        <f>_xlfn.XLOOKUP(G1150,Ref!$B$3:$B$12,Ref!$C$3:$C$12,"",1)</f>
        <v>1</v>
      </c>
      <c r="M1150" s="11">
        <f>_xlfn.XLOOKUP(H1150,Ref!$B$3:$B$12,Ref!$C$3:$C$12,"",1)</f>
        <v>1</v>
      </c>
    </row>
    <row r="1151" spans="2:13" x14ac:dyDescent="0.25">
      <c r="B1151" s="15" t="s">
        <v>25</v>
      </c>
      <c r="C1151" s="9">
        <v>49.1</v>
      </c>
      <c r="D1151" s="9">
        <v>50.3</v>
      </c>
      <c r="E1151" s="10">
        <v>51.8</v>
      </c>
      <c r="F1151" s="9">
        <f t="shared" si="70"/>
        <v>15.629015411624122</v>
      </c>
      <c r="G1151" s="9">
        <f t="shared" si="71"/>
        <v>16.01098727504467</v>
      </c>
      <c r="H1151" s="10">
        <f t="shared" si="72"/>
        <v>16.488452104320356</v>
      </c>
      <c r="K1151" s="11">
        <f>_xlfn.XLOOKUP(F1151,Ref!$B$3:$B$12,Ref!$C$3:$C$12,"",1)</f>
        <v>1</v>
      </c>
      <c r="L1151" s="11">
        <f>_xlfn.XLOOKUP(G1151,Ref!$B$3:$B$12,Ref!$C$3:$C$12,"",1)</f>
        <v>1</v>
      </c>
      <c r="M1151" s="11">
        <f>_xlfn.XLOOKUP(H1151,Ref!$B$3:$B$12,Ref!$C$3:$C$12,"",1)</f>
        <v>1</v>
      </c>
    </row>
    <row r="1152" spans="2:13" x14ac:dyDescent="0.25">
      <c r="B1152" s="15" t="s">
        <v>41</v>
      </c>
      <c r="C1152" s="9">
        <v>42.8</v>
      </c>
      <c r="D1152" s="9">
        <v>50.8</v>
      </c>
      <c r="E1152" s="10">
        <v>56.7</v>
      </c>
      <c r="F1152" s="9">
        <f t="shared" si="70"/>
        <v>13.623663128666241</v>
      </c>
      <c r="G1152" s="9">
        <f t="shared" si="71"/>
        <v>16.170142218136565</v>
      </c>
      <c r="H1152" s="10">
        <f t="shared" si="72"/>
        <v>18.048170546620934</v>
      </c>
      <c r="K1152" s="11">
        <f>_xlfn.XLOOKUP(F1152,Ref!$B$3:$B$12,Ref!$C$3:$C$12,"",1)</f>
        <v>1</v>
      </c>
      <c r="L1152" s="11">
        <f>_xlfn.XLOOKUP(G1152,Ref!$B$3:$B$12,Ref!$C$3:$C$12,"",1)</f>
        <v>1</v>
      </c>
      <c r="M1152" s="11">
        <f>_xlfn.XLOOKUP(H1152,Ref!$B$3:$B$12,Ref!$C$3:$C$12,"",1)</f>
        <v>1</v>
      </c>
    </row>
    <row r="1153" spans="2:13" x14ac:dyDescent="0.25">
      <c r="B1153" s="15" t="s">
        <v>6</v>
      </c>
      <c r="C1153" s="9">
        <v>37.299999999999997</v>
      </c>
      <c r="D1153" s="9">
        <v>39.299999999999997</v>
      </c>
      <c r="E1153" s="10">
        <v>40.5</v>
      </c>
      <c r="F1153" s="9">
        <f t="shared" si="70"/>
        <v>11.872958754655391</v>
      </c>
      <c r="G1153" s="9">
        <f t="shared" si="71"/>
        <v>12.509578527022972</v>
      </c>
      <c r="H1153" s="10">
        <f t="shared" si="72"/>
        <v>12.891550390443523</v>
      </c>
      <c r="K1153" s="11">
        <f>_xlfn.XLOOKUP(F1153,Ref!$B$3:$B$12,Ref!$C$3:$C$12,"",1)</f>
        <v>1</v>
      </c>
      <c r="L1153" s="11">
        <f>_xlfn.XLOOKUP(G1153,Ref!$B$3:$B$12,Ref!$C$3:$C$12,"",1)</f>
        <v>1</v>
      </c>
      <c r="M1153" s="11">
        <f>_xlfn.XLOOKUP(H1153,Ref!$B$3:$B$12,Ref!$C$3:$C$12,"",1)</f>
        <v>1</v>
      </c>
    </row>
    <row r="1154" spans="2:13" x14ac:dyDescent="0.25">
      <c r="B1154" s="15" t="s">
        <v>81</v>
      </c>
      <c r="C1154" s="9">
        <v>117.8</v>
      </c>
      <c r="D1154" s="9">
        <v>120</v>
      </c>
      <c r="E1154" s="10">
        <v>123.5</v>
      </c>
      <c r="F1154" s="9">
        <f t="shared" si="70"/>
        <v>37.496904592450541</v>
      </c>
      <c r="G1154" s="9">
        <f t="shared" si="71"/>
        <v>38.197186342054884</v>
      </c>
      <c r="H1154" s="10">
        <f t="shared" si="72"/>
        <v>39.311270943698148</v>
      </c>
      <c r="K1154" s="11">
        <f>_xlfn.XLOOKUP(F1154,Ref!$B$3:$B$12,Ref!$C$3:$C$12,"",1)</f>
        <v>3</v>
      </c>
      <c r="L1154" s="11">
        <f>_xlfn.XLOOKUP(G1154,Ref!$B$3:$B$12,Ref!$C$3:$C$12,"",1)</f>
        <v>3</v>
      </c>
      <c r="M1154" s="11">
        <f>_xlfn.XLOOKUP(H1154,Ref!$B$3:$B$12,Ref!$C$3:$C$12,"",1)</f>
        <v>3</v>
      </c>
    </row>
    <row r="1155" spans="2:13" x14ac:dyDescent="0.25">
      <c r="B1155" s="15" t="s">
        <v>57</v>
      </c>
      <c r="C1155" s="9">
        <v>60.4</v>
      </c>
      <c r="D1155" s="9">
        <v>67.900000000000006</v>
      </c>
      <c r="E1155" s="10">
        <v>76.2</v>
      </c>
      <c r="F1155" s="9">
        <f t="shared" si="70"/>
        <v>19.225917125500956</v>
      </c>
      <c r="G1155" s="9">
        <f t="shared" si="71"/>
        <v>21.613241271879389</v>
      </c>
      <c r="H1155" s="10">
        <f t="shared" si="72"/>
        <v>24.255213327204849</v>
      </c>
      <c r="K1155" s="11">
        <f>_xlfn.XLOOKUP(F1155,Ref!$B$3:$B$12,Ref!$C$3:$C$12,"",1)</f>
        <v>1</v>
      </c>
      <c r="L1155" s="11">
        <f>_xlfn.XLOOKUP(G1155,Ref!$B$3:$B$12,Ref!$C$3:$C$12,"",1)</f>
        <v>2</v>
      </c>
      <c r="M1155" s="11">
        <f>_xlfn.XLOOKUP(H1155,Ref!$B$3:$B$12,Ref!$C$3:$C$12,"",1)</f>
        <v>2</v>
      </c>
    </row>
    <row r="1156" spans="2:13" x14ac:dyDescent="0.25">
      <c r="B1156" s="15" t="s">
        <v>46</v>
      </c>
      <c r="C1156" s="9">
        <v>74.5</v>
      </c>
      <c r="D1156" s="9">
        <v>77</v>
      </c>
      <c r="E1156" s="10">
        <v>0</v>
      </c>
      <c r="F1156" s="9">
        <f t="shared" si="70"/>
        <v>23.714086520692405</v>
      </c>
      <c r="G1156" s="9">
        <f t="shared" si="71"/>
        <v>24.509861236151881</v>
      </c>
      <c r="H1156" s="10">
        <f t="shared" si="72"/>
        <v>0</v>
      </c>
      <c r="K1156" s="11">
        <f>_xlfn.XLOOKUP(F1156,Ref!$B$3:$B$12,Ref!$C$3:$C$12,"",1)</f>
        <v>2</v>
      </c>
      <c r="L1156" s="11">
        <f>_xlfn.XLOOKUP(G1156,Ref!$B$3:$B$12,Ref!$C$3:$C$12,"",1)</f>
        <v>2</v>
      </c>
      <c r="M1156" s="11" t="str">
        <f>_xlfn.XLOOKUP(H1156,Ref!$B$3:$B$12,Ref!$C$3:$C$12,"",1)</f>
        <v>Morta</v>
      </c>
    </row>
    <row r="1157" spans="2:13" x14ac:dyDescent="0.25">
      <c r="B1157" s="15" t="s">
        <v>46</v>
      </c>
      <c r="C1157" s="9">
        <v>36.700000000000003</v>
      </c>
      <c r="D1157" s="9">
        <v>36.9</v>
      </c>
      <c r="E1157" s="10">
        <v>0</v>
      </c>
      <c r="F1157" s="9">
        <f t="shared" si="70"/>
        <v>11.681972822945118</v>
      </c>
      <c r="G1157" s="9">
        <f t="shared" si="71"/>
        <v>11.745634800181875</v>
      </c>
      <c r="H1157" s="10">
        <f t="shared" si="72"/>
        <v>0</v>
      </c>
      <c r="K1157" s="11">
        <f>_xlfn.XLOOKUP(F1157,Ref!$B$3:$B$12,Ref!$C$3:$C$12,"",1)</f>
        <v>1</v>
      </c>
      <c r="L1157" s="11">
        <f>_xlfn.XLOOKUP(G1157,Ref!$B$3:$B$12,Ref!$C$3:$C$12,"",1)</f>
        <v>1</v>
      </c>
      <c r="M1157" s="11" t="str">
        <f>_xlfn.XLOOKUP(H1157,Ref!$B$3:$B$12,Ref!$C$3:$C$12,"",1)</f>
        <v>Morta</v>
      </c>
    </row>
    <row r="1158" spans="2:13" x14ac:dyDescent="0.25">
      <c r="B1158" s="15" t="s">
        <v>10</v>
      </c>
      <c r="C1158" s="9">
        <v>50.4</v>
      </c>
      <c r="D1158" s="9">
        <v>56.8</v>
      </c>
      <c r="E1158" s="10">
        <v>63.2</v>
      </c>
      <c r="F1158" s="9">
        <f t="shared" si="70"/>
        <v>16.042818263663051</v>
      </c>
      <c r="G1158" s="9">
        <f t="shared" si="71"/>
        <v>18.080001535239308</v>
      </c>
      <c r="H1158" s="10">
        <f t="shared" si="72"/>
        <v>20.117184806815573</v>
      </c>
      <c r="K1158" s="11">
        <f>_xlfn.XLOOKUP(F1158,Ref!$B$3:$B$12,Ref!$C$3:$C$12,"",1)</f>
        <v>1</v>
      </c>
      <c r="L1158" s="11">
        <f>_xlfn.XLOOKUP(G1158,Ref!$B$3:$B$12,Ref!$C$3:$C$12,"",1)</f>
        <v>1</v>
      </c>
      <c r="M1158" s="11">
        <f>_xlfn.XLOOKUP(H1158,Ref!$B$3:$B$12,Ref!$C$3:$C$12,"",1)</f>
        <v>2</v>
      </c>
    </row>
    <row r="1159" spans="2:13" x14ac:dyDescent="0.25">
      <c r="B1159" s="15" t="s">
        <v>41</v>
      </c>
      <c r="C1159" s="9">
        <v>39.799999999999997</v>
      </c>
      <c r="D1159" s="9">
        <v>42.6</v>
      </c>
      <c r="E1159" s="10">
        <v>45.5</v>
      </c>
      <c r="F1159" s="9">
        <f t="shared" si="70"/>
        <v>12.668733470114868</v>
      </c>
      <c r="G1159" s="9">
        <f t="shared" si="71"/>
        <v>13.560001151429484</v>
      </c>
      <c r="H1159" s="10">
        <f t="shared" si="72"/>
        <v>14.483099821362476</v>
      </c>
      <c r="K1159" s="11">
        <f>_xlfn.XLOOKUP(F1159,Ref!$B$3:$B$12,Ref!$C$3:$C$12,"",1)</f>
        <v>1</v>
      </c>
      <c r="L1159" s="11">
        <f>_xlfn.XLOOKUP(G1159,Ref!$B$3:$B$12,Ref!$C$3:$C$12,"",1)</f>
        <v>1</v>
      </c>
      <c r="M1159" s="11">
        <f>_xlfn.XLOOKUP(H1159,Ref!$B$3:$B$12,Ref!$C$3:$C$12,"",1)</f>
        <v>1</v>
      </c>
    </row>
    <row r="1160" spans="2:13" x14ac:dyDescent="0.25">
      <c r="B1160" s="15" t="s">
        <v>6</v>
      </c>
      <c r="C1160" s="9">
        <v>34.9</v>
      </c>
      <c r="D1160" s="9">
        <v>38.200000000000003</v>
      </c>
      <c r="E1160" s="10">
        <v>39.799999999999997</v>
      </c>
      <c r="F1160" s="9">
        <f t="shared" si="70"/>
        <v>11.109015027814294</v>
      </c>
      <c r="G1160" s="9">
        <f t="shared" si="71"/>
        <v>12.159437652220806</v>
      </c>
      <c r="H1160" s="10">
        <f t="shared" si="72"/>
        <v>12.668733470114868</v>
      </c>
      <c r="K1160" s="11">
        <f>_xlfn.XLOOKUP(F1160,Ref!$B$3:$B$12,Ref!$C$3:$C$12,"",1)</f>
        <v>1</v>
      </c>
      <c r="L1160" s="11">
        <f>_xlfn.XLOOKUP(G1160,Ref!$B$3:$B$12,Ref!$C$3:$C$12,"",1)</f>
        <v>1</v>
      </c>
      <c r="M1160" s="11">
        <f>_xlfn.XLOOKUP(H1160,Ref!$B$3:$B$12,Ref!$C$3:$C$12,"",1)</f>
        <v>1</v>
      </c>
    </row>
    <row r="1161" spans="2:13" x14ac:dyDescent="0.25">
      <c r="B1161" s="15" t="s">
        <v>46</v>
      </c>
      <c r="C1161" s="9">
        <v>36.799999999999997</v>
      </c>
      <c r="D1161" s="9">
        <v>36.9</v>
      </c>
      <c r="E1161" s="10">
        <v>36.9</v>
      </c>
      <c r="F1161" s="9">
        <f t="shared" si="70"/>
        <v>11.713803811563496</v>
      </c>
      <c r="G1161" s="9">
        <f t="shared" si="71"/>
        <v>11.745634800181875</v>
      </c>
      <c r="H1161" s="10">
        <f t="shared" si="72"/>
        <v>11.745634800181875</v>
      </c>
      <c r="K1161" s="11">
        <f>_xlfn.XLOOKUP(F1161,Ref!$B$3:$B$12,Ref!$C$3:$C$12,"",1)</f>
        <v>1</v>
      </c>
      <c r="L1161" s="11">
        <f>_xlfn.XLOOKUP(G1161,Ref!$B$3:$B$12,Ref!$C$3:$C$12,"",1)</f>
        <v>1</v>
      </c>
      <c r="M1161" s="11">
        <f>_xlfn.XLOOKUP(H1161,Ref!$B$3:$B$12,Ref!$C$3:$C$12,"",1)</f>
        <v>1</v>
      </c>
    </row>
    <row r="1162" spans="2:13" x14ac:dyDescent="0.25">
      <c r="B1162" s="15" t="s">
        <v>46</v>
      </c>
      <c r="C1162" s="9">
        <v>71</v>
      </c>
      <c r="D1162" s="9">
        <v>74.8</v>
      </c>
      <c r="E1162" s="10">
        <v>78.900000000000006</v>
      </c>
      <c r="F1162" s="9">
        <f t="shared" si="70"/>
        <v>22.600001919049138</v>
      </c>
      <c r="G1162" s="9">
        <f t="shared" si="71"/>
        <v>23.809579486547541</v>
      </c>
      <c r="H1162" s="10">
        <f t="shared" si="72"/>
        <v>25.114650019901088</v>
      </c>
      <c r="K1162" s="11">
        <f>_xlfn.XLOOKUP(F1162,Ref!$B$3:$B$12,Ref!$C$3:$C$12,"",1)</f>
        <v>2</v>
      </c>
      <c r="L1162" s="11">
        <f>_xlfn.XLOOKUP(G1162,Ref!$B$3:$B$12,Ref!$C$3:$C$12,"",1)</f>
        <v>2</v>
      </c>
      <c r="M1162" s="11">
        <f>_xlfn.XLOOKUP(H1162,Ref!$B$3:$B$12,Ref!$C$3:$C$12,"",1)</f>
        <v>2</v>
      </c>
    </row>
    <row r="1163" spans="2:13" x14ac:dyDescent="0.25">
      <c r="B1163" s="15" t="s">
        <v>41</v>
      </c>
      <c r="C1163" s="9">
        <v>40.200000000000003</v>
      </c>
      <c r="D1163" s="9">
        <v>43.2</v>
      </c>
      <c r="E1163" s="10">
        <v>46.6</v>
      </c>
      <c r="F1163" s="9">
        <f t="shared" si="70"/>
        <v>12.796057424588387</v>
      </c>
      <c r="G1163" s="9">
        <f t="shared" si="71"/>
        <v>13.750987083139758</v>
      </c>
      <c r="H1163" s="10">
        <f t="shared" si="72"/>
        <v>14.833240696164646</v>
      </c>
      <c r="K1163" s="11">
        <f>_xlfn.XLOOKUP(F1163,Ref!$B$3:$B$12,Ref!$C$3:$C$12,"",1)</f>
        <v>1</v>
      </c>
      <c r="L1163" s="11">
        <f>_xlfn.XLOOKUP(G1163,Ref!$B$3:$B$12,Ref!$C$3:$C$12,"",1)</f>
        <v>1</v>
      </c>
      <c r="M1163" s="11">
        <f>_xlfn.XLOOKUP(H1163,Ref!$B$3:$B$12,Ref!$C$3:$C$12,"",1)</f>
        <v>1</v>
      </c>
    </row>
    <row r="1164" spans="2:13" x14ac:dyDescent="0.25">
      <c r="B1164" s="15" t="s">
        <v>41</v>
      </c>
      <c r="C1164" s="9">
        <v>35.200000000000003</v>
      </c>
      <c r="D1164" s="9">
        <v>40.299999999999997</v>
      </c>
      <c r="E1164" s="10">
        <v>45.3</v>
      </c>
      <c r="F1164" s="9">
        <f t="shared" si="70"/>
        <v>11.204507993669433</v>
      </c>
      <c r="G1164" s="9">
        <f t="shared" si="71"/>
        <v>12.827888413206765</v>
      </c>
      <c r="H1164" s="10">
        <f t="shared" si="72"/>
        <v>14.419437844125717</v>
      </c>
      <c r="K1164" s="11">
        <f>_xlfn.XLOOKUP(F1164,Ref!$B$3:$B$12,Ref!$C$3:$C$12,"",1)</f>
        <v>1</v>
      </c>
      <c r="L1164" s="11">
        <f>_xlfn.XLOOKUP(G1164,Ref!$B$3:$B$12,Ref!$C$3:$C$12,"",1)</f>
        <v>1</v>
      </c>
      <c r="M1164" s="11">
        <f>_xlfn.XLOOKUP(H1164,Ref!$B$3:$B$12,Ref!$C$3:$C$12,"",1)</f>
        <v>1</v>
      </c>
    </row>
    <row r="1165" spans="2:13" x14ac:dyDescent="0.25">
      <c r="B1165" s="15" t="s">
        <v>46</v>
      </c>
      <c r="C1165" s="9">
        <v>57.6</v>
      </c>
      <c r="D1165" s="9">
        <v>58.4</v>
      </c>
      <c r="E1165" s="10">
        <v>61</v>
      </c>
      <c r="F1165" s="9">
        <f t="shared" si="70"/>
        <v>18.334649444186343</v>
      </c>
      <c r="G1165" s="9">
        <f t="shared" si="71"/>
        <v>18.589297353133375</v>
      </c>
      <c r="H1165" s="10">
        <f t="shared" si="72"/>
        <v>19.416903057211233</v>
      </c>
      <c r="K1165" s="11">
        <f>_xlfn.XLOOKUP(F1165,Ref!$B$3:$B$12,Ref!$C$3:$C$12,"",1)</f>
        <v>1</v>
      </c>
      <c r="L1165" s="11">
        <f>_xlfn.XLOOKUP(G1165,Ref!$B$3:$B$12,Ref!$C$3:$C$12,"",1)</f>
        <v>1</v>
      </c>
      <c r="M1165" s="11">
        <f>_xlfn.XLOOKUP(H1165,Ref!$B$3:$B$12,Ref!$C$3:$C$12,"",1)</f>
        <v>1</v>
      </c>
    </row>
    <row r="1166" spans="2:13" x14ac:dyDescent="0.25">
      <c r="B1166" s="15" t="s">
        <v>46</v>
      </c>
      <c r="C1166" s="9">
        <v>44.5</v>
      </c>
      <c r="D1166" s="9">
        <v>47.2</v>
      </c>
      <c r="E1166" s="10">
        <v>51.1</v>
      </c>
      <c r="F1166" s="9">
        <f t="shared" si="70"/>
        <v>14.164789935178685</v>
      </c>
      <c r="G1166" s="9">
        <f t="shared" si="71"/>
        <v>15.024226627874921</v>
      </c>
      <c r="H1166" s="10">
        <f t="shared" si="72"/>
        <v>16.265635183991705</v>
      </c>
      <c r="K1166" s="11">
        <f>_xlfn.XLOOKUP(F1166,Ref!$B$3:$B$12,Ref!$C$3:$C$12,"",1)</f>
        <v>1</v>
      </c>
      <c r="L1166" s="11">
        <f>_xlfn.XLOOKUP(G1166,Ref!$B$3:$B$12,Ref!$C$3:$C$12,"",1)</f>
        <v>1</v>
      </c>
      <c r="M1166" s="11">
        <f>_xlfn.XLOOKUP(H1166,Ref!$B$3:$B$12,Ref!$C$3:$C$12,"",1)</f>
        <v>1</v>
      </c>
    </row>
    <row r="1167" spans="2:13" x14ac:dyDescent="0.25">
      <c r="B1167" s="15" t="s">
        <v>82</v>
      </c>
      <c r="C1167" s="9">
        <v>35.1</v>
      </c>
      <c r="D1167" s="9">
        <v>38.799999999999997</v>
      </c>
      <c r="E1167" s="10">
        <v>41.5</v>
      </c>
      <c r="F1167" s="9">
        <f t="shared" si="70"/>
        <v>11.172677005051053</v>
      </c>
      <c r="G1167" s="9">
        <f t="shared" si="71"/>
        <v>12.350423583931077</v>
      </c>
      <c r="H1167" s="10">
        <f t="shared" si="72"/>
        <v>13.209860276627314</v>
      </c>
      <c r="K1167" s="11">
        <f>_xlfn.XLOOKUP(F1167,Ref!$B$3:$B$12,Ref!$C$3:$C$12,"",1)</f>
        <v>1</v>
      </c>
      <c r="L1167" s="11">
        <f>_xlfn.XLOOKUP(G1167,Ref!$B$3:$B$12,Ref!$C$3:$C$12,"",1)</f>
        <v>1</v>
      </c>
      <c r="M1167" s="11">
        <f>_xlfn.XLOOKUP(H1167,Ref!$B$3:$B$12,Ref!$C$3:$C$12,"",1)</f>
        <v>1</v>
      </c>
    </row>
    <row r="1168" spans="2:13" x14ac:dyDescent="0.25">
      <c r="B1168" s="15" t="s">
        <v>46</v>
      </c>
      <c r="C1168" s="9">
        <v>39.1</v>
      </c>
      <c r="D1168" s="9">
        <v>40</v>
      </c>
      <c r="E1168" s="10">
        <v>41.3</v>
      </c>
      <c r="F1168" s="9">
        <f t="shared" si="70"/>
        <v>12.445916549786217</v>
      </c>
      <c r="G1168" s="9">
        <f t="shared" si="71"/>
        <v>12.732395447351628</v>
      </c>
      <c r="H1168" s="10">
        <f t="shared" si="72"/>
        <v>13.146198299390555</v>
      </c>
      <c r="K1168" s="11">
        <f>_xlfn.XLOOKUP(F1168,Ref!$B$3:$B$12,Ref!$C$3:$C$12,"",1)</f>
        <v>1</v>
      </c>
      <c r="L1168" s="11">
        <f>_xlfn.XLOOKUP(G1168,Ref!$B$3:$B$12,Ref!$C$3:$C$12,"",1)</f>
        <v>1</v>
      </c>
      <c r="M1168" s="11">
        <f>_xlfn.XLOOKUP(H1168,Ref!$B$3:$B$12,Ref!$C$3:$C$12,"",1)</f>
        <v>1</v>
      </c>
    </row>
    <row r="1169" spans="2:13" x14ac:dyDescent="0.25">
      <c r="B1169" s="15" t="s">
        <v>46</v>
      </c>
      <c r="C1169" s="9">
        <v>35.200000000000003</v>
      </c>
      <c r="D1169" s="9">
        <v>36.299999999999997</v>
      </c>
      <c r="E1169" s="10">
        <v>36.299999999999997</v>
      </c>
      <c r="F1169" s="9">
        <f t="shared" si="70"/>
        <v>11.204507993669433</v>
      </c>
      <c r="G1169" s="9">
        <f t="shared" si="71"/>
        <v>11.554648868471601</v>
      </c>
      <c r="H1169" s="10">
        <f t="shared" si="72"/>
        <v>11.554648868471601</v>
      </c>
      <c r="K1169" s="11">
        <f>_xlfn.XLOOKUP(F1169,Ref!$B$3:$B$12,Ref!$C$3:$C$12,"",1)</f>
        <v>1</v>
      </c>
      <c r="L1169" s="11">
        <f>_xlfn.XLOOKUP(G1169,Ref!$B$3:$B$12,Ref!$C$3:$C$12,"",1)</f>
        <v>1</v>
      </c>
      <c r="M1169" s="11">
        <f>_xlfn.XLOOKUP(H1169,Ref!$B$3:$B$12,Ref!$C$3:$C$12,"",1)</f>
        <v>1</v>
      </c>
    </row>
    <row r="1170" spans="2:13" x14ac:dyDescent="0.25">
      <c r="B1170" s="15" t="s">
        <v>7</v>
      </c>
      <c r="C1170" s="9">
        <v>55.1</v>
      </c>
      <c r="D1170" s="9">
        <v>57.3</v>
      </c>
      <c r="E1170" s="10">
        <v>60</v>
      </c>
      <c r="F1170" s="9">
        <f t="shared" si="70"/>
        <v>17.538874728726867</v>
      </c>
      <c r="G1170" s="9">
        <f t="shared" si="71"/>
        <v>18.239156478331207</v>
      </c>
      <c r="H1170" s="10">
        <f t="shared" si="72"/>
        <v>19.098593171027442</v>
      </c>
      <c r="K1170" s="11">
        <f>_xlfn.XLOOKUP(F1170,Ref!$B$3:$B$12,Ref!$C$3:$C$12,"",1)</f>
        <v>1</v>
      </c>
      <c r="L1170" s="11">
        <f>_xlfn.XLOOKUP(G1170,Ref!$B$3:$B$12,Ref!$C$3:$C$12,"",1)</f>
        <v>1</v>
      </c>
      <c r="M1170" s="11">
        <f>_xlfn.XLOOKUP(H1170,Ref!$B$3:$B$12,Ref!$C$3:$C$12,"",1)</f>
        <v>1</v>
      </c>
    </row>
    <row r="1171" spans="2:13" x14ac:dyDescent="0.25">
      <c r="B1171" s="15" t="s">
        <v>12</v>
      </c>
      <c r="C1171" s="9">
        <v>32.200000000000003</v>
      </c>
      <c r="D1171" s="9">
        <v>34.5</v>
      </c>
      <c r="E1171" s="10">
        <v>36.5</v>
      </c>
      <c r="F1171" s="9">
        <f t="shared" si="70"/>
        <v>10.249578335118061</v>
      </c>
      <c r="G1171" s="9">
        <f t="shared" si="71"/>
        <v>10.981691073340778</v>
      </c>
      <c r="H1171" s="10">
        <f t="shared" si="72"/>
        <v>11.618310845708359</v>
      </c>
      <c r="K1171" s="11">
        <f>_xlfn.XLOOKUP(F1171,Ref!$B$3:$B$12,Ref!$C$3:$C$12,"",1)</f>
        <v>1</v>
      </c>
      <c r="L1171" s="11">
        <f>_xlfn.XLOOKUP(G1171,Ref!$B$3:$B$12,Ref!$C$3:$C$12,"",1)</f>
        <v>1</v>
      </c>
      <c r="M1171" s="11">
        <f>_xlfn.XLOOKUP(H1171,Ref!$B$3:$B$12,Ref!$C$3:$C$12,"",1)</f>
        <v>1</v>
      </c>
    </row>
    <row r="1172" spans="2:13" x14ac:dyDescent="0.25">
      <c r="B1172" s="15" t="s">
        <v>12</v>
      </c>
      <c r="C1172" s="9">
        <v>49.5</v>
      </c>
      <c r="D1172" s="9">
        <v>49.9</v>
      </c>
      <c r="E1172" s="10">
        <v>51.9</v>
      </c>
      <c r="F1172" s="9">
        <f t="shared" si="70"/>
        <v>15.756339366097638</v>
      </c>
      <c r="G1172" s="9">
        <f t="shared" si="71"/>
        <v>15.883663320571154</v>
      </c>
      <c r="H1172" s="10">
        <f t="shared" si="72"/>
        <v>16.520283092938737</v>
      </c>
      <c r="K1172" s="11">
        <f>_xlfn.XLOOKUP(F1172,Ref!$B$3:$B$12,Ref!$C$3:$C$12,"",1)</f>
        <v>1</v>
      </c>
      <c r="L1172" s="11">
        <f>_xlfn.XLOOKUP(G1172,Ref!$B$3:$B$12,Ref!$C$3:$C$12,"",1)</f>
        <v>1</v>
      </c>
      <c r="M1172" s="11">
        <f>_xlfn.XLOOKUP(H1172,Ref!$B$3:$B$12,Ref!$C$3:$C$12,"",1)</f>
        <v>1</v>
      </c>
    </row>
    <row r="1173" spans="2:13" x14ac:dyDescent="0.25">
      <c r="B1173" s="15" t="s">
        <v>12</v>
      </c>
      <c r="C1173" s="9">
        <v>35.1</v>
      </c>
      <c r="D1173" s="9">
        <v>38.200000000000003</v>
      </c>
      <c r="E1173" s="10">
        <v>41.6</v>
      </c>
      <c r="F1173" s="9">
        <f t="shared" si="70"/>
        <v>11.172677005051053</v>
      </c>
      <c r="G1173" s="9">
        <f t="shared" si="71"/>
        <v>12.159437652220806</v>
      </c>
      <c r="H1173" s="10">
        <f t="shared" si="72"/>
        <v>13.241691265245693</v>
      </c>
      <c r="K1173" s="11">
        <f>_xlfn.XLOOKUP(F1173,Ref!$B$3:$B$12,Ref!$C$3:$C$12,"",1)</f>
        <v>1</v>
      </c>
      <c r="L1173" s="11">
        <f>_xlfn.XLOOKUP(G1173,Ref!$B$3:$B$12,Ref!$C$3:$C$12,"",1)</f>
        <v>1</v>
      </c>
      <c r="M1173" s="11">
        <f>_xlfn.XLOOKUP(H1173,Ref!$B$3:$B$12,Ref!$C$3:$C$12,"",1)</f>
        <v>1</v>
      </c>
    </row>
    <row r="1174" spans="2:13" x14ac:dyDescent="0.25">
      <c r="B1174" s="15" t="s">
        <v>46</v>
      </c>
      <c r="C1174" s="9">
        <v>53.4</v>
      </c>
      <c r="D1174" s="9">
        <v>57.2</v>
      </c>
      <c r="E1174" s="10">
        <v>60.5</v>
      </c>
      <c r="F1174" s="9">
        <f t="shared" si="70"/>
        <v>16.997747922214423</v>
      </c>
      <c r="G1174" s="9">
        <f t="shared" si="71"/>
        <v>18.207325489712829</v>
      </c>
      <c r="H1174" s="10">
        <f t="shared" si="72"/>
        <v>19.257748114119337</v>
      </c>
      <c r="K1174" s="11">
        <f>_xlfn.XLOOKUP(F1174,Ref!$B$3:$B$12,Ref!$C$3:$C$12,"",1)</f>
        <v>1</v>
      </c>
      <c r="L1174" s="11">
        <f>_xlfn.XLOOKUP(G1174,Ref!$B$3:$B$12,Ref!$C$3:$C$12,"",1)</f>
        <v>1</v>
      </c>
      <c r="M1174" s="11">
        <f>_xlfn.XLOOKUP(H1174,Ref!$B$3:$B$12,Ref!$C$3:$C$12,"",1)</f>
        <v>1</v>
      </c>
    </row>
    <row r="1175" spans="2:13" x14ac:dyDescent="0.25">
      <c r="B1175" s="15" t="s">
        <v>63</v>
      </c>
      <c r="C1175" s="9">
        <v>57.7</v>
      </c>
      <c r="D1175" s="9">
        <v>62</v>
      </c>
      <c r="E1175" s="10">
        <v>64.8</v>
      </c>
      <c r="F1175" s="9">
        <f t="shared" si="70"/>
        <v>18.366480432804725</v>
      </c>
      <c r="G1175" s="9">
        <f t="shared" si="71"/>
        <v>19.735212943395023</v>
      </c>
      <c r="H1175" s="10">
        <f t="shared" si="72"/>
        <v>20.626480624709636</v>
      </c>
      <c r="K1175" s="11">
        <f>_xlfn.XLOOKUP(F1175,Ref!$B$3:$B$12,Ref!$C$3:$C$12,"",1)</f>
        <v>1</v>
      </c>
      <c r="L1175" s="11">
        <f>_xlfn.XLOOKUP(G1175,Ref!$B$3:$B$12,Ref!$C$3:$C$12,"",1)</f>
        <v>1</v>
      </c>
      <c r="M1175" s="11">
        <f>_xlfn.XLOOKUP(H1175,Ref!$B$3:$B$12,Ref!$C$3:$C$12,"",1)</f>
        <v>2</v>
      </c>
    </row>
    <row r="1176" spans="2:13" x14ac:dyDescent="0.25">
      <c r="B1176" s="15" t="s">
        <v>41</v>
      </c>
      <c r="C1176" s="9">
        <v>50.1</v>
      </c>
      <c r="D1176" s="9">
        <v>54.9</v>
      </c>
      <c r="E1176" s="10">
        <v>60.5</v>
      </c>
      <c r="F1176" s="9">
        <f t="shared" si="70"/>
        <v>15.947325297807915</v>
      </c>
      <c r="G1176" s="9">
        <f t="shared" si="71"/>
        <v>17.475212751490108</v>
      </c>
      <c r="H1176" s="10">
        <f t="shared" si="72"/>
        <v>19.257748114119337</v>
      </c>
      <c r="K1176" s="11">
        <f>_xlfn.XLOOKUP(F1176,Ref!$B$3:$B$12,Ref!$C$3:$C$12,"",1)</f>
        <v>1</v>
      </c>
      <c r="L1176" s="11">
        <f>_xlfn.XLOOKUP(G1176,Ref!$B$3:$B$12,Ref!$C$3:$C$12,"",1)</f>
        <v>1</v>
      </c>
      <c r="M1176" s="11">
        <f>_xlfn.XLOOKUP(H1176,Ref!$B$3:$B$12,Ref!$C$3:$C$12,"",1)</f>
        <v>1</v>
      </c>
    </row>
    <row r="1177" spans="2:13" x14ac:dyDescent="0.25">
      <c r="B1177" s="15" t="s">
        <v>12</v>
      </c>
      <c r="C1177" s="9">
        <v>37.4</v>
      </c>
      <c r="D1177" s="9">
        <v>39.4</v>
      </c>
      <c r="E1177" s="10">
        <v>40.200000000000003</v>
      </c>
      <c r="F1177" s="9">
        <f t="shared" si="70"/>
        <v>11.904789743273771</v>
      </c>
      <c r="G1177" s="9">
        <f t="shared" si="71"/>
        <v>12.541409515641352</v>
      </c>
      <c r="H1177" s="10">
        <f t="shared" si="72"/>
        <v>12.796057424588387</v>
      </c>
      <c r="K1177" s="11">
        <f>_xlfn.XLOOKUP(F1177,Ref!$B$3:$B$12,Ref!$C$3:$C$12,"",1)</f>
        <v>1</v>
      </c>
      <c r="L1177" s="11">
        <f>_xlfn.XLOOKUP(G1177,Ref!$B$3:$B$12,Ref!$C$3:$C$12,"",1)</f>
        <v>1</v>
      </c>
      <c r="M1177" s="11">
        <f>_xlfn.XLOOKUP(H1177,Ref!$B$3:$B$12,Ref!$C$3:$C$12,"",1)</f>
        <v>1</v>
      </c>
    </row>
    <row r="1178" spans="2:13" x14ac:dyDescent="0.25">
      <c r="B1178" s="15" t="s">
        <v>76</v>
      </c>
      <c r="C1178" s="9">
        <v>51.4</v>
      </c>
      <c r="D1178" s="9">
        <v>52.9</v>
      </c>
      <c r="E1178" s="10">
        <v>53.9</v>
      </c>
      <c r="F1178" s="9">
        <f t="shared" si="70"/>
        <v>16.361128149846841</v>
      </c>
      <c r="G1178" s="9">
        <f t="shared" si="71"/>
        <v>16.838592979122527</v>
      </c>
      <c r="H1178" s="10">
        <f t="shared" si="72"/>
        <v>17.156902865306318</v>
      </c>
      <c r="K1178" s="11">
        <f>_xlfn.XLOOKUP(F1178,Ref!$B$3:$B$12,Ref!$C$3:$C$12,"",1)</f>
        <v>1</v>
      </c>
      <c r="L1178" s="11">
        <f>_xlfn.XLOOKUP(G1178,Ref!$B$3:$B$12,Ref!$C$3:$C$12,"",1)</f>
        <v>1</v>
      </c>
      <c r="M1178" s="11">
        <f>_xlfn.XLOOKUP(H1178,Ref!$B$3:$B$12,Ref!$C$3:$C$12,"",1)</f>
        <v>1</v>
      </c>
    </row>
    <row r="1179" spans="2:13" x14ac:dyDescent="0.25">
      <c r="B1179" s="15" t="s">
        <v>6</v>
      </c>
      <c r="C1179" s="9">
        <v>40.4</v>
      </c>
      <c r="D1179" s="9">
        <v>40.5</v>
      </c>
      <c r="E1179" s="10">
        <v>40.700000000000003</v>
      </c>
      <c r="F1179" s="9">
        <f t="shared" si="70"/>
        <v>12.859719401825144</v>
      </c>
      <c r="G1179" s="9">
        <f t="shared" si="71"/>
        <v>12.891550390443523</v>
      </c>
      <c r="H1179" s="10">
        <f t="shared" si="72"/>
        <v>12.955212367680282</v>
      </c>
      <c r="K1179" s="11">
        <f>_xlfn.XLOOKUP(F1179,Ref!$B$3:$B$12,Ref!$C$3:$C$12,"",1)</f>
        <v>1</v>
      </c>
      <c r="L1179" s="11">
        <f>_xlfn.XLOOKUP(G1179,Ref!$B$3:$B$12,Ref!$C$3:$C$12,"",1)</f>
        <v>1</v>
      </c>
      <c r="M1179" s="11">
        <f>_xlfn.XLOOKUP(H1179,Ref!$B$3:$B$12,Ref!$C$3:$C$12,"",1)</f>
        <v>1</v>
      </c>
    </row>
    <row r="1180" spans="2:13" x14ac:dyDescent="0.25">
      <c r="B1180" s="15" t="s">
        <v>25</v>
      </c>
      <c r="C1180" s="9">
        <v>113.2</v>
      </c>
      <c r="D1180" s="9">
        <v>115</v>
      </c>
      <c r="E1180" s="10">
        <v>115</v>
      </c>
      <c r="F1180" s="9">
        <f t="shared" si="70"/>
        <v>36.032679116005106</v>
      </c>
      <c r="G1180" s="9">
        <f t="shared" si="71"/>
        <v>36.605636911135932</v>
      </c>
      <c r="H1180" s="10">
        <f t="shared" si="72"/>
        <v>36.605636911135932</v>
      </c>
      <c r="K1180" s="11">
        <f>_xlfn.XLOOKUP(F1180,Ref!$B$3:$B$12,Ref!$C$3:$C$12,"",1)</f>
        <v>3</v>
      </c>
      <c r="L1180" s="11">
        <f>_xlfn.XLOOKUP(G1180,Ref!$B$3:$B$12,Ref!$C$3:$C$12,"",1)</f>
        <v>3</v>
      </c>
      <c r="M1180" s="11">
        <f>_xlfn.XLOOKUP(H1180,Ref!$B$3:$B$12,Ref!$C$3:$C$12,"",1)</f>
        <v>3</v>
      </c>
    </row>
    <row r="1181" spans="2:13" x14ac:dyDescent="0.25">
      <c r="B1181" s="15" t="s">
        <v>46</v>
      </c>
      <c r="C1181" s="9">
        <v>38.6</v>
      </c>
      <c r="D1181" s="9">
        <v>39.200000000000003</v>
      </c>
      <c r="E1181" s="10">
        <v>39.5</v>
      </c>
      <c r="F1181" s="9">
        <f t="shared" si="70"/>
        <v>12.286761606694322</v>
      </c>
      <c r="G1181" s="9">
        <f t="shared" si="71"/>
        <v>12.477747538404596</v>
      </c>
      <c r="H1181" s="10">
        <f t="shared" si="72"/>
        <v>12.573240504259733</v>
      </c>
      <c r="K1181" s="11">
        <f>_xlfn.XLOOKUP(F1181,Ref!$B$3:$B$12,Ref!$C$3:$C$12,"",1)</f>
        <v>1</v>
      </c>
      <c r="L1181" s="11">
        <f>_xlfn.XLOOKUP(G1181,Ref!$B$3:$B$12,Ref!$C$3:$C$12,"",1)</f>
        <v>1</v>
      </c>
      <c r="M1181" s="11">
        <f>_xlfn.XLOOKUP(H1181,Ref!$B$3:$B$12,Ref!$C$3:$C$12,"",1)</f>
        <v>1</v>
      </c>
    </row>
    <row r="1182" spans="2:13" x14ac:dyDescent="0.25">
      <c r="B1182" s="15" t="s">
        <v>46</v>
      </c>
      <c r="C1182" s="9">
        <v>33.799999999999997</v>
      </c>
      <c r="D1182" s="9">
        <v>0</v>
      </c>
      <c r="E1182" s="10">
        <v>0</v>
      </c>
      <c r="F1182" s="9">
        <f t="shared" si="70"/>
        <v>10.758874153012124</v>
      </c>
      <c r="G1182" s="9">
        <f t="shared" si="71"/>
        <v>0</v>
      </c>
      <c r="H1182" s="10">
        <f t="shared" si="72"/>
        <v>0</v>
      </c>
      <c r="K1182" s="11">
        <f>_xlfn.XLOOKUP(F1182,Ref!$B$3:$B$12,Ref!$C$3:$C$12,"",1)</f>
        <v>1</v>
      </c>
      <c r="L1182" s="11" t="str">
        <f>_xlfn.XLOOKUP(G1182,Ref!$B$3:$B$12,Ref!$C$3:$C$12,"",1)</f>
        <v>Morta</v>
      </c>
      <c r="M1182" s="11" t="str">
        <f>_xlfn.XLOOKUP(H1182,Ref!$B$3:$B$12,Ref!$C$3:$C$12,"",1)</f>
        <v>Morta</v>
      </c>
    </row>
    <row r="1183" spans="2:13" x14ac:dyDescent="0.25">
      <c r="B1183" s="15" t="s">
        <v>37</v>
      </c>
      <c r="C1183" s="9">
        <v>42.1</v>
      </c>
      <c r="D1183" s="9">
        <v>46.8</v>
      </c>
      <c r="E1183" s="10">
        <v>48.9</v>
      </c>
      <c r="F1183" s="9">
        <f t="shared" si="70"/>
        <v>13.400846208337589</v>
      </c>
      <c r="G1183" s="9">
        <f t="shared" si="71"/>
        <v>14.896902673401403</v>
      </c>
      <c r="H1183" s="10">
        <f t="shared" si="72"/>
        <v>15.565353434387363</v>
      </c>
      <c r="K1183" s="11">
        <f>_xlfn.XLOOKUP(F1183,Ref!$B$3:$B$12,Ref!$C$3:$C$12,"",1)</f>
        <v>1</v>
      </c>
      <c r="L1183" s="11">
        <f>_xlfn.XLOOKUP(G1183,Ref!$B$3:$B$12,Ref!$C$3:$C$12,"",1)</f>
        <v>1</v>
      </c>
      <c r="M1183" s="11">
        <f>_xlfn.XLOOKUP(H1183,Ref!$B$3:$B$12,Ref!$C$3:$C$12,"",1)</f>
        <v>1</v>
      </c>
    </row>
    <row r="1184" spans="2:13" x14ac:dyDescent="0.25">
      <c r="B1184" s="15" t="s">
        <v>10</v>
      </c>
      <c r="C1184" s="9">
        <v>50.9</v>
      </c>
      <c r="D1184" s="9">
        <v>56.5</v>
      </c>
      <c r="E1184" s="10">
        <v>62.8</v>
      </c>
      <c r="F1184" s="9">
        <f t="shared" si="70"/>
        <v>16.201973206754946</v>
      </c>
      <c r="G1184" s="9">
        <f t="shared" si="71"/>
        <v>17.984508569384175</v>
      </c>
      <c r="H1184" s="10">
        <f t="shared" si="72"/>
        <v>19.989860852342055</v>
      </c>
      <c r="K1184" s="11">
        <f>_xlfn.XLOOKUP(F1184,Ref!$B$3:$B$12,Ref!$C$3:$C$12,"",1)</f>
        <v>1</v>
      </c>
      <c r="L1184" s="11">
        <f>_xlfn.XLOOKUP(G1184,Ref!$B$3:$B$12,Ref!$C$3:$C$12,"",1)</f>
        <v>1</v>
      </c>
      <c r="M1184" s="11">
        <f>_xlfn.XLOOKUP(H1184,Ref!$B$3:$B$12,Ref!$C$3:$C$12,"",1)</f>
        <v>1</v>
      </c>
    </row>
    <row r="1185" spans="2:13" x14ac:dyDescent="0.25">
      <c r="B1185" s="15" t="s">
        <v>63</v>
      </c>
      <c r="C1185" s="9">
        <v>67.2</v>
      </c>
      <c r="D1185" s="9">
        <v>70.7</v>
      </c>
      <c r="E1185" s="10">
        <v>71.900000000000006</v>
      </c>
      <c r="F1185" s="9">
        <f t="shared" si="70"/>
        <v>21.390424351550735</v>
      </c>
      <c r="G1185" s="9">
        <f t="shared" si="71"/>
        <v>22.504508953194001</v>
      </c>
      <c r="H1185" s="10">
        <f t="shared" si="72"/>
        <v>22.886480816614551</v>
      </c>
      <c r="K1185" s="11">
        <f>_xlfn.XLOOKUP(F1185,Ref!$B$3:$B$12,Ref!$C$3:$C$12,"",1)</f>
        <v>2</v>
      </c>
      <c r="L1185" s="11">
        <f>_xlfn.XLOOKUP(G1185,Ref!$B$3:$B$12,Ref!$C$3:$C$12,"",1)</f>
        <v>2</v>
      </c>
      <c r="M1185" s="11">
        <f>_xlfn.XLOOKUP(H1185,Ref!$B$3:$B$12,Ref!$C$3:$C$12,"",1)</f>
        <v>2</v>
      </c>
    </row>
    <row r="1186" spans="2:13" x14ac:dyDescent="0.25">
      <c r="B1186" s="15" t="s">
        <v>25</v>
      </c>
      <c r="C1186" s="9">
        <v>40.299999999999997</v>
      </c>
      <c r="D1186" s="9">
        <v>42.3</v>
      </c>
      <c r="E1186" s="10">
        <v>43.6</v>
      </c>
      <c r="F1186" s="9">
        <f t="shared" si="70"/>
        <v>12.827888413206765</v>
      </c>
      <c r="G1186" s="9">
        <f t="shared" si="71"/>
        <v>13.464508185574346</v>
      </c>
      <c r="H1186" s="10">
        <f t="shared" si="72"/>
        <v>13.878311037613274</v>
      </c>
      <c r="K1186" s="11">
        <f>_xlfn.XLOOKUP(F1186,Ref!$B$3:$B$12,Ref!$C$3:$C$12,"",1)</f>
        <v>1</v>
      </c>
      <c r="L1186" s="11">
        <f>_xlfn.XLOOKUP(G1186,Ref!$B$3:$B$12,Ref!$C$3:$C$12,"",1)</f>
        <v>1</v>
      </c>
      <c r="M1186" s="11">
        <f>_xlfn.XLOOKUP(H1186,Ref!$B$3:$B$12,Ref!$C$3:$C$12,"",1)</f>
        <v>1</v>
      </c>
    </row>
    <row r="1187" spans="2:13" x14ac:dyDescent="0.25">
      <c r="B1187" s="15" t="s">
        <v>41</v>
      </c>
      <c r="C1187" s="9">
        <v>34.9</v>
      </c>
      <c r="D1187" s="9">
        <v>37.9</v>
      </c>
      <c r="E1187" s="10">
        <v>40.200000000000003</v>
      </c>
      <c r="F1187" s="9">
        <f t="shared" si="70"/>
        <v>11.109015027814294</v>
      </c>
      <c r="G1187" s="9">
        <f t="shared" si="71"/>
        <v>12.063944686365666</v>
      </c>
      <c r="H1187" s="10">
        <f t="shared" si="72"/>
        <v>12.796057424588387</v>
      </c>
      <c r="K1187" s="11">
        <f>_xlfn.XLOOKUP(F1187,Ref!$B$3:$B$12,Ref!$C$3:$C$12,"",1)</f>
        <v>1</v>
      </c>
      <c r="L1187" s="11">
        <f>_xlfn.XLOOKUP(G1187,Ref!$B$3:$B$12,Ref!$C$3:$C$12,"",1)</f>
        <v>1</v>
      </c>
      <c r="M1187" s="11">
        <f>_xlfn.XLOOKUP(H1187,Ref!$B$3:$B$12,Ref!$C$3:$C$12,"",1)</f>
        <v>1</v>
      </c>
    </row>
    <row r="1188" spans="2:13" x14ac:dyDescent="0.25">
      <c r="B1188" s="15" t="s">
        <v>46</v>
      </c>
      <c r="C1188" s="9">
        <v>83.8</v>
      </c>
      <c r="D1188" s="9">
        <v>86.6</v>
      </c>
      <c r="E1188" s="10">
        <v>88.6</v>
      </c>
      <c r="F1188" s="9">
        <f t="shared" si="70"/>
        <v>26.674368462201659</v>
      </c>
      <c r="G1188" s="9">
        <f t="shared" si="71"/>
        <v>27.565636143516272</v>
      </c>
      <c r="H1188" s="10">
        <f t="shared" si="72"/>
        <v>28.202255915883853</v>
      </c>
      <c r="K1188" s="11">
        <f>_xlfn.XLOOKUP(F1188,Ref!$B$3:$B$12,Ref!$C$3:$C$12,"",1)</f>
        <v>2</v>
      </c>
      <c r="L1188" s="11">
        <f>_xlfn.XLOOKUP(G1188,Ref!$B$3:$B$12,Ref!$C$3:$C$12,"",1)</f>
        <v>2</v>
      </c>
      <c r="M1188" s="11">
        <f>_xlfn.XLOOKUP(H1188,Ref!$B$3:$B$12,Ref!$C$3:$C$12,"",1)</f>
        <v>2</v>
      </c>
    </row>
    <row r="1189" spans="2:13" x14ac:dyDescent="0.25">
      <c r="B1189" s="15" t="s">
        <v>27</v>
      </c>
      <c r="C1189" s="9">
        <v>45.5</v>
      </c>
      <c r="D1189" s="9">
        <v>48.1</v>
      </c>
      <c r="E1189" s="10">
        <v>50.8</v>
      </c>
      <c r="F1189" s="9">
        <f t="shared" si="70"/>
        <v>14.483099821362476</v>
      </c>
      <c r="G1189" s="9">
        <f t="shared" si="71"/>
        <v>15.310705525440332</v>
      </c>
      <c r="H1189" s="10">
        <f t="shared" si="72"/>
        <v>16.170142218136565</v>
      </c>
      <c r="K1189" s="11">
        <f>_xlfn.XLOOKUP(F1189,Ref!$B$3:$B$12,Ref!$C$3:$C$12,"",1)</f>
        <v>1</v>
      </c>
      <c r="L1189" s="11">
        <f>_xlfn.XLOOKUP(G1189,Ref!$B$3:$B$12,Ref!$C$3:$C$12,"",1)</f>
        <v>1</v>
      </c>
      <c r="M1189" s="11">
        <f>_xlfn.XLOOKUP(H1189,Ref!$B$3:$B$12,Ref!$C$3:$C$12,"",1)</f>
        <v>1</v>
      </c>
    </row>
    <row r="1190" spans="2:13" x14ac:dyDescent="0.25">
      <c r="B1190" s="15" t="s">
        <v>1</v>
      </c>
      <c r="C1190" s="9">
        <v>44.1</v>
      </c>
      <c r="D1190" s="9">
        <v>45.5</v>
      </c>
      <c r="E1190" s="10">
        <v>0</v>
      </c>
      <c r="F1190" s="9">
        <f t="shared" si="70"/>
        <v>14.03746598070517</v>
      </c>
      <c r="G1190" s="9">
        <f t="shared" si="71"/>
        <v>14.483099821362476</v>
      </c>
      <c r="H1190" s="10">
        <f t="shared" si="72"/>
        <v>0</v>
      </c>
      <c r="K1190" s="11">
        <f>_xlfn.XLOOKUP(F1190,Ref!$B$3:$B$12,Ref!$C$3:$C$12,"",1)</f>
        <v>1</v>
      </c>
      <c r="L1190" s="11">
        <f>_xlfn.XLOOKUP(G1190,Ref!$B$3:$B$12,Ref!$C$3:$C$12,"",1)</f>
        <v>1</v>
      </c>
      <c r="M1190" s="11" t="str">
        <f>_xlfn.XLOOKUP(H1190,Ref!$B$3:$B$12,Ref!$C$3:$C$12,"",1)</f>
        <v>Morta</v>
      </c>
    </row>
    <row r="1191" spans="2:13" x14ac:dyDescent="0.25">
      <c r="B1191" s="15" t="s">
        <v>58</v>
      </c>
      <c r="C1191" s="9">
        <v>38.6</v>
      </c>
      <c r="D1191" s="9">
        <v>41.3</v>
      </c>
      <c r="E1191" s="10">
        <v>45.8</v>
      </c>
      <c r="F1191" s="9">
        <f t="shared" si="70"/>
        <v>12.286761606694322</v>
      </c>
      <c r="G1191" s="9">
        <f t="shared" si="71"/>
        <v>13.146198299390555</v>
      </c>
      <c r="H1191" s="10">
        <f t="shared" si="72"/>
        <v>14.578592787217612</v>
      </c>
      <c r="K1191" s="11">
        <f>_xlfn.XLOOKUP(F1191,Ref!$B$3:$B$12,Ref!$C$3:$C$12,"",1)</f>
        <v>1</v>
      </c>
      <c r="L1191" s="11">
        <f>_xlfn.XLOOKUP(G1191,Ref!$B$3:$B$12,Ref!$C$3:$C$12,"",1)</f>
        <v>1</v>
      </c>
      <c r="M1191" s="11">
        <f>_xlfn.XLOOKUP(H1191,Ref!$B$3:$B$12,Ref!$C$3:$C$12,"",1)</f>
        <v>1</v>
      </c>
    </row>
    <row r="1192" spans="2:13" x14ac:dyDescent="0.25">
      <c r="B1192" s="15" t="s">
        <v>43</v>
      </c>
      <c r="C1192" s="9">
        <v>56.2</v>
      </c>
      <c r="D1192" s="9">
        <v>58.4</v>
      </c>
      <c r="E1192" s="10">
        <v>61.6</v>
      </c>
      <c r="F1192" s="9">
        <f t="shared" si="70"/>
        <v>17.889015603529039</v>
      </c>
      <c r="G1192" s="9">
        <f t="shared" si="71"/>
        <v>18.589297353133375</v>
      </c>
      <c r="H1192" s="10">
        <f t="shared" si="72"/>
        <v>19.607888988921506</v>
      </c>
      <c r="K1192" s="11">
        <f>_xlfn.XLOOKUP(F1192,Ref!$B$3:$B$12,Ref!$C$3:$C$12,"",1)</f>
        <v>1</v>
      </c>
      <c r="L1192" s="11">
        <f>_xlfn.XLOOKUP(G1192,Ref!$B$3:$B$12,Ref!$C$3:$C$12,"",1)</f>
        <v>1</v>
      </c>
      <c r="M1192" s="11">
        <f>_xlfn.XLOOKUP(H1192,Ref!$B$3:$B$12,Ref!$C$3:$C$12,"",1)</f>
        <v>1</v>
      </c>
    </row>
    <row r="1193" spans="2:13" x14ac:dyDescent="0.25">
      <c r="B1193" s="15" t="s">
        <v>8</v>
      </c>
      <c r="C1193" s="9">
        <v>58.5</v>
      </c>
      <c r="D1193" s="9">
        <v>63.2</v>
      </c>
      <c r="E1193" s="10">
        <v>67.8</v>
      </c>
      <c r="F1193" s="9">
        <f t="shared" si="70"/>
        <v>18.621128341751756</v>
      </c>
      <c r="G1193" s="9">
        <f t="shared" si="71"/>
        <v>20.117184806815573</v>
      </c>
      <c r="H1193" s="10">
        <f t="shared" si="72"/>
        <v>21.581410283261008</v>
      </c>
      <c r="K1193" s="11">
        <f>_xlfn.XLOOKUP(F1193,Ref!$B$3:$B$12,Ref!$C$3:$C$12,"",1)</f>
        <v>1</v>
      </c>
      <c r="L1193" s="11">
        <f>_xlfn.XLOOKUP(G1193,Ref!$B$3:$B$12,Ref!$C$3:$C$12,"",1)</f>
        <v>2</v>
      </c>
      <c r="M1193" s="11">
        <f>_xlfn.XLOOKUP(H1193,Ref!$B$3:$B$12,Ref!$C$3:$C$12,"",1)</f>
        <v>2</v>
      </c>
    </row>
    <row r="1194" spans="2:13" x14ac:dyDescent="0.25">
      <c r="B1194" s="15" t="s">
        <v>82</v>
      </c>
      <c r="C1194" s="9">
        <v>47.4</v>
      </c>
      <c r="D1194" s="9">
        <v>54.6</v>
      </c>
      <c r="E1194" s="10">
        <v>59</v>
      </c>
      <c r="F1194" s="9">
        <f t="shared" si="70"/>
        <v>15.087888605111678</v>
      </c>
      <c r="G1194" s="9">
        <f t="shared" si="71"/>
        <v>17.379719785634972</v>
      </c>
      <c r="H1194" s="10">
        <f t="shared" si="72"/>
        <v>18.780283284843652</v>
      </c>
      <c r="K1194" s="11">
        <f>_xlfn.XLOOKUP(F1194,Ref!$B$3:$B$12,Ref!$C$3:$C$12,"",1)</f>
        <v>1</v>
      </c>
      <c r="L1194" s="11">
        <f>_xlfn.XLOOKUP(G1194,Ref!$B$3:$B$12,Ref!$C$3:$C$12,"",1)</f>
        <v>1</v>
      </c>
      <c r="M1194" s="11">
        <f>_xlfn.XLOOKUP(H1194,Ref!$B$3:$B$12,Ref!$C$3:$C$12,"",1)</f>
        <v>1</v>
      </c>
    </row>
    <row r="1195" spans="2:13" x14ac:dyDescent="0.25">
      <c r="B1195" s="15" t="s">
        <v>43</v>
      </c>
      <c r="C1195" s="9">
        <v>40.9</v>
      </c>
      <c r="D1195" s="9">
        <v>40.799999999999997</v>
      </c>
      <c r="E1195" s="10">
        <v>40.5</v>
      </c>
      <c r="F1195" s="9">
        <f t="shared" si="70"/>
        <v>13.018874344917039</v>
      </c>
      <c r="G1195" s="9">
        <f t="shared" si="71"/>
        <v>12.98704335629866</v>
      </c>
      <c r="H1195" s="10">
        <f t="shared" si="72"/>
        <v>12.891550390443523</v>
      </c>
      <c r="K1195" s="11">
        <f>_xlfn.XLOOKUP(F1195,Ref!$B$3:$B$12,Ref!$C$3:$C$12,"",1)</f>
        <v>1</v>
      </c>
      <c r="L1195" s="11">
        <f>_xlfn.XLOOKUP(G1195,Ref!$B$3:$B$12,Ref!$C$3:$C$12,"",1)</f>
        <v>1</v>
      </c>
      <c r="M1195" s="11">
        <f>_xlfn.XLOOKUP(H1195,Ref!$B$3:$B$12,Ref!$C$3:$C$12,"",1)</f>
        <v>1</v>
      </c>
    </row>
    <row r="1196" spans="2:13" x14ac:dyDescent="0.25">
      <c r="B1196" s="15" t="s">
        <v>43</v>
      </c>
      <c r="C1196" s="9">
        <v>35.799999999999997</v>
      </c>
      <c r="D1196" s="9">
        <v>39.1</v>
      </c>
      <c r="E1196" s="10">
        <v>38.6</v>
      </c>
      <c r="F1196" s="9">
        <f t="shared" si="70"/>
        <v>11.395493925379705</v>
      </c>
      <c r="G1196" s="9">
        <f t="shared" si="71"/>
        <v>12.445916549786217</v>
      </c>
      <c r="H1196" s="10">
        <f t="shared" si="72"/>
        <v>12.286761606694322</v>
      </c>
      <c r="K1196" s="11">
        <f>_xlfn.XLOOKUP(F1196,Ref!$B$3:$B$12,Ref!$C$3:$C$12,"",1)</f>
        <v>1</v>
      </c>
      <c r="L1196" s="11">
        <f>_xlfn.XLOOKUP(G1196,Ref!$B$3:$B$12,Ref!$C$3:$C$12,"",1)</f>
        <v>1</v>
      </c>
      <c r="M1196" s="11">
        <f>_xlfn.XLOOKUP(H1196,Ref!$B$3:$B$12,Ref!$C$3:$C$12,"",1)</f>
        <v>1</v>
      </c>
    </row>
    <row r="1197" spans="2:13" x14ac:dyDescent="0.25">
      <c r="B1197" s="15" t="s">
        <v>13</v>
      </c>
      <c r="C1197" s="9">
        <v>44.7</v>
      </c>
      <c r="D1197" s="9">
        <v>48.9</v>
      </c>
      <c r="E1197" s="10">
        <v>53</v>
      </c>
      <c r="F1197" s="9">
        <f t="shared" si="70"/>
        <v>14.228451912415444</v>
      </c>
      <c r="G1197" s="9">
        <f t="shared" si="71"/>
        <v>15.565353434387363</v>
      </c>
      <c r="H1197" s="10">
        <f t="shared" si="72"/>
        <v>16.870423967740905</v>
      </c>
      <c r="K1197" s="11">
        <f>_xlfn.XLOOKUP(F1197,Ref!$B$3:$B$12,Ref!$C$3:$C$12,"",1)</f>
        <v>1</v>
      </c>
      <c r="L1197" s="11">
        <f>_xlfn.XLOOKUP(G1197,Ref!$B$3:$B$12,Ref!$C$3:$C$12,"",1)</f>
        <v>1</v>
      </c>
      <c r="M1197" s="11">
        <f>_xlfn.XLOOKUP(H1197,Ref!$B$3:$B$12,Ref!$C$3:$C$12,"",1)</f>
        <v>1</v>
      </c>
    </row>
    <row r="1198" spans="2:13" x14ac:dyDescent="0.25">
      <c r="B1198" s="15" t="s">
        <v>23</v>
      </c>
      <c r="C1198" s="9">
        <v>46.8</v>
      </c>
      <c r="D1198" s="9">
        <v>46</v>
      </c>
      <c r="E1198" s="10">
        <v>46.8</v>
      </c>
      <c r="F1198" s="9">
        <f t="shared" si="70"/>
        <v>14.896902673401403</v>
      </c>
      <c r="G1198" s="9">
        <f t="shared" si="71"/>
        <v>14.642254764454371</v>
      </c>
      <c r="H1198" s="10">
        <f t="shared" si="72"/>
        <v>14.896902673401403</v>
      </c>
      <c r="K1198" s="11">
        <f>_xlfn.XLOOKUP(F1198,Ref!$B$3:$B$12,Ref!$C$3:$C$12,"",1)</f>
        <v>1</v>
      </c>
      <c r="L1198" s="11">
        <f>_xlfn.XLOOKUP(G1198,Ref!$B$3:$B$12,Ref!$C$3:$C$12,"",1)</f>
        <v>1</v>
      </c>
      <c r="M1198" s="11">
        <f>_xlfn.XLOOKUP(H1198,Ref!$B$3:$B$12,Ref!$C$3:$C$12,"",1)</f>
        <v>1</v>
      </c>
    </row>
    <row r="1199" spans="2:13" x14ac:dyDescent="0.25">
      <c r="B1199" s="15" t="s">
        <v>69</v>
      </c>
      <c r="C1199" s="9"/>
      <c r="D1199" s="9">
        <v>31.6</v>
      </c>
      <c r="E1199" s="10">
        <v>33.1</v>
      </c>
      <c r="F1199" s="9" t="str">
        <f t="shared" si="70"/>
        <v/>
      </c>
      <c r="G1199" s="9">
        <f t="shared" si="71"/>
        <v>10.058592403407786</v>
      </c>
      <c r="H1199" s="10">
        <f t="shared" si="72"/>
        <v>10.536057232683472</v>
      </c>
      <c r="K1199" s="11" t="str">
        <f>_xlfn.XLOOKUP(F1199,Ref!$B$3:$B$12,Ref!$C$3:$C$12,"",1)</f>
        <v/>
      </c>
      <c r="L1199" s="11">
        <f>_xlfn.XLOOKUP(G1199,Ref!$B$3:$B$12,Ref!$C$3:$C$12,"",1)</f>
        <v>1</v>
      </c>
      <c r="M1199" s="11">
        <f>_xlfn.XLOOKUP(H1199,Ref!$B$3:$B$12,Ref!$C$3:$C$12,"",1)</f>
        <v>1</v>
      </c>
    </row>
    <row r="1200" spans="2:13" x14ac:dyDescent="0.25">
      <c r="B1200" s="15" t="s">
        <v>12</v>
      </c>
      <c r="C1200" s="9"/>
      <c r="D1200" s="9">
        <v>32.299999999999997</v>
      </c>
      <c r="E1200" s="10">
        <v>33</v>
      </c>
      <c r="F1200" s="9" t="str">
        <f t="shared" si="70"/>
        <v/>
      </c>
      <c r="G1200" s="9">
        <f t="shared" si="71"/>
        <v>10.281409323736439</v>
      </c>
      <c r="H1200" s="10">
        <f t="shared" si="72"/>
        <v>10.504226244065093</v>
      </c>
      <c r="K1200" s="11" t="str">
        <f>_xlfn.XLOOKUP(F1200,Ref!$B$3:$B$12,Ref!$C$3:$C$12,"",1)</f>
        <v/>
      </c>
      <c r="L1200" s="11">
        <f>_xlfn.XLOOKUP(G1200,Ref!$B$3:$B$12,Ref!$C$3:$C$12,"",1)</f>
        <v>1</v>
      </c>
      <c r="M1200" s="11">
        <f>_xlfn.XLOOKUP(H1200,Ref!$B$3:$B$12,Ref!$C$3:$C$12,"",1)</f>
        <v>1</v>
      </c>
    </row>
    <row r="1201" spans="2:13" x14ac:dyDescent="0.25">
      <c r="B1201" s="15" t="s">
        <v>60</v>
      </c>
      <c r="C1201" s="9">
        <v>50.3</v>
      </c>
      <c r="D1201" s="9">
        <v>57</v>
      </c>
      <c r="E1201" s="10">
        <v>61.1</v>
      </c>
      <c r="F1201" s="9">
        <f t="shared" si="70"/>
        <v>16.01098727504467</v>
      </c>
      <c r="G1201" s="9">
        <f t="shared" si="71"/>
        <v>18.143663512476071</v>
      </c>
      <c r="H1201" s="10">
        <f t="shared" si="72"/>
        <v>19.44873404582961</v>
      </c>
      <c r="K1201" s="11">
        <f>_xlfn.XLOOKUP(F1201,Ref!$B$3:$B$12,Ref!$C$3:$C$12,"",1)</f>
        <v>1</v>
      </c>
      <c r="L1201" s="11">
        <f>_xlfn.XLOOKUP(G1201,Ref!$B$3:$B$12,Ref!$C$3:$C$12,"",1)</f>
        <v>1</v>
      </c>
      <c r="M1201" s="11">
        <f>_xlfn.XLOOKUP(H1201,Ref!$B$3:$B$12,Ref!$C$3:$C$12,"",1)</f>
        <v>1</v>
      </c>
    </row>
    <row r="1202" spans="2:13" x14ac:dyDescent="0.25">
      <c r="B1202" s="15" t="s">
        <v>12</v>
      </c>
      <c r="C1202" s="9">
        <v>39.700000000000003</v>
      </c>
      <c r="D1202" s="9">
        <v>44.5</v>
      </c>
      <c r="E1202" s="10">
        <v>47.3</v>
      </c>
      <c r="F1202" s="9">
        <f t="shared" si="70"/>
        <v>12.636902481496492</v>
      </c>
      <c r="G1202" s="9">
        <f t="shared" si="71"/>
        <v>14.164789935178685</v>
      </c>
      <c r="H1202" s="10">
        <f t="shared" si="72"/>
        <v>15.056057616493298</v>
      </c>
      <c r="K1202" s="11">
        <f>_xlfn.XLOOKUP(F1202,Ref!$B$3:$B$12,Ref!$C$3:$C$12,"",1)</f>
        <v>1</v>
      </c>
      <c r="L1202" s="11">
        <f>_xlfn.XLOOKUP(G1202,Ref!$B$3:$B$12,Ref!$C$3:$C$12,"",1)</f>
        <v>1</v>
      </c>
      <c r="M1202" s="11">
        <f>_xlfn.XLOOKUP(H1202,Ref!$B$3:$B$12,Ref!$C$3:$C$12,"",1)</f>
        <v>1</v>
      </c>
    </row>
    <row r="1203" spans="2:13" x14ac:dyDescent="0.25">
      <c r="B1203" s="15" t="s">
        <v>12</v>
      </c>
      <c r="C1203" s="9"/>
      <c r="D1203" s="9"/>
      <c r="E1203" s="10">
        <v>31.9</v>
      </c>
      <c r="F1203" s="9" t="str">
        <f t="shared" si="70"/>
        <v/>
      </c>
      <c r="G1203" s="9" t="str">
        <f t="shared" si="71"/>
        <v/>
      </c>
      <c r="H1203" s="10">
        <f t="shared" si="72"/>
        <v>10.154085369262923</v>
      </c>
      <c r="K1203" s="11" t="str">
        <f>_xlfn.XLOOKUP(F1203,Ref!$B$3:$B$12,Ref!$C$3:$C$12,"",1)</f>
        <v/>
      </c>
      <c r="L1203" s="11" t="str">
        <f>_xlfn.XLOOKUP(G1203,Ref!$B$3:$B$12,Ref!$C$3:$C$12,"",1)</f>
        <v/>
      </c>
      <c r="M1203" s="11">
        <f>_xlfn.XLOOKUP(H1203,Ref!$B$3:$B$12,Ref!$C$3:$C$12,"",1)</f>
        <v>1</v>
      </c>
    </row>
    <row r="1204" spans="2:13" x14ac:dyDescent="0.25">
      <c r="B1204" s="15" t="s">
        <v>14</v>
      </c>
      <c r="C1204" s="9">
        <v>55</v>
      </c>
      <c r="D1204" s="9">
        <v>64.8</v>
      </c>
      <c r="E1204" s="10">
        <v>74.099999999999994</v>
      </c>
      <c r="F1204" s="9">
        <f t="shared" si="70"/>
        <v>17.507043740108486</v>
      </c>
      <c r="G1204" s="9">
        <f t="shared" si="71"/>
        <v>20.626480624709636</v>
      </c>
      <c r="H1204" s="10">
        <f t="shared" si="72"/>
        <v>23.586762566218887</v>
      </c>
      <c r="K1204" s="11">
        <f>_xlfn.XLOOKUP(F1204,Ref!$B$3:$B$12,Ref!$C$3:$C$12,"",1)</f>
        <v>1</v>
      </c>
      <c r="L1204" s="11">
        <f>_xlfn.XLOOKUP(G1204,Ref!$B$3:$B$12,Ref!$C$3:$C$12,"",1)</f>
        <v>2</v>
      </c>
      <c r="M1204" s="11">
        <f>_xlfn.XLOOKUP(H1204,Ref!$B$3:$B$12,Ref!$C$3:$C$12,"",1)</f>
        <v>2</v>
      </c>
    </row>
    <row r="1205" spans="2:13" x14ac:dyDescent="0.25">
      <c r="B1205" s="15" t="s">
        <v>27</v>
      </c>
      <c r="C1205" s="9">
        <v>39.9</v>
      </c>
      <c r="D1205" s="9">
        <v>39.799999999999997</v>
      </c>
      <c r="E1205" s="10">
        <v>43</v>
      </c>
      <c r="F1205" s="9">
        <f t="shared" ref="F1205:F1259" si="73">IF(C1205="", "", C1205/PI())</f>
        <v>12.700564458733249</v>
      </c>
      <c r="G1205" s="9">
        <f t="shared" ref="G1205:G1259" si="74">IF(D1205="", "", D1205/PI())</f>
        <v>12.668733470114868</v>
      </c>
      <c r="H1205" s="10">
        <f t="shared" ref="H1205:H1259" si="75">IF(E1205="", "", E1205/PI())</f>
        <v>13.687325105903</v>
      </c>
      <c r="K1205" s="11">
        <f>_xlfn.XLOOKUP(F1205,Ref!$B$3:$B$12,Ref!$C$3:$C$12,"",1)</f>
        <v>1</v>
      </c>
      <c r="L1205" s="11">
        <f>_xlfn.XLOOKUP(G1205,Ref!$B$3:$B$12,Ref!$C$3:$C$12,"",1)</f>
        <v>1</v>
      </c>
      <c r="M1205" s="11">
        <f>_xlfn.XLOOKUP(H1205,Ref!$B$3:$B$12,Ref!$C$3:$C$12,"",1)</f>
        <v>1</v>
      </c>
    </row>
    <row r="1206" spans="2:13" x14ac:dyDescent="0.25">
      <c r="B1206" s="15" t="s">
        <v>76</v>
      </c>
      <c r="C1206" s="9">
        <v>54.8</v>
      </c>
      <c r="D1206" s="9">
        <v>56.1</v>
      </c>
      <c r="E1206" s="10">
        <v>56.8</v>
      </c>
      <c r="F1206" s="9">
        <f t="shared" si="73"/>
        <v>17.443381762871727</v>
      </c>
      <c r="G1206" s="9">
        <f t="shared" si="74"/>
        <v>17.857184614910658</v>
      </c>
      <c r="H1206" s="10">
        <f t="shared" si="75"/>
        <v>18.080001535239308</v>
      </c>
      <c r="K1206" s="11">
        <f>_xlfn.XLOOKUP(F1206,Ref!$B$3:$B$12,Ref!$C$3:$C$12,"",1)</f>
        <v>1</v>
      </c>
      <c r="L1206" s="11">
        <f>_xlfn.XLOOKUP(G1206,Ref!$B$3:$B$12,Ref!$C$3:$C$12,"",1)</f>
        <v>1</v>
      </c>
      <c r="M1206" s="11">
        <f>_xlfn.XLOOKUP(H1206,Ref!$B$3:$B$12,Ref!$C$3:$C$12,"",1)</f>
        <v>1</v>
      </c>
    </row>
    <row r="1207" spans="2:13" x14ac:dyDescent="0.25">
      <c r="B1207" s="15" t="s">
        <v>84</v>
      </c>
      <c r="C1207" s="9">
        <v>33.299999999999997</v>
      </c>
      <c r="D1207" s="9">
        <v>0</v>
      </c>
      <c r="E1207" s="10">
        <v>0</v>
      </c>
      <c r="F1207" s="9">
        <f t="shared" si="73"/>
        <v>10.599719209920229</v>
      </c>
      <c r="G1207" s="9">
        <f t="shared" si="74"/>
        <v>0</v>
      </c>
      <c r="H1207" s="10">
        <f t="shared" si="75"/>
        <v>0</v>
      </c>
      <c r="K1207" s="11">
        <f>_xlfn.XLOOKUP(F1207,Ref!$B$3:$B$12,Ref!$C$3:$C$12,"",1)</f>
        <v>1</v>
      </c>
      <c r="L1207" s="11" t="str">
        <f>_xlfn.XLOOKUP(G1207,Ref!$B$3:$B$12,Ref!$C$3:$C$12,"",1)</f>
        <v>Morta</v>
      </c>
      <c r="M1207" s="11" t="str">
        <f>_xlfn.XLOOKUP(H1207,Ref!$B$3:$B$12,Ref!$C$3:$C$12,"",1)</f>
        <v>Morta</v>
      </c>
    </row>
    <row r="1208" spans="2:13" x14ac:dyDescent="0.25">
      <c r="B1208" s="15" t="s">
        <v>68</v>
      </c>
      <c r="C1208" s="9">
        <v>40.9</v>
      </c>
      <c r="D1208" s="9">
        <v>48.8</v>
      </c>
      <c r="E1208" s="10">
        <v>52.7</v>
      </c>
      <c r="F1208" s="9">
        <f t="shared" si="73"/>
        <v>13.018874344917039</v>
      </c>
      <c r="G1208" s="9">
        <f t="shared" si="74"/>
        <v>15.533522445768984</v>
      </c>
      <c r="H1208" s="10">
        <f t="shared" si="75"/>
        <v>16.774931001885768</v>
      </c>
      <c r="K1208" s="11">
        <f>_xlfn.XLOOKUP(F1208,Ref!$B$3:$B$12,Ref!$C$3:$C$12,"",1)</f>
        <v>1</v>
      </c>
      <c r="L1208" s="11">
        <f>_xlfn.XLOOKUP(G1208,Ref!$B$3:$B$12,Ref!$C$3:$C$12,"",1)</f>
        <v>1</v>
      </c>
      <c r="M1208" s="11">
        <f>_xlfn.XLOOKUP(H1208,Ref!$B$3:$B$12,Ref!$C$3:$C$12,"",1)</f>
        <v>1</v>
      </c>
    </row>
    <row r="1209" spans="2:13" x14ac:dyDescent="0.25">
      <c r="B1209" s="15" t="s">
        <v>46</v>
      </c>
      <c r="C1209" s="9">
        <v>40.5</v>
      </c>
      <c r="D1209" s="9">
        <v>44</v>
      </c>
      <c r="E1209" s="10">
        <v>48.9</v>
      </c>
      <c r="F1209" s="9">
        <f t="shared" si="73"/>
        <v>12.891550390443523</v>
      </c>
      <c r="G1209" s="9">
        <f t="shared" si="74"/>
        <v>14.00563499208679</v>
      </c>
      <c r="H1209" s="10">
        <f t="shared" si="75"/>
        <v>15.565353434387363</v>
      </c>
      <c r="K1209" s="11">
        <f>_xlfn.XLOOKUP(F1209,Ref!$B$3:$B$12,Ref!$C$3:$C$12,"",1)</f>
        <v>1</v>
      </c>
      <c r="L1209" s="11">
        <f>_xlfn.XLOOKUP(G1209,Ref!$B$3:$B$12,Ref!$C$3:$C$12,"",1)</f>
        <v>1</v>
      </c>
      <c r="M1209" s="11">
        <f>_xlfn.XLOOKUP(H1209,Ref!$B$3:$B$12,Ref!$C$3:$C$12,"",1)</f>
        <v>1</v>
      </c>
    </row>
    <row r="1210" spans="2:13" x14ac:dyDescent="0.25">
      <c r="B1210" s="15" t="s">
        <v>27</v>
      </c>
      <c r="C1210" s="9">
        <v>32.799999999999997</v>
      </c>
      <c r="D1210" s="9">
        <v>34.5</v>
      </c>
      <c r="E1210" s="10">
        <v>35.1</v>
      </c>
      <c r="F1210" s="9">
        <f t="shared" si="73"/>
        <v>10.440564266828334</v>
      </c>
      <c r="G1210" s="9">
        <f t="shared" si="74"/>
        <v>10.981691073340778</v>
      </c>
      <c r="H1210" s="10">
        <f t="shared" si="75"/>
        <v>11.172677005051053</v>
      </c>
      <c r="K1210" s="11">
        <f>_xlfn.XLOOKUP(F1210,Ref!$B$3:$B$12,Ref!$C$3:$C$12,"",1)</f>
        <v>1</v>
      </c>
      <c r="L1210" s="11">
        <f>_xlfn.XLOOKUP(G1210,Ref!$B$3:$B$12,Ref!$C$3:$C$12,"",1)</f>
        <v>1</v>
      </c>
      <c r="M1210" s="11">
        <f>_xlfn.XLOOKUP(H1210,Ref!$B$3:$B$12,Ref!$C$3:$C$12,"",1)</f>
        <v>1</v>
      </c>
    </row>
    <row r="1211" spans="2:13" x14ac:dyDescent="0.25">
      <c r="B1211" s="15" t="s">
        <v>65</v>
      </c>
      <c r="C1211" s="9">
        <v>53.2</v>
      </c>
      <c r="D1211" s="9">
        <v>58.8</v>
      </c>
      <c r="E1211" s="10">
        <v>62</v>
      </c>
      <c r="F1211" s="9">
        <f t="shared" si="73"/>
        <v>16.934085944977664</v>
      </c>
      <c r="G1211" s="9">
        <f t="shared" si="74"/>
        <v>18.716621307606893</v>
      </c>
      <c r="H1211" s="10">
        <f t="shared" si="75"/>
        <v>19.735212943395023</v>
      </c>
      <c r="K1211" s="11">
        <f>_xlfn.XLOOKUP(F1211,Ref!$B$3:$B$12,Ref!$C$3:$C$12,"",1)</f>
        <v>1</v>
      </c>
      <c r="L1211" s="11">
        <f>_xlfn.XLOOKUP(G1211,Ref!$B$3:$B$12,Ref!$C$3:$C$12,"",1)</f>
        <v>1</v>
      </c>
      <c r="M1211" s="11">
        <f>_xlfn.XLOOKUP(H1211,Ref!$B$3:$B$12,Ref!$C$3:$C$12,"",1)</f>
        <v>1</v>
      </c>
    </row>
    <row r="1212" spans="2:13" x14ac:dyDescent="0.25">
      <c r="B1212" s="15" t="s">
        <v>46</v>
      </c>
      <c r="C1212" s="9">
        <v>91.2</v>
      </c>
      <c r="D1212" s="9">
        <v>96.5</v>
      </c>
      <c r="E1212" s="10">
        <v>0</v>
      </c>
      <c r="F1212" s="9">
        <f t="shared" si="73"/>
        <v>29.029861619961711</v>
      </c>
      <c r="G1212" s="9">
        <f t="shared" si="74"/>
        <v>30.7169040167358</v>
      </c>
      <c r="H1212" s="10">
        <f t="shared" si="75"/>
        <v>0</v>
      </c>
      <c r="K1212" s="11">
        <f>_xlfn.XLOOKUP(F1212,Ref!$B$3:$B$12,Ref!$C$3:$C$12,"",1)</f>
        <v>2</v>
      </c>
      <c r="L1212" s="11">
        <f>_xlfn.XLOOKUP(G1212,Ref!$B$3:$B$12,Ref!$C$3:$C$12,"",1)</f>
        <v>3</v>
      </c>
      <c r="M1212" s="11" t="str">
        <f>_xlfn.XLOOKUP(H1212,Ref!$B$3:$B$12,Ref!$C$3:$C$12,"",1)</f>
        <v>Morta</v>
      </c>
    </row>
    <row r="1213" spans="2:13" x14ac:dyDescent="0.25">
      <c r="B1213" s="15" t="s">
        <v>37</v>
      </c>
      <c r="C1213" s="9">
        <v>50.8</v>
      </c>
      <c r="D1213" s="9">
        <v>52.9</v>
      </c>
      <c r="E1213" s="10">
        <v>54.3</v>
      </c>
      <c r="F1213" s="9">
        <f t="shared" si="73"/>
        <v>16.170142218136565</v>
      </c>
      <c r="G1213" s="9">
        <f t="shared" si="74"/>
        <v>16.838592979122527</v>
      </c>
      <c r="H1213" s="10">
        <f t="shared" si="75"/>
        <v>17.284226819779832</v>
      </c>
      <c r="K1213" s="11">
        <f>_xlfn.XLOOKUP(F1213,Ref!$B$3:$B$12,Ref!$C$3:$C$12,"",1)</f>
        <v>1</v>
      </c>
      <c r="L1213" s="11">
        <f>_xlfn.XLOOKUP(G1213,Ref!$B$3:$B$12,Ref!$C$3:$C$12,"",1)</f>
        <v>1</v>
      </c>
      <c r="M1213" s="11">
        <f>_xlfn.XLOOKUP(H1213,Ref!$B$3:$B$12,Ref!$C$3:$C$12,"",1)</f>
        <v>1</v>
      </c>
    </row>
    <row r="1214" spans="2:13" x14ac:dyDescent="0.25">
      <c r="B1214" s="15" t="s">
        <v>76</v>
      </c>
      <c r="C1214" s="9">
        <v>33.6</v>
      </c>
      <c r="D1214" s="9">
        <v>34.799999999999997</v>
      </c>
      <c r="E1214" s="10">
        <v>34.9</v>
      </c>
      <c r="F1214" s="9">
        <f t="shared" si="73"/>
        <v>10.695212175775367</v>
      </c>
      <c r="G1214" s="9">
        <f t="shared" si="74"/>
        <v>11.077184039195915</v>
      </c>
      <c r="H1214" s="10">
        <f t="shared" si="75"/>
        <v>11.109015027814294</v>
      </c>
      <c r="K1214" s="11">
        <f>_xlfn.XLOOKUP(F1214,Ref!$B$3:$B$12,Ref!$C$3:$C$12,"",1)</f>
        <v>1</v>
      </c>
      <c r="L1214" s="11">
        <f>_xlfn.XLOOKUP(G1214,Ref!$B$3:$B$12,Ref!$C$3:$C$12,"",1)</f>
        <v>1</v>
      </c>
      <c r="M1214" s="11">
        <f>_xlfn.XLOOKUP(H1214,Ref!$B$3:$B$12,Ref!$C$3:$C$12,"",1)</f>
        <v>1</v>
      </c>
    </row>
    <row r="1215" spans="2:13" x14ac:dyDescent="0.25">
      <c r="B1215" s="15" t="s">
        <v>12</v>
      </c>
      <c r="C1215" s="9">
        <v>37.299999999999997</v>
      </c>
      <c r="D1215" s="9">
        <v>41.5</v>
      </c>
      <c r="E1215" s="10">
        <v>44.2</v>
      </c>
      <c r="F1215" s="9">
        <f t="shared" si="73"/>
        <v>11.872958754655391</v>
      </c>
      <c r="G1215" s="9">
        <f t="shared" si="74"/>
        <v>13.209860276627314</v>
      </c>
      <c r="H1215" s="10">
        <f t="shared" si="75"/>
        <v>14.069296969323549</v>
      </c>
      <c r="K1215" s="11">
        <f>_xlfn.XLOOKUP(F1215,Ref!$B$3:$B$12,Ref!$C$3:$C$12,"",1)</f>
        <v>1</v>
      </c>
      <c r="L1215" s="11">
        <f>_xlfn.XLOOKUP(G1215,Ref!$B$3:$B$12,Ref!$C$3:$C$12,"",1)</f>
        <v>1</v>
      </c>
      <c r="M1215" s="11">
        <f>_xlfn.XLOOKUP(H1215,Ref!$B$3:$B$12,Ref!$C$3:$C$12,"",1)</f>
        <v>1</v>
      </c>
    </row>
    <row r="1216" spans="2:13" x14ac:dyDescent="0.25">
      <c r="B1216" s="15" t="s">
        <v>8</v>
      </c>
      <c r="C1216" s="9">
        <v>34.4</v>
      </c>
      <c r="D1216" s="9">
        <v>38.5</v>
      </c>
      <c r="E1216" s="10">
        <v>41.1</v>
      </c>
      <c r="F1216" s="9">
        <f t="shared" si="73"/>
        <v>10.949860084722399</v>
      </c>
      <c r="G1216" s="9">
        <f t="shared" si="74"/>
        <v>12.254930618075941</v>
      </c>
      <c r="H1216" s="10">
        <f t="shared" si="75"/>
        <v>13.082536322153798</v>
      </c>
      <c r="K1216" s="11">
        <f>_xlfn.XLOOKUP(F1216,Ref!$B$3:$B$12,Ref!$C$3:$C$12,"",1)</f>
        <v>1</v>
      </c>
      <c r="L1216" s="11">
        <f>_xlfn.XLOOKUP(G1216,Ref!$B$3:$B$12,Ref!$C$3:$C$12,"",1)</f>
        <v>1</v>
      </c>
      <c r="M1216" s="11">
        <f>_xlfn.XLOOKUP(H1216,Ref!$B$3:$B$12,Ref!$C$3:$C$12,"",1)</f>
        <v>1</v>
      </c>
    </row>
    <row r="1217" spans="2:13" x14ac:dyDescent="0.25">
      <c r="B1217" s="15" t="s">
        <v>43</v>
      </c>
      <c r="C1217" s="9">
        <v>35.700000000000003</v>
      </c>
      <c r="D1217" s="9">
        <v>38.9</v>
      </c>
      <c r="E1217" s="10">
        <v>41.1</v>
      </c>
      <c r="F1217" s="9">
        <f t="shared" si="73"/>
        <v>11.363662936761328</v>
      </c>
      <c r="G1217" s="9">
        <f t="shared" si="74"/>
        <v>12.382254572549456</v>
      </c>
      <c r="H1217" s="10">
        <f t="shared" si="75"/>
        <v>13.082536322153798</v>
      </c>
      <c r="K1217" s="11">
        <f>_xlfn.XLOOKUP(F1217,Ref!$B$3:$B$12,Ref!$C$3:$C$12,"",1)</f>
        <v>1</v>
      </c>
      <c r="L1217" s="11">
        <f>_xlfn.XLOOKUP(G1217,Ref!$B$3:$B$12,Ref!$C$3:$C$12,"",1)</f>
        <v>1</v>
      </c>
      <c r="M1217" s="11">
        <f>_xlfn.XLOOKUP(H1217,Ref!$B$3:$B$12,Ref!$C$3:$C$12,"",1)</f>
        <v>1</v>
      </c>
    </row>
    <row r="1218" spans="2:13" x14ac:dyDescent="0.25">
      <c r="B1218" s="15" t="s">
        <v>8</v>
      </c>
      <c r="C1218" s="9">
        <v>34.799999999999997</v>
      </c>
      <c r="D1218" s="9">
        <v>35</v>
      </c>
      <c r="E1218" s="10">
        <v>35.1</v>
      </c>
      <c r="F1218" s="9">
        <f t="shared" si="73"/>
        <v>11.077184039195915</v>
      </c>
      <c r="G1218" s="9">
        <f t="shared" si="74"/>
        <v>11.140846016432674</v>
      </c>
      <c r="H1218" s="10">
        <f t="shared" si="75"/>
        <v>11.172677005051053</v>
      </c>
      <c r="K1218" s="11">
        <f>_xlfn.XLOOKUP(F1218,Ref!$B$3:$B$12,Ref!$C$3:$C$12,"",1)</f>
        <v>1</v>
      </c>
      <c r="L1218" s="11">
        <f>_xlfn.XLOOKUP(G1218,Ref!$B$3:$B$12,Ref!$C$3:$C$12,"",1)</f>
        <v>1</v>
      </c>
      <c r="M1218" s="11">
        <f>_xlfn.XLOOKUP(H1218,Ref!$B$3:$B$12,Ref!$C$3:$C$12,"",1)</f>
        <v>1</v>
      </c>
    </row>
    <row r="1219" spans="2:13" x14ac:dyDescent="0.25">
      <c r="B1219" s="15" t="s">
        <v>32</v>
      </c>
      <c r="C1219" s="9">
        <v>45.2</v>
      </c>
      <c r="D1219" s="9">
        <v>47.4</v>
      </c>
      <c r="E1219" s="10">
        <v>48.8</v>
      </c>
      <c r="F1219" s="9">
        <f t="shared" si="73"/>
        <v>14.38760685550734</v>
      </c>
      <c r="G1219" s="9">
        <f t="shared" si="74"/>
        <v>15.087888605111678</v>
      </c>
      <c r="H1219" s="10">
        <f t="shared" si="75"/>
        <v>15.533522445768984</v>
      </c>
      <c r="K1219" s="11">
        <f>_xlfn.XLOOKUP(F1219,Ref!$B$3:$B$12,Ref!$C$3:$C$12,"",1)</f>
        <v>1</v>
      </c>
      <c r="L1219" s="11">
        <f>_xlfn.XLOOKUP(G1219,Ref!$B$3:$B$12,Ref!$C$3:$C$12,"",1)</f>
        <v>1</v>
      </c>
      <c r="M1219" s="11">
        <f>_xlfn.XLOOKUP(H1219,Ref!$B$3:$B$12,Ref!$C$3:$C$12,"",1)</f>
        <v>1</v>
      </c>
    </row>
    <row r="1220" spans="2:13" x14ac:dyDescent="0.25">
      <c r="B1220" s="15" t="s">
        <v>26</v>
      </c>
      <c r="C1220" s="9">
        <v>164.2</v>
      </c>
      <c r="D1220" s="9">
        <v>171</v>
      </c>
      <c r="E1220" s="10">
        <v>181</v>
      </c>
      <c r="F1220" s="9">
        <f t="shared" si="73"/>
        <v>52.26648331137843</v>
      </c>
      <c r="G1220" s="9">
        <f t="shared" si="74"/>
        <v>54.430990537428208</v>
      </c>
      <c r="H1220" s="10">
        <f t="shared" si="75"/>
        <v>57.614089399266113</v>
      </c>
      <c r="K1220" s="11">
        <f>_xlfn.XLOOKUP(F1220,Ref!$B$3:$B$12,Ref!$C$3:$C$12,"",1)</f>
        <v>5</v>
      </c>
      <c r="L1220" s="11">
        <f>_xlfn.XLOOKUP(G1220,Ref!$B$3:$B$12,Ref!$C$3:$C$12,"",1)</f>
        <v>5</v>
      </c>
      <c r="M1220" s="11">
        <f>_xlfn.XLOOKUP(H1220,Ref!$B$3:$B$12,Ref!$C$3:$C$12,"",1)</f>
        <v>5</v>
      </c>
    </row>
    <row r="1221" spans="2:13" x14ac:dyDescent="0.25">
      <c r="B1221" s="15" t="s">
        <v>25</v>
      </c>
      <c r="C1221" s="9">
        <v>47.6</v>
      </c>
      <c r="D1221" s="9">
        <v>51.4</v>
      </c>
      <c r="E1221" s="10">
        <v>51</v>
      </c>
      <c r="F1221" s="9">
        <f t="shared" si="73"/>
        <v>15.151550582348436</v>
      </c>
      <c r="G1221" s="9">
        <f t="shared" si="74"/>
        <v>16.361128149846841</v>
      </c>
      <c r="H1221" s="10">
        <f t="shared" si="75"/>
        <v>16.233804195373324</v>
      </c>
      <c r="K1221" s="11">
        <f>_xlfn.XLOOKUP(F1221,Ref!$B$3:$B$12,Ref!$C$3:$C$12,"",1)</f>
        <v>1</v>
      </c>
      <c r="L1221" s="11">
        <f>_xlfn.XLOOKUP(G1221,Ref!$B$3:$B$12,Ref!$C$3:$C$12,"",1)</f>
        <v>1</v>
      </c>
      <c r="M1221" s="11">
        <f>_xlfn.XLOOKUP(H1221,Ref!$B$3:$B$12,Ref!$C$3:$C$12,"",1)</f>
        <v>1</v>
      </c>
    </row>
    <row r="1222" spans="2:13" x14ac:dyDescent="0.25">
      <c r="B1222" s="15" t="s">
        <v>85</v>
      </c>
      <c r="C1222" s="9">
        <v>35</v>
      </c>
      <c r="D1222" s="9">
        <v>35.9</v>
      </c>
      <c r="E1222" s="10">
        <v>37</v>
      </c>
      <c r="F1222" s="9">
        <f t="shared" si="73"/>
        <v>11.140846016432674</v>
      </c>
      <c r="G1222" s="9">
        <f t="shared" si="74"/>
        <v>11.427324913998085</v>
      </c>
      <c r="H1222" s="10">
        <f t="shared" si="75"/>
        <v>11.777465788800255</v>
      </c>
      <c r="K1222" s="11">
        <f>_xlfn.XLOOKUP(F1222,Ref!$B$3:$B$12,Ref!$C$3:$C$12,"",1)</f>
        <v>1</v>
      </c>
      <c r="L1222" s="11">
        <f>_xlfn.XLOOKUP(G1222,Ref!$B$3:$B$12,Ref!$C$3:$C$12,"",1)</f>
        <v>1</v>
      </c>
      <c r="M1222" s="11">
        <f>_xlfn.XLOOKUP(H1222,Ref!$B$3:$B$12,Ref!$C$3:$C$12,"",1)</f>
        <v>1</v>
      </c>
    </row>
    <row r="1223" spans="2:13" x14ac:dyDescent="0.25">
      <c r="B1223" s="15" t="s">
        <v>8</v>
      </c>
      <c r="C1223" s="9">
        <v>33.5</v>
      </c>
      <c r="D1223" s="9">
        <v>35.9</v>
      </c>
      <c r="E1223" s="10">
        <v>37.6</v>
      </c>
      <c r="F1223" s="9">
        <f t="shared" si="73"/>
        <v>10.663381187156988</v>
      </c>
      <c r="G1223" s="9">
        <f t="shared" si="74"/>
        <v>11.427324913998085</v>
      </c>
      <c r="H1223" s="10">
        <f t="shared" si="75"/>
        <v>11.968451720510529</v>
      </c>
      <c r="K1223" s="11">
        <f>_xlfn.XLOOKUP(F1223,Ref!$B$3:$B$12,Ref!$C$3:$C$12,"",1)</f>
        <v>1</v>
      </c>
      <c r="L1223" s="11">
        <f>_xlfn.XLOOKUP(G1223,Ref!$B$3:$B$12,Ref!$C$3:$C$12,"",1)</f>
        <v>1</v>
      </c>
      <c r="M1223" s="11">
        <f>_xlfn.XLOOKUP(H1223,Ref!$B$3:$B$12,Ref!$C$3:$C$12,"",1)</f>
        <v>1</v>
      </c>
    </row>
    <row r="1224" spans="2:13" x14ac:dyDescent="0.25">
      <c r="B1224" s="15" t="s">
        <v>26</v>
      </c>
      <c r="C1224" s="9">
        <v>143.30000000000001</v>
      </c>
      <c r="D1224" s="9">
        <v>147.5</v>
      </c>
      <c r="E1224" s="10">
        <v>162.5</v>
      </c>
      <c r="F1224" s="9">
        <f t="shared" si="73"/>
        <v>45.61380669013721</v>
      </c>
      <c r="G1224" s="9">
        <f t="shared" si="74"/>
        <v>46.950708212109127</v>
      </c>
      <c r="H1224" s="10">
        <f t="shared" si="75"/>
        <v>51.725356504865985</v>
      </c>
      <c r="K1224" s="11">
        <f>_xlfn.XLOOKUP(F1224,Ref!$B$3:$B$12,Ref!$C$3:$C$12,"",1)</f>
        <v>4</v>
      </c>
      <c r="L1224" s="11">
        <f>_xlfn.XLOOKUP(G1224,Ref!$B$3:$B$12,Ref!$C$3:$C$12,"",1)</f>
        <v>4</v>
      </c>
      <c r="M1224" s="11">
        <f>_xlfn.XLOOKUP(H1224,Ref!$B$3:$B$12,Ref!$C$3:$C$12,"",1)</f>
        <v>5</v>
      </c>
    </row>
    <row r="1225" spans="2:13" x14ac:dyDescent="0.25">
      <c r="B1225" s="15" t="s">
        <v>12</v>
      </c>
      <c r="C1225" s="9">
        <v>46.1</v>
      </c>
      <c r="D1225" s="9">
        <v>46.5</v>
      </c>
      <c r="E1225" s="10">
        <v>49.6</v>
      </c>
      <c r="F1225" s="9">
        <f t="shared" si="73"/>
        <v>14.674085753072751</v>
      </c>
      <c r="G1225" s="9">
        <f t="shared" si="74"/>
        <v>14.801409707546267</v>
      </c>
      <c r="H1225" s="10">
        <f t="shared" si="75"/>
        <v>15.788170354716019</v>
      </c>
      <c r="K1225" s="11">
        <f>_xlfn.XLOOKUP(F1225,Ref!$B$3:$B$12,Ref!$C$3:$C$12,"",1)</f>
        <v>1</v>
      </c>
      <c r="L1225" s="11">
        <f>_xlfn.XLOOKUP(G1225,Ref!$B$3:$B$12,Ref!$C$3:$C$12,"",1)</f>
        <v>1</v>
      </c>
      <c r="M1225" s="11">
        <f>_xlfn.XLOOKUP(H1225,Ref!$B$3:$B$12,Ref!$C$3:$C$12,"",1)</f>
        <v>1</v>
      </c>
    </row>
    <row r="1226" spans="2:13" x14ac:dyDescent="0.25">
      <c r="B1226" s="15" t="s">
        <v>25</v>
      </c>
      <c r="C1226" s="9">
        <v>67.3</v>
      </c>
      <c r="D1226" s="9">
        <v>70.599999999999994</v>
      </c>
      <c r="E1226" s="10">
        <v>74.5</v>
      </c>
      <c r="F1226" s="9">
        <f t="shared" si="73"/>
        <v>21.422255340169112</v>
      </c>
      <c r="G1226" s="9">
        <f t="shared" si="74"/>
        <v>22.47267796457562</v>
      </c>
      <c r="H1226" s="10">
        <f t="shared" si="75"/>
        <v>23.714086520692405</v>
      </c>
      <c r="K1226" s="11">
        <f>_xlfn.XLOOKUP(F1226,Ref!$B$3:$B$12,Ref!$C$3:$C$12,"",1)</f>
        <v>2</v>
      </c>
      <c r="L1226" s="11">
        <f>_xlfn.XLOOKUP(G1226,Ref!$B$3:$B$12,Ref!$C$3:$C$12,"",1)</f>
        <v>2</v>
      </c>
      <c r="M1226" s="11">
        <f>_xlfn.XLOOKUP(H1226,Ref!$B$3:$B$12,Ref!$C$3:$C$12,"",1)</f>
        <v>2</v>
      </c>
    </row>
    <row r="1227" spans="2:13" x14ac:dyDescent="0.25">
      <c r="B1227" s="15" t="s">
        <v>12</v>
      </c>
      <c r="C1227" s="9">
        <v>39.1</v>
      </c>
      <c r="D1227" s="9">
        <v>41.8</v>
      </c>
      <c r="E1227" s="10">
        <v>43</v>
      </c>
      <c r="F1227" s="9">
        <f t="shared" si="73"/>
        <v>12.445916549786217</v>
      </c>
      <c r="G1227" s="9">
        <f t="shared" si="74"/>
        <v>13.30535324248245</v>
      </c>
      <c r="H1227" s="10">
        <f t="shared" si="75"/>
        <v>13.687325105903</v>
      </c>
      <c r="K1227" s="11">
        <f>_xlfn.XLOOKUP(F1227,Ref!$B$3:$B$12,Ref!$C$3:$C$12,"",1)</f>
        <v>1</v>
      </c>
      <c r="L1227" s="11">
        <f>_xlfn.XLOOKUP(G1227,Ref!$B$3:$B$12,Ref!$C$3:$C$12,"",1)</f>
        <v>1</v>
      </c>
      <c r="M1227" s="11">
        <f>_xlfn.XLOOKUP(H1227,Ref!$B$3:$B$12,Ref!$C$3:$C$12,"",1)</f>
        <v>1</v>
      </c>
    </row>
    <row r="1228" spans="2:13" x14ac:dyDescent="0.25">
      <c r="B1228" s="15" t="s">
        <v>75</v>
      </c>
      <c r="C1228" s="9">
        <v>50.8</v>
      </c>
      <c r="D1228" s="9">
        <v>48</v>
      </c>
      <c r="E1228" s="10">
        <v>47.8</v>
      </c>
      <c r="F1228" s="9">
        <f t="shared" si="73"/>
        <v>16.170142218136565</v>
      </c>
      <c r="G1228" s="9">
        <f t="shared" si="74"/>
        <v>15.278874536821952</v>
      </c>
      <c r="H1228" s="10">
        <f t="shared" si="75"/>
        <v>15.215212559585193</v>
      </c>
      <c r="K1228" s="11">
        <f>_xlfn.XLOOKUP(F1228,Ref!$B$3:$B$12,Ref!$C$3:$C$12,"",1)</f>
        <v>1</v>
      </c>
      <c r="L1228" s="11">
        <f>_xlfn.XLOOKUP(G1228,Ref!$B$3:$B$12,Ref!$C$3:$C$12,"",1)</f>
        <v>1</v>
      </c>
      <c r="M1228" s="11">
        <f>_xlfn.XLOOKUP(H1228,Ref!$B$3:$B$12,Ref!$C$3:$C$12,"",1)</f>
        <v>1</v>
      </c>
    </row>
    <row r="1229" spans="2:13" x14ac:dyDescent="0.25">
      <c r="B1229" s="15" t="s">
        <v>41</v>
      </c>
      <c r="C1229" s="9">
        <v>37.1</v>
      </c>
      <c r="D1229" s="9">
        <v>41.2</v>
      </c>
      <c r="E1229" s="10">
        <v>49.9</v>
      </c>
      <c r="F1229" s="9">
        <f t="shared" si="73"/>
        <v>11.809296777418634</v>
      </c>
      <c r="G1229" s="9">
        <f t="shared" si="74"/>
        <v>13.114367310772177</v>
      </c>
      <c r="H1229" s="10">
        <f t="shared" si="75"/>
        <v>15.883663320571154</v>
      </c>
      <c r="K1229" s="11">
        <f>_xlfn.XLOOKUP(F1229,Ref!$B$3:$B$12,Ref!$C$3:$C$12,"",1)</f>
        <v>1</v>
      </c>
      <c r="L1229" s="11">
        <f>_xlfn.XLOOKUP(G1229,Ref!$B$3:$B$12,Ref!$C$3:$C$12,"",1)</f>
        <v>1</v>
      </c>
      <c r="M1229" s="11">
        <f>_xlfn.XLOOKUP(H1229,Ref!$B$3:$B$12,Ref!$C$3:$C$12,"",1)</f>
        <v>1</v>
      </c>
    </row>
    <row r="1230" spans="2:13" x14ac:dyDescent="0.25">
      <c r="B1230" s="15" t="s">
        <v>27</v>
      </c>
      <c r="C1230" s="9">
        <v>32.6</v>
      </c>
      <c r="D1230" s="9">
        <v>32.4</v>
      </c>
      <c r="E1230" s="10">
        <v>0</v>
      </c>
      <c r="F1230" s="9">
        <f t="shared" si="73"/>
        <v>10.376902289591577</v>
      </c>
      <c r="G1230" s="9">
        <f t="shared" si="74"/>
        <v>10.313240312354818</v>
      </c>
      <c r="H1230" s="10">
        <f t="shared" si="75"/>
        <v>0</v>
      </c>
      <c r="K1230" s="11">
        <f>_xlfn.XLOOKUP(F1230,Ref!$B$3:$B$12,Ref!$C$3:$C$12,"",1)</f>
        <v>1</v>
      </c>
      <c r="L1230" s="11">
        <f>_xlfn.XLOOKUP(G1230,Ref!$B$3:$B$12,Ref!$C$3:$C$12,"",1)</f>
        <v>1</v>
      </c>
      <c r="M1230" s="11" t="str">
        <f>_xlfn.XLOOKUP(H1230,Ref!$B$3:$B$12,Ref!$C$3:$C$12,"",1)</f>
        <v>Morta</v>
      </c>
    </row>
    <row r="1231" spans="2:13" x14ac:dyDescent="0.25">
      <c r="B1231" s="15" t="s">
        <v>12</v>
      </c>
      <c r="C1231" s="9">
        <v>36.200000000000003</v>
      </c>
      <c r="D1231" s="9">
        <v>36.299999999999997</v>
      </c>
      <c r="E1231" s="10">
        <v>37.1</v>
      </c>
      <c r="F1231" s="9">
        <f t="shared" si="73"/>
        <v>11.522817879853223</v>
      </c>
      <c r="G1231" s="9">
        <f t="shared" si="74"/>
        <v>11.554648868471601</v>
      </c>
      <c r="H1231" s="10">
        <f t="shared" si="75"/>
        <v>11.809296777418634</v>
      </c>
      <c r="K1231" s="11">
        <f>_xlfn.XLOOKUP(F1231,Ref!$B$3:$B$12,Ref!$C$3:$C$12,"",1)</f>
        <v>1</v>
      </c>
      <c r="L1231" s="11">
        <f>_xlfn.XLOOKUP(G1231,Ref!$B$3:$B$12,Ref!$C$3:$C$12,"",1)</f>
        <v>1</v>
      </c>
      <c r="M1231" s="11">
        <f>_xlfn.XLOOKUP(H1231,Ref!$B$3:$B$12,Ref!$C$3:$C$12,"",1)</f>
        <v>1</v>
      </c>
    </row>
    <row r="1232" spans="2:13" x14ac:dyDescent="0.25">
      <c r="B1232" s="15" t="s">
        <v>12</v>
      </c>
      <c r="C1232" s="9">
        <v>32.4</v>
      </c>
      <c r="D1232" s="9">
        <v>33.9</v>
      </c>
      <c r="E1232" s="10">
        <v>35.6</v>
      </c>
      <c r="F1232" s="9">
        <f t="shared" si="73"/>
        <v>10.313240312354818</v>
      </c>
      <c r="G1232" s="9">
        <f t="shared" si="74"/>
        <v>10.790705141630504</v>
      </c>
      <c r="H1232" s="10">
        <f t="shared" si="75"/>
        <v>11.331831948142948</v>
      </c>
      <c r="K1232" s="11">
        <f>_xlfn.XLOOKUP(F1232,Ref!$B$3:$B$12,Ref!$C$3:$C$12,"",1)</f>
        <v>1</v>
      </c>
      <c r="L1232" s="11">
        <f>_xlfn.XLOOKUP(G1232,Ref!$B$3:$B$12,Ref!$C$3:$C$12,"",1)</f>
        <v>1</v>
      </c>
      <c r="M1232" s="11">
        <f>_xlfn.XLOOKUP(H1232,Ref!$B$3:$B$12,Ref!$C$3:$C$12,"",1)</f>
        <v>1</v>
      </c>
    </row>
    <row r="1233" spans="2:13" x14ac:dyDescent="0.25">
      <c r="B1233" s="15" t="s">
        <v>83</v>
      </c>
      <c r="C1233" s="9">
        <v>35.5</v>
      </c>
      <c r="D1233" s="9">
        <v>40.1</v>
      </c>
      <c r="E1233" s="10">
        <v>44.4</v>
      </c>
      <c r="F1233" s="9">
        <f t="shared" si="73"/>
        <v>11.300000959524569</v>
      </c>
      <c r="G1233" s="9">
        <f t="shared" si="74"/>
        <v>12.764226435970008</v>
      </c>
      <c r="H1233" s="10">
        <f t="shared" si="75"/>
        <v>14.132958946560306</v>
      </c>
      <c r="K1233" s="11">
        <f>_xlfn.XLOOKUP(F1233,Ref!$B$3:$B$12,Ref!$C$3:$C$12,"",1)</f>
        <v>1</v>
      </c>
      <c r="L1233" s="11">
        <f>_xlfn.XLOOKUP(G1233,Ref!$B$3:$B$12,Ref!$C$3:$C$12,"",1)</f>
        <v>1</v>
      </c>
      <c r="M1233" s="11">
        <f>_xlfn.XLOOKUP(H1233,Ref!$B$3:$B$12,Ref!$C$3:$C$12,"",1)</f>
        <v>1</v>
      </c>
    </row>
    <row r="1234" spans="2:13" x14ac:dyDescent="0.25">
      <c r="B1234" s="15" t="s">
        <v>46</v>
      </c>
      <c r="C1234" s="9">
        <v>62.7</v>
      </c>
      <c r="D1234" s="9">
        <v>64.3</v>
      </c>
      <c r="E1234" s="10">
        <v>67.8</v>
      </c>
      <c r="F1234" s="9">
        <f t="shared" si="73"/>
        <v>19.958029863723677</v>
      </c>
      <c r="G1234" s="9">
        <f t="shared" si="74"/>
        <v>20.467325681617741</v>
      </c>
      <c r="H1234" s="10">
        <f t="shared" si="75"/>
        <v>21.581410283261008</v>
      </c>
      <c r="K1234" s="11">
        <f>_xlfn.XLOOKUP(F1234,Ref!$B$3:$B$12,Ref!$C$3:$C$12,"",1)</f>
        <v>1</v>
      </c>
      <c r="L1234" s="11">
        <f>_xlfn.XLOOKUP(G1234,Ref!$B$3:$B$12,Ref!$C$3:$C$12,"",1)</f>
        <v>2</v>
      </c>
      <c r="M1234" s="11">
        <f>_xlfn.XLOOKUP(H1234,Ref!$B$3:$B$12,Ref!$C$3:$C$12,"",1)</f>
        <v>2</v>
      </c>
    </row>
    <row r="1235" spans="2:13" x14ac:dyDescent="0.25">
      <c r="B1235" s="15" t="s">
        <v>6</v>
      </c>
      <c r="C1235" s="9">
        <v>31.8</v>
      </c>
      <c r="D1235" s="9">
        <v>31.8</v>
      </c>
      <c r="E1235" s="10">
        <v>31.7</v>
      </c>
      <c r="F1235" s="9">
        <f t="shared" si="73"/>
        <v>10.122254380644543</v>
      </c>
      <c r="G1235" s="9">
        <f t="shared" si="74"/>
        <v>10.122254380644543</v>
      </c>
      <c r="H1235" s="10">
        <f t="shared" si="75"/>
        <v>10.090423392026164</v>
      </c>
      <c r="K1235" s="11">
        <f>_xlfn.XLOOKUP(F1235,Ref!$B$3:$B$12,Ref!$C$3:$C$12,"",1)</f>
        <v>1</v>
      </c>
      <c r="L1235" s="11">
        <f>_xlfn.XLOOKUP(G1235,Ref!$B$3:$B$12,Ref!$C$3:$C$12,"",1)</f>
        <v>1</v>
      </c>
      <c r="M1235" s="11">
        <f>_xlfn.XLOOKUP(H1235,Ref!$B$3:$B$12,Ref!$C$3:$C$12,"",1)</f>
        <v>1</v>
      </c>
    </row>
    <row r="1236" spans="2:13" x14ac:dyDescent="0.25">
      <c r="B1236" s="15" t="s">
        <v>12</v>
      </c>
      <c r="C1236" s="9">
        <v>34.4</v>
      </c>
      <c r="D1236" s="9">
        <v>36.200000000000003</v>
      </c>
      <c r="E1236" s="10">
        <v>38.299999999999997</v>
      </c>
      <c r="F1236" s="9">
        <f t="shared" si="73"/>
        <v>10.949860084722399</v>
      </c>
      <c r="G1236" s="9">
        <f t="shared" si="74"/>
        <v>11.522817879853223</v>
      </c>
      <c r="H1236" s="10">
        <f t="shared" si="75"/>
        <v>12.191268640839182</v>
      </c>
      <c r="K1236" s="11">
        <f>_xlfn.XLOOKUP(F1236,Ref!$B$3:$B$12,Ref!$C$3:$C$12,"",1)</f>
        <v>1</v>
      </c>
      <c r="L1236" s="11">
        <f>_xlfn.XLOOKUP(G1236,Ref!$B$3:$B$12,Ref!$C$3:$C$12,"",1)</f>
        <v>1</v>
      </c>
      <c r="M1236" s="11">
        <f>_xlfn.XLOOKUP(H1236,Ref!$B$3:$B$12,Ref!$C$3:$C$12,"",1)</f>
        <v>1</v>
      </c>
    </row>
    <row r="1237" spans="2:13" x14ac:dyDescent="0.25">
      <c r="B1237" s="15" t="s">
        <v>12</v>
      </c>
      <c r="C1237" s="9">
        <v>36</v>
      </c>
      <c r="D1237" s="9">
        <v>38.5</v>
      </c>
      <c r="E1237" s="10">
        <v>40</v>
      </c>
      <c r="F1237" s="9">
        <f t="shared" si="73"/>
        <v>11.459155902616464</v>
      </c>
      <c r="G1237" s="9">
        <f t="shared" si="74"/>
        <v>12.254930618075941</v>
      </c>
      <c r="H1237" s="10">
        <f t="shared" si="75"/>
        <v>12.732395447351628</v>
      </c>
      <c r="K1237" s="11">
        <f>_xlfn.XLOOKUP(F1237,Ref!$B$3:$B$12,Ref!$C$3:$C$12,"",1)</f>
        <v>1</v>
      </c>
      <c r="L1237" s="11">
        <f>_xlfn.XLOOKUP(G1237,Ref!$B$3:$B$12,Ref!$C$3:$C$12,"",1)</f>
        <v>1</v>
      </c>
      <c r="M1237" s="11">
        <f>_xlfn.XLOOKUP(H1237,Ref!$B$3:$B$12,Ref!$C$3:$C$12,"",1)</f>
        <v>1</v>
      </c>
    </row>
    <row r="1238" spans="2:13" x14ac:dyDescent="0.25">
      <c r="B1238" s="15" t="s">
        <v>6</v>
      </c>
      <c r="C1238" s="9">
        <v>35.700000000000003</v>
      </c>
      <c r="D1238" s="9">
        <v>35.5</v>
      </c>
      <c r="E1238" s="10">
        <v>35.4</v>
      </c>
      <c r="F1238" s="9">
        <f t="shared" si="73"/>
        <v>11.363662936761328</v>
      </c>
      <c r="G1238" s="9">
        <f t="shared" si="74"/>
        <v>11.300000959524569</v>
      </c>
      <c r="H1238" s="10">
        <f t="shared" si="75"/>
        <v>11.26816997090619</v>
      </c>
      <c r="K1238" s="11">
        <f>_xlfn.XLOOKUP(F1238,Ref!$B$3:$B$12,Ref!$C$3:$C$12,"",1)</f>
        <v>1</v>
      </c>
      <c r="L1238" s="11">
        <f>_xlfn.XLOOKUP(G1238,Ref!$B$3:$B$12,Ref!$C$3:$C$12,"",1)</f>
        <v>1</v>
      </c>
      <c r="M1238" s="11">
        <f>_xlfn.XLOOKUP(H1238,Ref!$B$3:$B$12,Ref!$C$3:$C$12,"",1)</f>
        <v>1</v>
      </c>
    </row>
    <row r="1239" spans="2:13" x14ac:dyDescent="0.25">
      <c r="B1239" s="15" t="s">
        <v>80</v>
      </c>
      <c r="C1239" s="9">
        <v>70</v>
      </c>
      <c r="D1239" s="9">
        <v>71.099999999999994</v>
      </c>
      <c r="E1239" s="10">
        <v>71.599999999999994</v>
      </c>
      <c r="F1239" s="9">
        <f t="shared" si="73"/>
        <v>22.281692032865347</v>
      </c>
      <c r="G1239" s="9">
        <f t="shared" si="74"/>
        <v>22.631832907667516</v>
      </c>
      <c r="H1239" s="10">
        <f t="shared" si="75"/>
        <v>22.790987850759411</v>
      </c>
      <c r="K1239" s="11">
        <f>_xlfn.XLOOKUP(F1239,Ref!$B$3:$B$12,Ref!$C$3:$C$12,"",1)</f>
        <v>2</v>
      </c>
      <c r="L1239" s="11">
        <f>_xlfn.XLOOKUP(G1239,Ref!$B$3:$B$12,Ref!$C$3:$C$12,"",1)</f>
        <v>2</v>
      </c>
      <c r="M1239" s="11">
        <f>_xlfn.XLOOKUP(H1239,Ref!$B$3:$B$12,Ref!$C$3:$C$12,"",1)</f>
        <v>2</v>
      </c>
    </row>
    <row r="1240" spans="2:13" x14ac:dyDescent="0.25">
      <c r="B1240" s="15" t="s">
        <v>82</v>
      </c>
      <c r="C1240" s="9">
        <v>49.8</v>
      </c>
      <c r="D1240" s="9">
        <v>55.2</v>
      </c>
      <c r="E1240" s="10">
        <v>60.5</v>
      </c>
      <c r="F1240" s="9">
        <f t="shared" si="73"/>
        <v>15.851832331952775</v>
      </c>
      <c r="G1240" s="9">
        <f t="shared" si="74"/>
        <v>17.570705717345248</v>
      </c>
      <c r="H1240" s="10">
        <f t="shared" si="75"/>
        <v>19.257748114119337</v>
      </c>
      <c r="K1240" s="11">
        <f>_xlfn.XLOOKUP(F1240,Ref!$B$3:$B$12,Ref!$C$3:$C$12,"",1)</f>
        <v>1</v>
      </c>
      <c r="L1240" s="11">
        <f>_xlfn.XLOOKUP(G1240,Ref!$B$3:$B$12,Ref!$C$3:$C$12,"",1)</f>
        <v>1</v>
      </c>
      <c r="M1240" s="11">
        <f>_xlfn.XLOOKUP(H1240,Ref!$B$3:$B$12,Ref!$C$3:$C$12,"",1)</f>
        <v>1</v>
      </c>
    </row>
    <row r="1241" spans="2:13" x14ac:dyDescent="0.25">
      <c r="B1241" s="15" t="s">
        <v>60</v>
      </c>
      <c r="C1241" s="9">
        <v>55.4</v>
      </c>
      <c r="D1241" s="9">
        <v>59.1</v>
      </c>
      <c r="E1241" s="10">
        <v>0</v>
      </c>
      <c r="F1241" s="9">
        <f t="shared" si="73"/>
        <v>17.634367694582004</v>
      </c>
      <c r="G1241" s="9">
        <f t="shared" si="74"/>
        <v>18.812114273462029</v>
      </c>
      <c r="H1241" s="10">
        <f t="shared" si="75"/>
        <v>0</v>
      </c>
      <c r="K1241" s="11">
        <f>_xlfn.XLOOKUP(F1241,Ref!$B$3:$B$12,Ref!$C$3:$C$12,"",1)</f>
        <v>1</v>
      </c>
      <c r="L1241" s="11">
        <f>_xlfn.XLOOKUP(G1241,Ref!$B$3:$B$12,Ref!$C$3:$C$12,"",1)</f>
        <v>1</v>
      </c>
      <c r="M1241" s="11" t="str">
        <f>_xlfn.XLOOKUP(H1241,Ref!$B$3:$B$12,Ref!$C$3:$C$12,"",1)</f>
        <v>Morta</v>
      </c>
    </row>
    <row r="1242" spans="2:13" x14ac:dyDescent="0.25">
      <c r="B1242" s="15" t="s">
        <v>46</v>
      </c>
      <c r="C1242" s="9">
        <v>63.6</v>
      </c>
      <c r="D1242" s="9">
        <v>64</v>
      </c>
      <c r="E1242" s="10">
        <v>64.400000000000006</v>
      </c>
      <c r="F1242" s="9">
        <f t="shared" si="73"/>
        <v>20.244508761289087</v>
      </c>
      <c r="G1242" s="9">
        <f t="shared" si="74"/>
        <v>20.371832715762604</v>
      </c>
      <c r="H1242" s="10">
        <f t="shared" si="75"/>
        <v>20.499156670236122</v>
      </c>
      <c r="K1242" s="11">
        <f>_xlfn.XLOOKUP(F1242,Ref!$B$3:$B$12,Ref!$C$3:$C$12,"",1)</f>
        <v>2</v>
      </c>
      <c r="L1242" s="11">
        <f>_xlfn.XLOOKUP(G1242,Ref!$B$3:$B$12,Ref!$C$3:$C$12,"",1)</f>
        <v>2</v>
      </c>
      <c r="M1242" s="11">
        <f>_xlfn.XLOOKUP(H1242,Ref!$B$3:$B$12,Ref!$C$3:$C$12,"",1)</f>
        <v>2</v>
      </c>
    </row>
    <row r="1243" spans="2:13" x14ac:dyDescent="0.25">
      <c r="B1243" s="15" t="s">
        <v>12</v>
      </c>
      <c r="C1243" s="9">
        <v>36</v>
      </c>
      <c r="D1243" s="9">
        <v>38.200000000000003</v>
      </c>
      <c r="E1243" s="10">
        <v>38.700000000000003</v>
      </c>
      <c r="F1243" s="9">
        <f t="shared" si="73"/>
        <v>11.459155902616464</v>
      </c>
      <c r="G1243" s="9">
        <f t="shared" si="74"/>
        <v>12.159437652220806</v>
      </c>
      <c r="H1243" s="10">
        <f t="shared" si="75"/>
        <v>12.318592595312701</v>
      </c>
      <c r="K1243" s="11">
        <f>_xlfn.XLOOKUP(F1243,Ref!$B$3:$B$12,Ref!$C$3:$C$12,"",1)</f>
        <v>1</v>
      </c>
      <c r="L1243" s="11">
        <f>_xlfn.XLOOKUP(G1243,Ref!$B$3:$B$12,Ref!$C$3:$C$12,"",1)</f>
        <v>1</v>
      </c>
      <c r="M1243" s="11">
        <f>_xlfn.XLOOKUP(H1243,Ref!$B$3:$B$12,Ref!$C$3:$C$12,"",1)</f>
        <v>1</v>
      </c>
    </row>
    <row r="1244" spans="2:13" x14ac:dyDescent="0.25">
      <c r="B1244" s="15" t="s">
        <v>12</v>
      </c>
      <c r="C1244" s="9">
        <v>36.6</v>
      </c>
      <c r="D1244" s="9">
        <v>37.5</v>
      </c>
      <c r="E1244" s="10">
        <v>38</v>
      </c>
      <c r="F1244" s="9">
        <f t="shared" si="73"/>
        <v>11.650141834326739</v>
      </c>
      <c r="G1244" s="9">
        <f t="shared" si="74"/>
        <v>11.93662073189215</v>
      </c>
      <c r="H1244" s="10">
        <f t="shared" si="75"/>
        <v>12.095775674984045</v>
      </c>
      <c r="K1244" s="11">
        <f>_xlfn.XLOOKUP(F1244,Ref!$B$3:$B$12,Ref!$C$3:$C$12,"",1)</f>
        <v>1</v>
      </c>
      <c r="L1244" s="11">
        <f>_xlfn.XLOOKUP(G1244,Ref!$B$3:$B$12,Ref!$C$3:$C$12,"",1)</f>
        <v>1</v>
      </c>
      <c r="M1244" s="11">
        <f>_xlfn.XLOOKUP(H1244,Ref!$B$3:$B$12,Ref!$C$3:$C$12,"",1)</f>
        <v>1</v>
      </c>
    </row>
    <row r="1245" spans="2:13" x14ac:dyDescent="0.25">
      <c r="B1245" s="15" t="s">
        <v>46</v>
      </c>
      <c r="C1245" s="9">
        <v>57.9</v>
      </c>
      <c r="D1245" s="9">
        <v>60.5</v>
      </c>
      <c r="E1245" s="10">
        <v>66.5</v>
      </c>
      <c r="F1245" s="9">
        <f t="shared" si="73"/>
        <v>18.43014241004148</v>
      </c>
      <c r="G1245" s="9">
        <f t="shared" si="74"/>
        <v>19.257748114119337</v>
      </c>
      <c r="H1245" s="10">
        <f t="shared" si="75"/>
        <v>21.167607431222081</v>
      </c>
      <c r="K1245" s="11">
        <f>_xlfn.XLOOKUP(F1245,Ref!$B$3:$B$12,Ref!$C$3:$C$12,"",1)</f>
        <v>1</v>
      </c>
      <c r="L1245" s="11">
        <f>_xlfn.XLOOKUP(G1245,Ref!$B$3:$B$12,Ref!$C$3:$C$12,"",1)</f>
        <v>1</v>
      </c>
      <c r="M1245" s="11">
        <f>_xlfn.XLOOKUP(H1245,Ref!$B$3:$B$12,Ref!$C$3:$C$12,"",1)</f>
        <v>2</v>
      </c>
    </row>
    <row r="1246" spans="2:13" x14ac:dyDescent="0.25">
      <c r="B1246" s="15" t="s">
        <v>46</v>
      </c>
      <c r="C1246" s="9">
        <v>57.8</v>
      </c>
      <c r="D1246" s="9">
        <v>60.4</v>
      </c>
      <c r="E1246" s="10">
        <v>61.4</v>
      </c>
      <c r="F1246" s="9">
        <f t="shared" si="73"/>
        <v>18.398311421423102</v>
      </c>
      <c r="G1246" s="9">
        <f t="shared" si="74"/>
        <v>19.225917125500956</v>
      </c>
      <c r="H1246" s="10">
        <f t="shared" si="75"/>
        <v>19.544227011684747</v>
      </c>
      <c r="K1246" s="11">
        <f>_xlfn.XLOOKUP(F1246,Ref!$B$3:$B$12,Ref!$C$3:$C$12,"",1)</f>
        <v>1</v>
      </c>
      <c r="L1246" s="11">
        <f>_xlfn.XLOOKUP(G1246,Ref!$B$3:$B$12,Ref!$C$3:$C$12,"",1)</f>
        <v>1</v>
      </c>
      <c r="M1246" s="11">
        <f>_xlfn.XLOOKUP(H1246,Ref!$B$3:$B$12,Ref!$C$3:$C$12,"",1)</f>
        <v>1</v>
      </c>
    </row>
    <row r="1247" spans="2:13" x14ac:dyDescent="0.25">
      <c r="B1247" s="15" t="s">
        <v>44</v>
      </c>
      <c r="C1247" s="9">
        <v>36.700000000000003</v>
      </c>
      <c r="D1247" s="9">
        <v>39.4</v>
      </c>
      <c r="E1247" s="10">
        <v>42</v>
      </c>
      <c r="F1247" s="9">
        <f t="shared" si="73"/>
        <v>11.681972822945118</v>
      </c>
      <c r="G1247" s="9">
        <f t="shared" si="74"/>
        <v>12.541409515641352</v>
      </c>
      <c r="H1247" s="10">
        <f t="shared" si="75"/>
        <v>13.369015219719209</v>
      </c>
      <c r="K1247" s="11">
        <f>_xlfn.XLOOKUP(F1247,Ref!$B$3:$B$12,Ref!$C$3:$C$12,"",1)</f>
        <v>1</v>
      </c>
      <c r="L1247" s="11">
        <f>_xlfn.XLOOKUP(G1247,Ref!$B$3:$B$12,Ref!$C$3:$C$12,"",1)</f>
        <v>1</v>
      </c>
      <c r="M1247" s="11">
        <f>_xlfn.XLOOKUP(H1247,Ref!$B$3:$B$12,Ref!$C$3:$C$12,"",1)</f>
        <v>1</v>
      </c>
    </row>
    <row r="1248" spans="2:13" x14ac:dyDescent="0.25">
      <c r="B1248" s="15" t="s">
        <v>12</v>
      </c>
      <c r="C1248" s="9">
        <v>31.5</v>
      </c>
      <c r="D1248" s="9">
        <v>32.5</v>
      </c>
      <c r="E1248" s="10">
        <v>34</v>
      </c>
      <c r="F1248" s="9">
        <f t="shared" si="73"/>
        <v>10.026761414789407</v>
      </c>
      <c r="G1248" s="9">
        <f t="shared" si="74"/>
        <v>10.345071300973197</v>
      </c>
      <c r="H1248" s="10">
        <f t="shared" si="75"/>
        <v>10.822536130248883</v>
      </c>
      <c r="K1248" s="11">
        <f>_xlfn.XLOOKUP(F1248,Ref!$B$3:$B$12,Ref!$C$3:$C$12,"",1)</f>
        <v>1</v>
      </c>
      <c r="L1248" s="11">
        <f>_xlfn.XLOOKUP(G1248,Ref!$B$3:$B$12,Ref!$C$3:$C$12,"",1)</f>
        <v>1</v>
      </c>
      <c r="M1248" s="11">
        <f>_xlfn.XLOOKUP(H1248,Ref!$B$3:$B$12,Ref!$C$3:$C$12,"",1)</f>
        <v>1</v>
      </c>
    </row>
    <row r="1249" spans="2:13" x14ac:dyDescent="0.25">
      <c r="B1249" s="15" t="s">
        <v>12</v>
      </c>
      <c r="C1249" s="9"/>
      <c r="D1249" s="9">
        <v>32.4</v>
      </c>
      <c r="E1249" s="10">
        <v>33</v>
      </c>
      <c r="F1249" s="9" t="str">
        <f t="shared" si="73"/>
        <v/>
      </c>
      <c r="G1249" s="9">
        <f t="shared" si="74"/>
        <v>10.313240312354818</v>
      </c>
      <c r="H1249" s="10">
        <f t="shared" si="75"/>
        <v>10.504226244065093</v>
      </c>
      <c r="K1249" s="11" t="str">
        <f>_xlfn.XLOOKUP(F1249,Ref!$B$3:$B$12,Ref!$C$3:$C$12,"",1)</f>
        <v/>
      </c>
      <c r="L1249" s="11">
        <f>_xlfn.XLOOKUP(G1249,Ref!$B$3:$B$12,Ref!$C$3:$C$12,"",1)</f>
        <v>1</v>
      </c>
      <c r="M1249" s="11">
        <f>_xlfn.XLOOKUP(H1249,Ref!$B$3:$B$12,Ref!$C$3:$C$12,"",1)</f>
        <v>1</v>
      </c>
    </row>
    <row r="1250" spans="2:13" x14ac:dyDescent="0.25">
      <c r="B1250" s="15" t="s">
        <v>15</v>
      </c>
      <c r="C1250" s="9">
        <v>32.799999999999997</v>
      </c>
      <c r="D1250" s="9">
        <v>0</v>
      </c>
      <c r="E1250" s="10">
        <v>0</v>
      </c>
      <c r="F1250" s="9">
        <f t="shared" si="73"/>
        <v>10.440564266828334</v>
      </c>
      <c r="G1250" s="9">
        <f t="shared" si="74"/>
        <v>0</v>
      </c>
      <c r="H1250" s="10">
        <f t="shared" si="75"/>
        <v>0</v>
      </c>
      <c r="K1250" s="11">
        <f>_xlfn.XLOOKUP(F1250,Ref!$B$3:$B$12,Ref!$C$3:$C$12,"",1)</f>
        <v>1</v>
      </c>
      <c r="L1250" s="11" t="str">
        <f>_xlfn.XLOOKUP(G1250,Ref!$B$3:$B$12,Ref!$C$3:$C$12,"",1)</f>
        <v>Morta</v>
      </c>
      <c r="M1250" s="11" t="str">
        <f>_xlfn.XLOOKUP(H1250,Ref!$B$3:$B$12,Ref!$C$3:$C$12,"",1)</f>
        <v>Morta</v>
      </c>
    </row>
    <row r="1251" spans="2:13" x14ac:dyDescent="0.25">
      <c r="B1251" s="15" t="s">
        <v>12</v>
      </c>
      <c r="C1251" s="9">
        <v>34.5</v>
      </c>
      <c r="D1251" s="9">
        <v>36.1</v>
      </c>
      <c r="E1251" s="10">
        <v>36.1</v>
      </c>
      <c r="F1251" s="9">
        <f t="shared" si="73"/>
        <v>10.981691073340778</v>
      </c>
      <c r="G1251" s="9">
        <f t="shared" si="74"/>
        <v>11.490986891234844</v>
      </c>
      <c r="H1251" s="10">
        <f t="shared" si="75"/>
        <v>11.490986891234844</v>
      </c>
      <c r="K1251" s="11">
        <f>_xlfn.XLOOKUP(F1251,Ref!$B$3:$B$12,Ref!$C$3:$C$12,"",1)</f>
        <v>1</v>
      </c>
      <c r="L1251" s="11">
        <f>_xlfn.XLOOKUP(G1251,Ref!$B$3:$B$12,Ref!$C$3:$C$12,"",1)</f>
        <v>1</v>
      </c>
      <c r="M1251" s="11">
        <f>_xlfn.XLOOKUP(H1251,Ref!$B$3:$B$12,Ref!$C$3:$C$12,"",1)</f>
        <v>1</v>
      </c>
    </row>
    <row r="1252" spans="2:13" x14ac:dyDescent="0.25">
      <c r="B1252" s="15" t="s">
        <v>6</v>
      </c>
      <c r="C1252" s="9">
        <v>34.5</v>
      </c>
      <c r="D1252" s="9">
        <v>34</v>
      </c>
      <c r="E1252" s="10">
        <v>34.5</v>
      </c>
      <c r="F1252" s="9">
        <f t="shared" si="73"/>
        <v>10.981691073340778</v>
      </c>
      <c r="G1252" s="9">
        <f t="shared" si="74"/>
        <v>10.822536130248883</v>
      </c>
      <c r="H1252" s="10">
        <f t="shared" si="75"/>
        <v>10.981691073340778</v>
      </c>
      <c r="K1252" s="11">
        <f>_xlfn.XLOOKUP(F1252,Ref!$B$3:$B$12,Ref!$C$3:$C$12,"",1)</f>
        <v>1</v>
      </c>
      <c r="L1252" s="11">
        <f>_xlfn.XLOOKUP(G1252,Ref!$B$3:$B$12,Ref!$C$3:$C$12,"",1)</f>
        <v>1</v>
      </c>
      <c r="M1252" s="11">
        <f>_xlfn.XLOOKUP(H1252,Ref!$B$3:$B$12,Ref!$C$3:$C$12,"",1)</f>
        <v>1</v>
      </c>
    </row>
    <row r="1253" spans="2:13" x14ac:dyDescent="0.25">
      <c r="B1253" s="15" t="s">
        <v>12</v>
      </c>
      <c r="C1253" s="9">
        <v>54.7</v>
      </c>
      <c r="D1253" s="9">
        <v>61</v>
      </c>
      <c r="E1253" s="10">
        <v>63.8</v>
      </c>
      <c r="F1253" s="9">
        <f t="shared" si="73"/>
        <v>17.411550774253353</v>
      </c>
      <c r="G1253" s="9">
        <f t="shared" si="74"/>
        <v>19.416903057211233</v>
      </c>
      <c r="H1253" s="10">
        <f t="shared" si="75"/>
        <v>20.308170738525845</v>
      </c>
      <c r="K1253" s="11">
        <f>_xlfn.XLOOKUP(F1253,Ref!$B$3:$B$12,Ref!$C$3:$C$12,"",1)</f>
        <v>1</v>
      </c>
      <c r="L1253" s="11">
        <f>_xlfn.XLOOKUP(G1253,Ref!$B$3:$B$12,Ref!$C$3:$C$12,"",1)</f>
        <v>1</v>
      </c>
      <c r="M1253" s="11">
        <f>_xlfn.XLOOKUP(H1253,Ref!$B$3:$B$12,Ref!$C$3:$C$12,"",1)</f>
        <v>2</v>
      </c>
    </row>
    <row r="1254" spans="2:13" x14ac:dyDescent="0.25">
      <c r="B1254" s="15" t="s">
        <v>8</v>
      </c>
      <c r="C1254" s="9">
        <v>162.19999999999999</v>
      </c>
      <c r="D1254" s="9">
        <v>161.5</v>
      </c>
      <c r="E1254" s="10">
        <v>162.19999999999999</v>
      </c>
      <c r="F1254" s="9">
        <f t="shared" si="73"/>
        <v>51.629863539010849</v>
      </c>
      <c r="G1254" s="9">
        <f t="shared" si="74"/>
        <v>51.407046618682195</v>
      </c>
      <c r="H1254" s="10">
        <f t="shared" si="75"/>
        <v>51.629863539010849</v>
      </c>
      <c r="K1254" s="11">
        <f>_xlfn.XLOOKUP(F1254,Ref!$B$3:$B$12,Ref!$C$3:$C$12,"",1)</f>
        <v>5</v>
      </c>
      <c r="L1254" s="11">
        <f>_xlfn.XLOOKUP(G1254,Ref!$B$3:$B$12,Ref!$C$3:$C$12,"",1)</f>
        <v>5</v>
      </c>
      <c r="M1254" s="11">
        <f>_xlfn.XLOOKUP(H1254,Ref!$B$3:$B$12,Ref!$C$3:$C$12,"",1)</f>
        <v>5</v>
      </c>
    </row>
    <row r="1255" spans="2:13" x14ac:dyDescent="0.25">
      <c r="B1255" s="15" t="s">
        <v>32</v>
      </c>
      <c r="C1255" s="9">
        <v>37.799999999999997</v>
      </c>
      <c r="D1255" s="9">
        <v>39.200000000000003</v>
      </c>
      <c r="E1255" s="10">
        <v>39.5</v>
      </c>
      <c r="F1255" s="9">
        <f t="shared" si="73"/>
        <v>12.032113697747286</v>
      </c>
      <c r="G1255" s="9">
        <f t="shared" si="74"/>
        <v>12.477747538404596</v>
      </c>
      <c r="H1255" s="10">
        <f t="shared" si="75"/>
        <v>12.573240504259733</v>
      </c>
      <c r="K1255" s="11">
        <f>_xlfn.XLOOKUP(F1255,Ref!$B$3:$B$12,Ref!$C$3:$C$12,"",1)</f>
        <v>1</v>
      </c>
      <c r="L1255" s="11">
        <f>_xlfn.XLOOKUP(G1255,Ref!$B$3:$B$12,Ref!$C$3:$C$12,"",1)</f>
        <v>1</v>
      </c>
      <c r="M1255" s="11">
        <f>_xlfn.XLOOKUP(H1255,Ref!$B$3:$B$12,Ref!$C$3:$C$12,"",1)</f>
        <v>1</v>
      </c>
    </row>
    <row r="1256" spans="2:13" x14ac:dyDescent="0.25">
      <c r="B1256" s="15" t="s">
        <v>15</v>
      </c>
      <c r="C1256" s="9">
        <v>50.6</v>
      </c>
      <c r="D1256" s="9">
        <v>50.5</v>
      </c>
      <c r="E1256" s="10">
        <v>0</v>
      </c>
      <c r="F1256" s="9">
        <f t="shared" si="73"/>
        <v>16.10648024089981</v>
      </c>
      <c r="G1256" s="9">
        <f t="shared" si="74"/>
        <v>16.074649252281429</v>
      </c>
      <c r="H1256" s="10">
        <f t="shared" si="75"/>
        <v>0</v>
      </c>
      <c r="K1256" s="11">
        <f>_xlfn.XLOOKUP(F1256,Ref!$B$3:$B$12,Ref!$C$3:$C$12,"",1)</f>
        <v>1</v>
      </c>
      <c r="L1256" s="11">
        <f>_xlfn.XLOOKUP(G1256,Ref!$B$3:$B$12,Ref!$C$3:$C$12,"",1)</f>
        <v>1</v>
      </c>
      <c r="M1256" s="11" t="str">
        <f>_xlfn.XLOOKUP(H1256,Ref!$B$3:$B$12,Ref!$C$3:$C$12,"",1)</f>
        <v>Morta</v>
      </c>
    </row>
    <row r="1257" spans="2:13" x14ac:dyDescent="0.25">
      <c r="B1257" s="15" t="s">
        <v>12</v>
      </c>
      <c r="C1257" s="9">
        <v>34.1</v>
      </c>
      <c r="D1257" s="9">
        <v>38</v>
      </c>
      <c r="E1257" s="10">
        <v>40.799999999999997</v>
      </c>
      <c r="F1257" s="9">
        <f t="shared" si="73"/>
        <v>10.854367118867263</v>
      </c>
      <c r="G1257" s="9">
        <f t="shared" si="74"/>
        <v>12.095775674984045</v>
      </c>
      <c r="H1257" s="10">
        <f t="shared" si="75"/>
        <v>12.98704335629866</v>
      </c>
      <c r="K1257" s="11">
        <f>_xlfn.XLOOKUP(F1257,Ref!$B$3:$B$12,Ref!$C$3:$C$12,"",1)</f>
        <v>1</v>
      </c>
      <c r="L1257" s="11">
        <f>_xlfn.XLOOKUP(G1257,Ref!$B$3:$B$12,Ref!$C$3:$C$12,"",1)</f>
        <v>1</v>
      </c>
      <c r="M1257" s="11">
        <f>_xlfn.XLOOKUP(H1257,Ref!$B$3:$B$12,Ref!$C$3:$C$12,"",1)</f>
        <v>1</v>
      </c>
    </row>
    <row r="1258" spans="2:13" x14ac:dyDescent="0.25">
      <c r="B1258" s="15" t="s">
        <v>46</v>
      </c>
      <c r="C1258" s="9">
        <v>53.2</v>
      </c>
      <c r="D1258" s="9">
        <v>0</v>
      </c>
      <c r="E1258" s="10">
        <v>0</v>
      </c>
      <c r="F1258" s="9">
        <f t="shared" si="73"/>
        <v>16.934085944977664</v>
      </c>
      <c r="G1258" s="9">
        <f t="shared" si="74"/>
        <v>0</v>
      </c>
      <c r="H1258" s="10">
        <f t="shared" si="75"/>
        <v>0</v>
      </c>
      <c r="K1258" s="11">
        <f>_xlfn.XLOOKUP(F1258,Ref!$B$3:$B$12,Ref!$C$3:$C$12,"",1)</f>
        <v>1</v>
      </c>
      <c r="L1258" s="11" t="str">
        <f>_xlfn.XLOOKUP(G1258,Ref!$B$3:$B$12,Ref!$C$3:$C$12,"",1)</f>
        <v>Morta</v>
      </c>
      <c r="M1258" s="11" t="str">
        <f>_xlfn.XLOOKUP(H1258,Ref!$B$3:$B$12,Ref!$C$3:$C$12,"",1)</f>
        <v>Morta</v>
      </c>
    </row>
    <row r="1259" spans="2:13" x14ac:dyDescent="0.25">
      <c r="B1259" s="15" t="s">
        <v>10</v>
      </c>
      <c r="C1259" s="9">
        <v>35.1</v>
      </c>
      <c r="D1259" s="9">
        <v>38.6</v>
      </c>
      <c r="E1259" s="10">
        <v>40.6</v>
      </c>
      <c r="F1259" s="9">
        <f t="shared" si="73"/>
        <v>11.172677005051053</v>
      </c>
      <c r="G1259" s="9">
        <f t="shared" si="74"/>
        <v>12.286761606694322</v>
      </c>
      <c r="H1259" s="10">
        <f t="shared" si="75"/>
        <v>12.923381379061903</v>
      </c>
      <c r="K1259" s="11">
        <f>_xlfn.XLOOKUP(F1259,Ref!$B$3:$B$12,Ref!$C$3:$C$12,"",1)</f>
        <v>1</v>
      </c>
      <c r="L1259" s="11">
        <f>_xlfn.XLOOKUP(G1259,Ref!$B$3:$B$12,Ref!$C$3:$C$12,"",1)</f>
        <v>1</v>
      </c>
      <c r="M1259" s="11">
        <f>_xlfn.XLOOKUP(H1259,Ref!$B$3:$B$12,Ref!$C$3:$C$12,"",1)</f>
        <v>1</v>
      </c>
    </row>
    <row r="1260" spans="2:13" x14ac:dyDescent="0.25">
      <c r="B1260" s="15" t="s">
        <v>23</v>
      </c>
      <c r="C1260" s="9">
        <v>31.6</v>
      </c>
      <c r="D1260" s="9">
        <v>34</v>
      </c>
      <c r="E1260" s="10">
        <v>35.5</v>
      </c>
      <c r="F1260" s="9">
        <f t="shared" ref="F1260:F1313" si="76">IF(C1260="", "", C1260/PI())</f>
        <v>10.058592403407786</v>
      </c>
      <c r="G1260" s="9">
        <f t="shared" ref="G1260:G1313" si="77">IF(D1260="", "", D1260/PI())</f>
        <v>10.822536130248883</v>
      </c>
      <c r="H1260" s="10">
        <f t="shared" ref="H1260:H1313" si="78">IF(E1260="", "", E1260/PI())</f>
        <v>11.300000959524569</v>
      </c>
      <c r="K1260" s="11">
        <f>_xlfn.XLOOKUP(F1260,Ref!$B$3:$B$12,Ref!$C$3:$C$12,"",1)</f>
        <v>1</v>
      </c>
      <c r="L1260" s="11">
        <f>_xlfn.XLOOKUP(G1260,Ref!$B$3:$B$12,Ref!$C$3:$C$12,"",1)</f>
        <v>1</v>
      </c>
      <c r="M1260" s="11">
        <f>_xlfn.XLOOKUP(H1260,Ref!$B$3:$B$12,Ref!$C$3:$C$12,"",1)</f>
        <v>1</v>
      </c>
    </row>
    <row r="1261" spans="2:13" x14ac:dyDescent="0.25">
      <c r="B1261" s="15" t="s">
        <v>26</v>
      </c>
      <c r="C1261" s="9">
        <v>196.1</v>
      </c>
      <c r="D1261" s="9">
        <v>203.5</v>
      </c>
      <c r="E1261" s="10">
        <v>212</v>
      </c>
      <c r="F1261" s="9">
        <f t="shared" si="76"/>
        <v>62.420568680641352</v>
      </c>
      <c r="G1261" s="9">
        <f t="shared" si="77"/>
        <v>64.776061838401404</v>
      </c>
      <c r="H1261" s="10">
        <f t="shared" si="78"/>
        <v>67.48169587096362</v>
      </c>
      <c r="K1261" s="11">
        <f>_xlfn.XLOOKUP(F1261,Ref!$B$3:$B$12,Ref!$C$3:$C$12,"",1)</f>
        <v>6</v>
      </c>
      <c r="L1261" s="11">
        <f>_xlfn.XLOOKUP(G1261,Ref!$B$3:$B$12,Ref!$C$3:$C$12,"",1)</f>
        <v>6</v>
      </c>
      <c r="M1261" s="11">
        <f>_xlfn.XLOOKUP(H1261,Ref!$B$3:$B$12,Ref!$C$3:$C$12,"",1)</f>
        <v>6</v>
      </c>
    </row>
    <row r="1262" spans="2:13" x14ac:dyDescent="0.25">
      <c r="B1262" s="15" t="s">
        <v>57</v>
      </c>
      <c r="C1262" s="9">
        <v>37.5</v>
      </c>
      <c r="D1262" s="9">
        <v>40</v>
      </c>
      <c r="E1262" s="10">
        <v>42.1</v>
      </c>
      <c r="F1262" s="9">
        <f t="shared" si="76"/>
        <v>11.93662073189215</v>
      </c>
      <c r="G1262" s="9">
        <f t="shared" si="77"/>
        <v>12.732395447351628</v>
      </c>
      <c r="H1262" s="10">
        <f t="shared" si="78"/>
        <v>13.400846208337589</v>
      </c>
      <c r="K1262" s="11">
        <f>_xlfn.XLOOKUP(F1262,Ref!$B$3:$B$12,Ref!$C$3:$C$12,"",1)</f>
        <v>1</v>
      </c>
      <c r="L1262" s="11">
        <f>_xlfn.XLOOKUP(G1262,Ref!$B$3:$B$12,Ref!$C$3:$C$12,"",1)</f>
        <v>1</v>
      </c>
      <c r="M1262" s="11">
        <f>_xlfn.XLOOKUP(H1262,Ref!$B$3:$B$12,Ref!$C$3:$C$12,"",1)</f>
        <v>1</v>
      </c>
    </row>
    <row r="1263" spans="2:13" x14ac:dyDescent="0.25">
      <c r="B1263" s="15" t="s">
        <v>12</v>
      </c>
      <c r="C1263" s="9"/>
      <c r="D1263" s="9">
        <v>34</v>
      </c>
      <c r="E1263" s="10">
        <v>35.299999999999997</v>
      </c>
      <c r="F1263" s="9" t="str">
        <f t="shared" si="76"/>
        <v/>
      </c>
      <c r="G1263" s="9">
        <f t="shared" si="77"/>
        <v>10.822536130248883</v>
      </c>
      <c r="H1263" s="10">
        <f t="shared" si="78"/>
        <v>11.23633898228781</v>
      </c>
      <c r="K1263" s="11" t="str">
        <f>_xlfn.XLOOKUP(F1263,Ref!$B$3:$B$12,Ref!$C$3:$C$12,"",1)</f>
        <v/>
      </c>
      <c r="L1263" s="11">
        <f>_xlfn.XLOOKUP(G1263,Ref!$B$3:$B$12,Ref!$C$3:$C$12,"",1)</f>
        <v>1</v>
      </c>
      <c r="M1263" s="11">
        <f>_xlfn.XLOOKUP(H1263,Ref!$B$3:$B$12,Ref!$C$3:$C$12,"",1)</f>
        <v>1</v>
      </c>
    </row>
    <row r="1264" spans="2:13" x14ac:dyDescent="0.25">
      <c r="B1264" s="15" t="s">
        <v>12</v>
      </c>
      <c r="C1264" s="9"/>
      <c r="D1264" s="9">
        <v>31.9</v>
      </c>
      <c r="E1264" s="10">
        <v>34.1</v>
      </c>
      <c r="F1264" s="9" t="str">
        <f t="shared" si="76"/>
        <v/>
      </c>
      <c r="G1264" s="9">
        <f t="shared" si="77"/>
        <v>10.154085369262923</v>
      </c>
      <c r="H1264" s="10">
        <f t="shared" si="78"/>
        <v>10.854367118867263</v>
      </c>
      <c r="K1264" s="11" t="str">
        <f>_xlfn.XLOOKUP(F1264,Ref!$B$3:$B$12,Ref!$C$3:$C$12,"",1)</f>
        <v/>
      </c>
      <c r="L1264" s="11">
        <f>_xlfn.XLOOKUP(G1264,Ref!$B$3:$B$12,Ref!$C$3:$C$12,"",1)</f>
        <v>1</v>
      </c>
      <c r="M1264" s="11">
        <f>_xlfn.XLOOKUP(H1264,Ref!$B$3:$B$12,Ref!$C$3:$C$12,"",1)</f>
        <v>1</v>
      </c>
    </row>
    <row r="1265" spans="2:13" x14ac:dyDescent="0.25">
      <c r="B1265" s="15" t="s">
        <v>6</v>
      </c>
      <c r="C1265" s="9"/>
      <c r="D1265" s="9">
        <v>33.4</v>
      </c>
      <c r="E1265" s="10">
        <v>33.4</v>
      </c>
      <c r="F1265" s="9" t="str">
        <f t="shared" si="76"/>
        <v/>
      </c>
      <c r="G1265" s="9">
        <f t="shared" si="77"/>
        <v>10.631550198538608</v>
      </c>
      <c r="H1265" s="10">
        <f t="shared" si="78"/>
        <v>10.631550198538608</v>
      </c>
      <c r="K1265" s="11" t="str">
        <f>_xlfn.XLOOKUP(F1265,Ref!$B$3:$B$12,Ref!$C$3:$C$12,"",1)</f>
        <v/>
      </c>
      <c r="L1265" s="11">
        <f>_xlfn.XLOOKUP(G1265,Ref!$B$3:$B$12,Ref!$C$3:$C$12,"",1)</f>
        <v>1</v>
      </c>
      <c r="M1265" s="11">
        <f>_xlfn.XLOOKUP(H1265,Ref!$B$3:$B$12,Ref!$C$3:$C$12,"",1)</f>
        <v>1</v>
      </c>
    </row>
    <row r="1266" spans="2:13" x14ac:dyDescent="0.25">
      <c r="B1266" s="15" t="s">
        <v>44</v>
      </c>
      <c r="C1266" s="9"/>
      <c r="D1266" s="9">
        <v>32.4</v>
      </c>
      <c r="E1266" s="10">
        <v>35.1</v>
      </c>
      <c r="F1266" s="9" t="str">
        <f t="shared" si="76"/>
        <v/>
      </c>
      <c r="G1266" s="9">
        <f t="shared" si="77"/>
        <v>10.313240312354818</v>
      </c>
      <c r="H1266" s="10">
        <f t="shared" si="78"/>
        <v>11.172677005051053</v>
      </c>
      <c r="K1266" s="11" t="str">
        <f>_xlfn.XLOOKUP(F1266,Ref!$B$3:$B$12,Ref!$C$3:$C$12,"",1)</f>
        <v/>
      </c>
      <c r="L1266" s="11">
        <f>_xlfn.XLOOKUP(G1266,Ref!$B$3:$B$12,Ref!$C$3:$C$12,"",1)</f>
        <v>1</v>
      </c>
      <c r="M1266" s="11">
        <f>_xlfn.XLOOKUP(H1266,Ref!$B$3:$B$12,Ref!$C$3:$C$12,"",1)</f>
        <v>1</v>
      </c>
    </row>
    <row r="1267" spans="2:13" x14ac:dyDescent="0.25">
      <c r="B1267" s="15" t="s">
        <v>27</v>
      </c>
      <c r="C1267" s="9"/>
      <c r="D1267" s="9"/>
      <c r="E1267" s="10">
        <v>33.1</v>
      </c>
      <c r="F1267" s="9" t="str">
        <f t="shared" si="76"/>
        <v/>
      </c>
      <c r="G1267" s="9" t="str">
        <f t="shared" si="77"/>
        <v/>
      </c>
      <c r="H1267" s="10">
        <f t="shared" si="78"/>
        <v>10.536057232683472</v>
      </c>
      <c r="K1267" s="11" t="str">
        <f>_xlfn.XLOOKUP(F1267,Ref!$B$3:$B$12,Ref!$C$3:$C$12,"",1)</f>
        <v/>
      </c>
      <c r="L1267" s="11" t="str">
        <f>_xlfn.XLOOKUP(G1267,Ref!$B$3:$B$12,Ref!$C$3:$C$12,"",1)</f>
        <v/>
      </c>
      <c r="M1267" s="11">
        <f>_xlfn.XLOOKUP(H1267,Ref!$B$3:$B$12,Ref!$C$3:$C$12,"",1)</f>
        <v>1</v>
      </c>
    </row>
    <row r="1268" spans="2:13" x14ac:dyDescent="0.25">
      <c r="B1268" s="15" t="s">
        <v>41</v>
      </c>
      <c r="C1268" s="9">
        <v>47</v>
      </c>
      <c r="D1268" s="9">
        <v>51.5</v>
      </c>
      <c r="E1268" s="10">
        <v>53</v>
      </c>
      <c r="F1268" s="9">
        <f t="shared" si="76"/>
        <v>14.960564650638162</v>
      </c>
      <c r="G1268" s="9">
        <f t="shared" si="77"/>
        <v>16.392959138465219</v>
      </c>
      <c r="H1268" s="10">
        <f t="shared" si="78"/>
        <v>16.870423967740905</v>
      </c>
      <c r="K1268" s="11">
        <f>_xlfn.XLOOKUP(F1268,Ref!$B$3:$B$12,Ref!$C$3:$C$12,"",1)</f>
        <v>1</v>
      </c>
      <c r="L1268" s="11">
        <f>_xlfn.XLOOKUP(G1268,Ref!$B$3:$B$12,Ref!$C$3:$C$12,"",1)</f>
        <v>1</v>
      </c>
      <c r="M1268" s="11">
        <f>_xlfn.XLOOKUP(H1268,Ref!$B$3:$B$12,Ref!$C$3:$C$12,"",1)</f>
        <v>1</v>
      </c>
    </row>
    <row r="1269" spans="2:13" x14ac:dyDescent="0.25">
      <c r="B1269" s="15" t="s">
        <v>7</v>
      </c>
      <c r="C1269" s="9">
        <v>82.3</v>
      </c>
      <c r="D1269" s="9">
        <v>93.8</v>
      </c>
      <c r="E1269" s="10">
        <v>99.2</v>
      </c>
      <c r="F1269" s="9">
        <f t="shared" si="76"/>
        <v>26.196903632925974</v>
      </c>
      <c r="G1269" s="9">
        <f t="shared" si="77"/>
        <v>29.857467324039565</v>
      </c>
      <c r="H1269" s="10">
        <f t="shared" si="78"/>
        <v>31.576340709432039</v>
      </c>
      <c r="K1269" s="11">
        <f>_xlfn.XLOOKUP(F1269,Ref!$B$3:$B$12,Ref!$C$3:$C$12,"",1)</f>
        <v>2</v>
      </c>
      <c r="L1269" s="11">
        <f>_xlfn.XLOOKUP(G1269,Ref!$B$3:$B$12,Ref!$C$3:$C$12,"",1)</f>
        <v>2</v>
      </c>
      <c r="M1269" s="11">
        <f>_xlfn.XLOOKUP(H1269,Ref!$B$3:$B$12,Ref!$C$3:$C$12,"",1)</f>
        <v>3</v>
      </c>
    </row>
    <row r="1270" spans="2:13" x14ac:dyDescent="0.25">
      <c r="B1270" s="15" t="s">
        <v>8</v>
      </c>
      <c r="C1270" s="9">
        <v>35.200000000000003</v>
      </c>
      <c r="D1270" s="9">
        <v>36.200000000000003</v>
      </c>
      <c r="E1270" s="10">
        <v>36.200000000000003</v>
      </c>
      <c r="F1270" s="9">
        <f t="shared" si="76"/>
        <v>11.204507993669433</v>
      </c>
      <c r="G1270" s="9">
        <f t="shared" si="77"/>
        <v>11.522817879853223</v>
      </c>
      <c r="H1270" s="10">
        <f t="shared" si="78"/>
        <v>11.522817879853223</v>
      </c>
      <c r="K1270" s="11">
        <f>_xlfn.XLOOKUP(F1270,Ref!$B$3:$B$12,Ref!$C$3:$C$12,"",1)</f>
        <v>1</v>
      </c>
      <c r="L1270" s="11">
        <f>_xlfn.XLOOKUP(G1270,Ref!$B$3:$B$12,Ref!$C$3:$C$12,"",1)</f>
        <v>1</v>
      </c>
      <c r="M1270" s="11">
        <f>_xlfn.XLOOKUP(H1270,Ref!$B$3:$B$12,Ref!$C$3:$C$12,"",1)</f>
        <v>1</v>
      </c>
    </row>
    <row r="1271" spans="2:13" x14ac:dyDescent="0.25">
      <c r="B1271" s="15" t="s">
        <v>25</v>
      </c>
      <c r="C1271" s="9">
        <v>46.5</v>
      </c>
      <c r="D1271" s="9">
        <v>49.5</v>
      </c>
      <c r="E1271" s="10">
        <v>49.5</v>
      </c>
      <c r="F1271" s="9">
        <f t="shared" si="76"/>
        <v>14.801409707546267</v>
      </c>
      <c r="G1271" s="9">
        <f t="shared" si="77"/>
        <v>15.756339366097638</v>
      </c>
      <c r="H1271" s="10">
        <f t="shared" si="78"/>
        <v>15.756339366097638</v>
      </c>
      <c r="K1271" s="11">
        <f>_xlfn.XLOOKUP(F1271,Ref!$B$3:$B$12,Ref!$C$3:$C$12,"",1)</f>
        <v>1</v>
      </c>
      <c r="L1271" s="11">
        <f>_xlfn.XLOOKUP(G1271,Ref!$B$3:$B$12,Ref!$C$3:$C$12,"",1)</f>
        <v>1</v>
      </c>
      <c r="M1271" s="11">
        <f>_xlfn.XLOOKUP(H1271,Ref!$B$3:$B$12,Ref!$C$3:$C$12,"",1)</f>
        <v>1</v>
      </c>
    </row>
    <row r="1272" spans="2:13" x14ac:dyDescent="0.25">
      <c r="B1272" s="15" t="s">
        <v>85</v>
      </c>
      <c r="C1272" s="9">
        <v>58.8</v>
      </c>
      <c r="D1272" s="9">
        <v>62</v>
      </c>
      <c r="E1272" s="10">
        <v>64.3</v>
      </c>
      <c r="F1272" s="9">
        <f t="shared" si="76"/>
        <v>18.716621307606893</v>
      </c>
      <c r="G1272" s="9">
        <f t="shared" si="77"/>
        <v>19.735212943395023</v>
      </c>
      <c r="H1272" s="10">
        <f t="shared" si="78"/>
        <v>20.467325681617741</v>
      </c>
      <c r="K1272" s="11">
        <f>_xlfn.XLOOKUP(F1272,Ref!$B$3:$B$12,Ref!$C$3:$C$12,"",1)</f>
        <v>1</v>
      </c>
      <c r="L1272" s="11">
        <f>_xlfn.XLOOKUP(G1272,Ref!$B$3:$B$12,Ref!$C$3:$C$12,"",1)</f>
        <v>1</v>
      </c>
      <c r="M1272" s="11">
        <f>_xlfn.XLOOKUP(H1272,Ref!$B$3:$B$12,Ref!$C$3:$C$12,"",1)</f>
        <v>2</v>
      </c>
    </row>
    <row r="1273" spans="2:13" x14ac:dyDescent="0.25">
      <c r="B1273" s="15" t="s">
        <v>15</v>
      </c>
      <c r="C1273" s="9">
        <v>43.4</v>
      </c>
      <c r="D1273" s="9">
        <v>47</v>
      </c>
      <c r="E1273" s="10">
        <v>0</v>
      </c>
      <c r="F1273" s="9">
        <f t="shared" si="76"/>
        <v>13.814649060376516</v>
      </c>
      <c r="G1273" s="9">
        <f t="shared" si="77"/>
        <v>14.960564650638162</v>
      </c>
      <c r="H1273" s="10">
        <f t="shared" si="78"/>
        <v>0</v>
      </c>
      <c r="K1273" s="11">
        <f>_xlfn.XLOOKUP(F1273,Ref!$B$3:$B$12,Ref!$C$3:$C$12,"",1)</f>
        <v>1</v>
      </c>
      <c r="L1273" s="11">
        <f>_xlfn.XLOOKUP(G1273,Ref!$B$3:$B$12,Ref!$C$3:$C$12,"",1)</f>
        <v>1</v>
      </c>
      <c r="M1273" s="11" t="str">
        <f>_xlfn.XLOOKUP(H1273,Ref!$B$3:$B$12,Ref!$C$3:$C$12,"",1)</f>
        <v>Morta</v>
      </c>
    </row>
    <row r="1274" spans="2:13" x14ac:dyDescent="0.25">
      <c r="B1274" s="15" t="s">
        <v>12</v>
      </c>
      <c r="C1274" s="9">
        <v>32.200000000000003</v>
      </c>
      <c r="D1274" s="9">
        <v>33.1</v>
      </c>
      <c r="E1274" s="10">
        <v>33.1</v>
      </c>
      <c r="F1274" s="9">
        <f t="shared" si="76"/>
        <v>10.249578335118061</v>
      </c>
      <c r="G1274" s="9">
        <f t="shared" si="77"/>
        <v>10.536057232683472</v>
      </c>
      <c r="H1274" s="10">
        <f t="shared" si="78"/>
        <v>10.536057232683472</v>
      </c>
      <c r="K1274" s="11">
        <f>_xlfn.XLOOKUP(F1274,Ref!$B$3:$B$12,Ref!$C$3:$C$12,"",1)</f>
        <v>1</v>
      </c>
      <c r="L1274" s="11">
        <f>_xlfn.XLOOKUP(G1274,Ref!$B$3:$B$12,Ref!$C$3:$C$12,"",1)</f>
        <v>1</v>
      </c>
      <c r="M1274" s="11">
        <f>_xlfn.XLOOKUP(H1274,Ref!$B$3:$B$12,Ref!$C$3:$C$12,"",1)</f>
        <v>1</v>
      </c>
    </row>
    <row r="1275" spans="2:13" x14ac:dyDescent="0.25">
      <c r="B1275" s="15" t="s">
        <v>12</v>
      </c>
      <c r="C1275" s="9">
        <v>40.5</v>
      </c>
      <c r="D1275" s="9">
        <v>44.4</v>
      </c>
      <c r="E1275" s="10">
        <v>47.1</v>
      </c>
      <c r="F1275" s="9">
        <f t="shared" si="76"/>
        <v>12.891550390443523</v>
      </c>
      <c r="G1275" s="9">
        <f t="shared" si="77"/>
        <v>14.132958946560306</v>
      </c>
      <c r="H1275" s="10">
        <f t="shared" si="78"/>
        <v>14.992395639256541</v>
      </c>
      <c r="K1275" s="11">
        <f>_xlfn.XLOOKUP(F1275,Ref!$B$3:$B$12,Ref!$C$3:$C$12,"",1)</f>
        <v>1</v>
      </c>
      <c r="L1275" s="11">
        <f>_xlfn.XLOOKUP(G1275,Ref!$B$3:$B$12,Ref!$C$3:$C$12,"",1)</f>
        <v>1</v>
      </c>
      <c r="M1275" s="11">
        <f>_xlfn.XLOOKUP(H1275,Ref!$B$3:$B$12,Ref!$C$3:$C$12,"",1)</f>
        <v>1</v>
      </c>
    </row>
    <row r="1276" spans="2:13" x14ac:dyDescent="0.25">
      <c r="B1276" s="15" t="s">
        <v>6</v>
      </c>
      <c r="C1276" s="9">
        <v>33.5</v>
      </c>
      <c r="D1276" s="9">
        <v>35</v>
      </c>
      <c r="E1276" s="10">
        <v>35.299999999999997</v>
      </c>
      <c r="F1276" s="9">
        <f t="shared" si="76"/>
        <v>10.663381187156988</v>
      </c>
      <c r="G1276" s="9">
        <f t="shared" si="77"/>
        <v>11.140846016432674</v>
      </c>
      <c r="H1276" s="10">
        <f t="shared" si="78"/>
        <v>11.23633898228781</v>
      </c>
      <c r="K1276" s="11">
        <f>_xlfn.XLOOKUP(F1276,Ref!$B$3:$B$12,Ref!$C$3:$C$12,"",1)</f>
        <v>1</v>
      </c>
      <c r="L1276" s="11">
        <f>_xlfn.XLOOKUP(G1276,Ref!$B$3:$B$12,Ref!$C$3:$C$12,"",1)</f>
        <v>1</v>
      </c>
      <c r="M1276" s="11">
        <f>_xlfn.XLOOKUP(H1276,Ref!$B$3:$B$12,Ref!$C$3:$C$12,"",1)</f>
        <v>1</v>
      </c>
    </row>
    <row r="1277" spans="2:13" x14ac:dyDescent="0.25">
      <c r="B1277" s="15" t="s">
        <v>41</v>
      </c>
      <c r="C1277" s="9">
        <v>69.900000000000006</v>
      </c>
      <c r="D1277" s="9">
        <v>78</v>
      </c>
      <c r="E1277" s="10">
        <v>85.8</v>
      </c>
      <c r="F1277" s="9">
        <f t="shared" si="76"/>
        <v>22.24986104424697</v>
      </c>
      <c r="G1277" s="9">
        <f t="shared" si="77"/>
        <v>24.828171122335672</v>
      </c>
      <c r="H1277" s="10">
        <f t="shared" si="78"/>
        <v>27.310988234569241</v>
      </c>
      <c r="K1277" s="11">
        <f>_xlfn.XLOOKUP(F1277,Ref!$B$3:$B$12,Ref!$C$3:$C$12,"",1)</f>
        <v>2</v>
      </c>
      <c r="L1277" s="11">
        <f>_xlfn.XLOOKUP(G1277,Ref!$B$3:$B$12,Ref!$C$3:$C$12,"",1)</f>
        <v>2</v>
      </c>
      <c r="M1277" s="11">
        <f>_xlfn.XLOOKUP(H1277,Ref!$B$3:$B$12,Ref!$C$3:$C$12,"",1)</f>
        <v>2</v>
      </c>
    </row>
    <row r="1278" spans="2:13" x14ac:dyDescent="0.25">
      <c r="B1278" s="15" t="s">
        <v>85</v>
      </c>
      <c r="C1278" s="9">
        <v>37.700000000000003</v>
      </c>
      <c r="D1278" s="9">
        <v>39.4</v>
      </c>
      <c r="E1278" s="10">
        <v>40.1</v>
      </c>
      <c r="F1278" s="9">
        <f t="shared" si="76"/>
        <v>12.000282709128909</v>
      </c>
      <c r="G1278" s="9">
        <f t="shared" si="77"/>
        <v>12.541409515641352</v>
      </c>
      <c r="H1278" s="10">
        <f t="shared" si="78"/>
        <v>12.764226435970008</v>
      </c>
      <c r="K1278" s="11">
        <f>_xlfn.XLOOKUP(F1278,Ref!$B$3:$B$12,Ref!$C$3:$C$12,"",1)</f>
        <v>1</v>
      </c>
      <c r="L1278" s="11">
        <f>_xlfn.XLOOKUP(G1278,Ref!$B$3:$B$12,Ref!$C$3:$C$12,"",1)</f>
        <v>1</v>
      </c>
      <c r="M1278" s="11">
        <f>_xlfn.XLOOKUP(H1278,Ref!$B$3:$B$12,Ref!$C$3:$C$12,"",1)</f>
        <v>1</v>
      </c>
    </row>
    <row r="1279" spans="2:13" x14ac:dyDescent="0.25">
      <c r="B1279" s="15" t="s">
        <v>25</v>
      </c>
      <c r="C1279" s="9">
        <v>32.299999999999997</v>
      </c>
      <c r="D1279" s="9">
        <v>33.299999999999997</v>
      </c>
      <c r="E1279" s="10">
        <v>32.1</v>
      </c>
      <c r="F1279" s="9">
        <f t="shared" si="76"/>
        <v>10.281409323736439</v>
      </c>
      <c r="G1279" s="9">
        <f t="shared" si="77"/>
        <v>10.599719209920229</v>
      </c>
      <c r="H1279" s="10">
        <f t="shared" si="78"/>
        <v>10.217747346499682</v>
      </c>
      <c r="K1279" s="11">
        <f>_xlfn.XLOOKUP(F1279,Ref!$B$3:$B$12,Ref!$C$3:$C$12,"",1)</f>
        <v>1</v>
      </c>
      <c r="L1279" s="11">
        <f>_xlfn.XLOOKUP(G1279,Ref!$B$3:$B$12,Ref!$C$3:$C$12,"",1)</f>
        <v>1</v>
      </c>
      <c r="M1279" s="11">
        <f>_xlfn.XLOOKUP(H1279,Ref!$B$3:$B$12,Ref!$C$3:$C$12,"",1)</f>
        <v>1</v>
      </c>
    </row>
    <row r="1280" spans="2:13" x14ac:dyDescent="0.25">
      <c r="B1280" s="15" t="s">
        <v>10</v>
      </c>
      <c r="C1280" s="9">
        <v>44.4</v>
      </c>
      <c r="D1280" s="9">
        <v>51.8</v>
      </c>
      <c r="E1280" s="10">
        <v>58.4</v>
      </c>
      <c r="F1280" s="9">
        <f t="shared" si="76"/>
        <v>14.132958946560306</v>
      </c>
      <c r="G1280" s="9">
        <f t="shared" si="77"/>
        <v>16.488452104320356</v>
      </c>
      <c r="H1280" s="10">
        <f t="shared" si="78"/>
        <v>18.589297353133375</v>
      </c>
      <c r="K1280" s="11">
        <f>_xlfn.XLOOKUP(F1280,Ref!$B$3:$B$12,Ref!$C$3:$C$12,"",1)</f>
        <v>1</v>
      </c>
      <c r="L1280" s="11">
        <f>_xlfn.XLOOKUP(G1280,Ref!$B$3:$B$12,Ref!$C$3:$C$12,"",1)</f>
        <v>1</v>
      </c>
      <c r="M1280" s="11">
        <f>_xlfn.XLOOKUP(H1280,Ref!$B$3:$B$12,Ref!$C$3:$C$12,"",1)</f>
        <v>1</v>
      </c>
    </row>
    <row r="1281" spans="2:13" x14ac:dyDescent="0.25">
      <c r="B1281" s="15" t="s">
        <v>10</v>
      </c>
      <c r="C1281" s="9">
        <v>33</v>
      </c>
      <c r="D1281" s="9">
        <v>34.200000000000003</v>
      </c>
      <c r="E1281" s="10">
        <v>34.299999999999997</v>
      </c>
      <c r="F1281" s="9">
        <f t="shared" si="76"/>
        <v>10.504226244065093</v>
      </c>
      <c r="G1281" s="9">
        <f t="shared" si="77"/>
        <v>10.886198107485642</v>
      </c>
      <c r="H1281" s="10">
        <f t="shared" si="78"/>
        <v>10.91802909610402</v>
      </c>
      <c r="K1281" s="11">
        <f>_xlfn.XLOOKUP(F1281,Ref!$B$3:$B$12,Ref!$C$3:$C$12,"",1)</f>
        <v>1</v>
      </c>
      <c r="L1281" s="11">
        <f>_xlfn.XLOOKUP(G1281,Ref!$B$3:$B$12,Ref!$C$3:$C$12,"",1)</f>
        <v>1</v>
      </c>
      <c r="M1281" s="11">
        <f>_xlfn.XLOOKUP(H1281,Ref!$B$3:$B$12,Ref!$C$3:$C$12,"",1)</f>
        <v>1</v>
      </c>
    </row>
    <row r="1282" spans="2:13" x14ac:dyDescent="0.25">
      <c r="B1282" s="15" t="s">
        <v>69</v>
      </c>
      <c r="C1282" s="9">
        <v>41.5</v>
      </c>
      <c r="D1282" s="9">
        <v>46.2</v>
      </c>
      <c r="E1282" s="10">
        <v>49.5</v>
      </c>
      <c r="F1282" s="9">
        <f t="shared" si="76"/>
        <v>13.209860276627314</v>
      </c>
      <c r="G1282" s="9">
        <f t="shared" si="77"/>
        <v>14.70591674169113</v>
      </c>
      <c r="H1282" s="10">
        <f t="shared" si="78"/>
        <v>15.756339366097638</v>
      </c>
      <c r="K1282" s="11">
        <f>_xlfn.XLOOKUP(F1282,Ref!$B$3:$B$12,Ref!$C$3:$C$12,"",1)</f>
        <v>1</v>
      </c>
      <c r="L1282" s="11">
        <f>_xlfn.XLOOKUP(G1282,Ref!$B$3:$B$12,Ref!$C$3:$C$12,"",1)</f>
        <v>1</v>
      </c>
      <c r="M1282" s="11">
        <f>_xlfn.XLOOKUP(H1282,Ref!$B$3:$B$12,Ref!$C$3:$C$12,"",1)</f>
        <v>1</v>
      </c>
    </row>
    <row r="1283" spans="2:13" x14ac:dyDescent="0.25">
      <c r="B1283" s="15" t="s">
        <v>44</v>
      </c>
      <c r="C1283" s="9">
        <v>32.6</v>
      </c>
      <c r="D1283" s="9">
        <v>35</v>
      </c>
      <c r="E1283" s="10">
        <v>35</v>
      </c>
      <c r="F1283" s="9">
        <f t="shared" si="76"/>
        <v>10.376902289591577</v>
      </c>
      <c r="G1283" s="9">
        <f t="shared" si="77"/>
        <v>11.140846016432674</v>
      </c>
      <c r="H1283" s="10">
        <f t="shared" si="78"/>
        <v>11.140846016432674</v>
      </c>
      <c r="K1283" s="11">
        <f>_xlfn.XLOOKUP(F1283,Ref!$B$3:$B$12,Ref!$C$3:$C$12,"",1)</f>
        <v>1</v>
      </c>
      <c r="L1283" s="11">
        <f>_xlfn.XLOOKUP(G1283,Ref!$B$3:$B$12,Ref!$C$3:$C$12,"",1)</f>
        <v>1</v>
      </c>
      <c r="M1283" s="11">
        <f>_xlfn.XLOOKUP(H1283,Ref!$B$3:$B$12,Ref!$C$3:$C$12,"",1)</f>
        <v>1</v>
      </c>
    </row>
    <row r="1284" spans="2:13" x14ac:dyDescent="0.25">
      <c r="B1284" s="15" t="s">
        <v>41</v>
      </c>
      <c r="C1284" s="9">
        <v>62.1</v>
      </c>
      <c r="D1284" s="9">
        <v>70</v>
      </c>
      <c r="E1284" s="10">
        <v>75.5</v>
      </c>
      <c r="F1284" s="9">
        <f t="shared" si="76"/>
        <v>19.767043932013401</v>
      </c>
      <c r="G1284" s="9">
        <f t="shared" si="77"/>
        <v>22.281692032865347</v>
      </c>
      <c r="H1284" s="10">
        <f t="shared" si="78"/>
        <v>24.032396406876195</v>
      </c>
      <c r="K1284" s="11">
        <f>_xlfn.XLOOKUP(F1284,Ref!$B$3:$B$12,Ref!$C$3:$C$12,"",1)</f>
        <v>1</v>
      </c>
      <c r="L1284" s="11">
        <f>_xlfn.XLOOKUP(G1284,Ref!$B$3:$B$12,Ref!$C$3:$C$12,"",1)</f>
        <v>2</v>
      </c>
      <c r="M1284" s="11">
        <f>_xlfn.XLOOKUP(H1284,Ref!$B$3:$B$12,Ref!$C$3:$C$12,"",1)</f>
        <v>2</v>
      </c>
    </row>
    <row r="1285" spans="2:13" x14ac:dyDescent="0.25">
      <c r="B1285" s="15" t="s">
        <v>2</v>
      </c>
      <c r="C1285" s="9">
        <v>63.3</v>
      </c>
      <c r="D1285" s="9">
        <v>65.8</v>
      </c>
      <c r="E1285" s="10">
        <v>65.2</v>
      </c>
      <c r="F1285" s="9">
        <f t="shared" si="76"/>
        <v>20.14901579543395</v>
      </c>
      <c r="G1285" s="9">
        <f t="shared" si="77"/>
        <v>20.944790510893426</v>
      </c>
      <c r="H1285" s="10">
        <f t="shared" si="78"/>
        <v>20.753804579183154</v>
      </c>
      <c r="K1285" s="11">
        <f>_xlfn.XLOOKUP(F1285,Ref!$B$3:$B$12,Ref!$C$3:$C$12,"",1)</f>
        <v>2</v>
      </c>
      <c r="L1285" s="11">
        <f>_xlfn.XLOOKUP(G1285,Ref!$B$3:$B$12,Ref!$C$3:$C$12,"",1)</f>
        <v>2</v>
      </c>
      <c r="M1285" s="11">
        <f>_xlfn.XLOOKUP(H1285,Ref!$B$3:$B$12,Ref!$C$3:$C$12,"",1)</f>
        <v>2</v>
      </c>
    </row>
    <row r="1286" spans="2:13" x14ac:dyDescent="0.25">
      <c r="B1286" s="15" t="s">
        <v>2</v>
      </c>
      <c r="C1286" s="9">
        <v>61.5</v>
      </c>
      <c r="D1286" s="9">
        <v>60.4</v>
      </c>
      <c r="E1286" s="10">
        <v>61.5</v>
      </c>
      <c r="F1286" s="9">
        <f t="shared" si="76"/>
        <v>19.576058000303128</v>
      </c>
      <c r="G1286" s="9">
        <f t="shared" si="77"/>
        <v>19.225917125500956</v>
      </c>
      <c r="H1286" s="10">
        <f t="shared" si="78"/>
        <v>19.576058000303128</v>
      </c>
      <c r="K1286" s="11">
        <f>_xlfn.XLOOKUP(F1286,Ref!$B$3:$B$12,Ref!$C$3:$C$12,"",1)</f>
        <v>1</v>
      </c>
      <c r="L1286" s="11">
        <f>_xlfn.XLOOKUP(G1286,Ref!$B$3:$B$12,Ref!$C$3:$C$12,"",1)</f>
        <v>1</v>
      </c>
      <c r="M1286" s="11">
        <f>_xlfn.XLOOKUP(H1286,Ref!$B$3:$B$12,Ref!$C$3:$C$12,"",1)</f>
        <v>1</v>
      </c>
    </row>
    <row r="1287" spans="2:13" x14ac:dyDescent="0.25">
      <c r="B1287" s="15" t="s">
        <v>2</v>
      </c>
      <c r="C1287" s="9">
        <v>37.5</v>
      </c>
      <c r="D1287" s="9">
        <v>40.799999999999997</v>
      </c>
      <c r="E1287" s="10">
        <v>44</v>
      </c>
      <c r="F1287" s="9">
        <f t="shared" si="76"/>
        <v>11.93662073189215</v>
      </c>
      <c r="G1287" s="9">
        <f t="shared" si="77"/>
        <v>12.98704335629866</v>
      </c>
      <c r="H1287" s="10">
        <f t="shared" si="78"/>
        <v>14.00563499208679</v>
      </c>
      <c r="K1287" s="11">
        <f>_xlfn.XLOOKUP(F1287,Ref!$B$3:$B$12,Ref!$C$3:$C$12,"",1)</f>
        <v>1</v>
      </c>
      <c r="L1287" s="11">
        <f>_xlfn.XLOOKUP(G1287,Ref!$B$3:$B$12,Ref!$C$3:$C$12,"",1)</f>
        <v>1</v>
      </c>
      <c r="M1287" s="11">
        <f>_xlfn.XLOOKUP(H1287,Ref!$B$3:$B$12,Ref!$C$3:$C$12,"",1)</f>
        <v>1</v>
      </c>
    </row>
    <row r="1288" spans="2:13" x14ac:dyDescent="0.25">
      <c r="B1288" s="15" t="s">
        <v>14</v>
      </c>
      <c r="C1288" s="9">
        <v>38.700000000000003</v>
      </c>
      <c r="D1288" s="9">
        <v>42.2</v>
      </c>
      <c r="E1288" s="10">
        <v>44.9</v>
      </c>
      <c r="F1288" s="9">
        <f t="shared" si="76"/>
        <v>12.318592595312701</v>
      </c>
      <c r="G1288" s="9">
        <f t="shared" si="77"/>
        <v>13.432677196955968</v>
      </c>
      <c r="H1288" s="10">
        <f t="shared" si="78"/>
        <v>14.292113889652201</v>
      </c>
      <c r="K1288" s="11">
        <f>_xlfn.XLOOKUP(F1288,Ref!$B$3:$B$12,Ref!$C$3:$C$12,"",1)</f>
        <v>1</v>
      </c>
      <c r="L1288" s="11">
        <f>_xlfn.XLOOKUP(G1288,Ref!$B$3:$B$12,Ref!$C$3:$C$12,"",1)</f>
        <v>1</v>
      </c>
      <c r="M1288" s="11">
        <f>_xlfn.XLOOKUP(H1288,Ref!$B$3:$B$12,Ref!$C$3:$C$12,"",1)</f>
        <v>1</v>
      </c>
    </row>
    <row r="1289" spans="2:13" x14ac:dyDescent="0.25">
      <c r="B1289" s="15" t="s">
        <v>25</v>
      </c>
      <c r="C1289" s="9">
        <v>32.700000000000003</v>
      </c>
      <c r="D1289" s="9">
        <v>36.1</v>
      </c>
      <c r="E1289" s="10">
        <v>38.200000000000003</v>
      </c>
      <c r="F1289" s="9">
        <f t="shared" si="76"/>
        <v>10.408733278209956</v>
      </c>
      <c r="G1289" s="9">
        <f t="shared" si="77"/>
        <v>11.490986891234844</v>
      </c>
      <c r="H1289" s="10">
        <f t="shared" si="78"/>
        <v>12.159437652220806</v>
      </c>
      <c r="K1289" s="11">
        <f>_xlfn.XLOOKUP(F1289,Ref!$B$3:$B$12,Ref!$C$3:$C$12,"",1)</f>
        <v>1</v>
      </c>
      <c r="L1289" s="11">
        <f>_xlfn.XLOOKUP(G1289,Ref!$B$3:$B$12,Ref!$C$3:$C$12,"",1)</f>
        <v>1</v>
      </c>
      <c r="M1289" s="11">
        <f>_xlfn.XLOOKUP(H1289,Ref!$B$3:$B$12,Ref!$C$3:$C$12,"",1)</f>
        <v>1</v>
      </c>
    </row>
    <row r="1290" spans="2:13" x14ac:dyDescent="0.25">
      <c r="B1290" s="15" t="s">
        <v>12</v>
      </c>
      <c r="C1290" s="9">
        <v>38.5</v>
      </c>
      <c r="D1290" s="9">
        <v>42.7</v>
      </c>
      <c r="E1290" s="10">
        <v>45.5</v>
      </c>
      <c r="F1290" s="9">
        <f t="shared" si="76"/>
        <v>12.254930618075941</v>
      </c>
      <c r="G1290" s="9">
        <f t="shared" si="77"/>
        <v>13.591832140047863</v>
      </c>
      <c r="H1290" s="10">
        <f t="shared" si="78"/>
        <v>14.483099821362476</v>
      </c>
      <c r="K1290" s="11">
        <f>_xlfn.XLOOKUP(F1290,Ref!$B$3:$B$12,Ref!$C$3:$C$12,"",1)</f>
        <v>1</v>
      </c>
      <c r="L1290" s="11">
        <f>_xlfn.XLOOKUP(G1290,Ref!$B$3:$B$12,Ref!$C$3:$C$12,"",1)</f>
        <v>1</v>
      </c>
      <c r="M1290" s="11">
        <f>_xlfn.XLOOKUP(H1290,Ref!$B$3:$B$12,Ref!$C$3:$C$12,"",1)</f>
        <v>1</v>
      </c>
    </row>
    <row r="1291" spans="2:13" x14ac:dyDescent="0.25">
      <c r="B1291" s="15" t="s">
        <v>12</v>
      </c>
      <c r="C1291" s="9">
        <v>33.299999999999997</v>
      </c>
      <c r="D1291" s="9">
        <v>35.9</v>
      </c>
      <c r="E1291" s="10">
        <v>37.4</v>
      </c>
      <c r="F1291" s="9">
        <f t="shared" si="76"/>
        <v>10.599719209920229</v>
      </c>
      <c r="G1291" s="9">
        <f t="shared" si="77"/>
        <v>11.427324913998085</v>
      </c>
      <c r="H1291" s="10">
        <f t="shared" si="78"/>
        <v>11.904789743273771</v>
      </c>
      <c r="K1291" s="11">
        <f>_xlfn.XLOOKUP(F1291,Ref!$B$3:$B$12,Ref!$C$3:$C$12,"",1)</f>
        <v>1</v>
      </c>
      <c r="L1291" s="11">
        <f>_xlfn.XLOOKUP(G1291,Ref!$B$3:$B$12,Ref!$C$3:$C$12,"",1)</f>
        <v>1</v>
      </c>
      <c r="M1291" s="11">
        <f>_xlfn.XLOOKUP(H1291,Ref!$B$3:$B$12,Ref!$C$3:$C$12,"",1)</f>
        <v>1</v>
      </c>
    </row>
    <row r="1292" spans="2:13" x14ac:dyDescent="0.25">
      <c r="B1292" s="15" t="s">
        <v>13</v>
      </c>
      <c r="C1292" s="9">
        <v>57.3</v>
      </c>
      <c r="D1292" s="9">
        <v>61</v>
      </c>
      <c r="E1292" s="10">
        <v>65.7</v>
      </c>
      <c r="F1292" s="9">
        <f t="shared" si="76"/>
        <v>18.239156478331207</v>
      </c>
      <c r="G1292" s="9">
        <f t="shared" si="77"/>
        <v>19.416903057211233</v>
      </c>
      <c r="H1292" s="10">
        <f t="shared" si="78"/>
        <v>20.912959522275049</v>
      </c>
      <c r="K1292" s="11">
        <f>_xlfn.XLOOKUP(F1292,Ref!$B$3:$B$12,Ref!$C$3:$C$12,"",1)</f>
        <v>1</v>
      </c>
      <c r="L1292" s="11">
        <f>_xlfn.XLOOKUP(G1292,Ref!$B$3:$B$12,Ref!$C$3:$C$12,"",1)</f>
        <v>1</v>
      </c>
      <c r="M1292" s="11">
        <f>_xlfn.XLOOKUP(H1292,Ref!$B$3:$B$12,Ref!$C$3:$C$12,"",1)</f>
        <v>2</v>
      </c>
    </row>
    <row r="1293" spans="2:13" x14ac:dyDescent="0.25">
      <c r="B1293" s="15" t="s">
        <v>41</v>
      </c>
      <c r="C1293" s="9">
        <v>46.6</v>
      </c>
      <c r="D1293" s="9">
        <v>48.4</v>
      </c>
      <c r="E1293" s="10">
        <v>48.4</v>
      </c>
      <c r="F1293" s="9">
        <f t="shared" si="76"/>
        <v>14.833240696164646</v>
      </c>
      <c r="G1293" s="9">
        <f t="shared" si="77"/>
        <v>15.406198491295468</v>
      </c>
      <c r="H1293" s="10">
        <f t="shared" si="78"/>
        <v>15.406198491295468</v>
      </c>
      <c r="K1293" s="11">
        <f>_xlfn.XLOOKUP(F1293,Ref!$B$3:$B$12,Ref!$C$3:$C$12,"",1)</f>
        <v>1</v>
      </c>
      <c r="L1293" s="11">
        <f>_xlfn.XLOOKUP(G1293,Ref!$B$3:$B$12,Ref!$C$3:$C$12,"",1)</f>
        <v>1</v>
      </c>
      <c r="M1293" s="11">
        <f>_xlfn.XLOOKUP(H1293,Ref!$B$3:$B$12,Ref!$C$3:$C$12,"",1)</f>
        <v>1</v>
      </c>
    </row>
    <row r="1294" spans="2:13" x14ac:dyDescent="0.25">
      <c r="B1294" s="15" t="s">
        <v>7</v>
      </c>
      <c r="C1294" s="9">
        <v>81.2</v>
      </c>
      <c r="D1294" s="9">
        <v>86.5</v>
      </c>
      <c r="E1294" s="10">
        <v>89.4</v>
      </c>
      <c r="F1294" s="9">
        <f t="shared" si="76"/>
        <v>25.846762758123806</v>
      </c>
      <c r="G1294" s="9">
        <f t="shared" si="77"/>
        <v>27.533805154897895</v>
      </c>
      <c r="H1294" s="10">
        <f t="shared" si="78"/>
        <v>28.456903824830889</v>
      </c>
      <c r="K1294" s="11">
        <f>_xlfn.XLOOKUP(F1294,Ref!$B$3:$B$12,Ref!$C$3:$C$12,"",1)</f>
        <v>2</v>
      </c>
      <c r="L1294" s="11">
        <f>_xlfn.XLOOKUP(G1294,Ref!$B$3:$B$12,Ref!$C$3:$C$12,"",1)</f>
        <v>2</v>
      </c>
      <c r="M1294" s="11">
        <f>_xlfn.XLOOKUP(H1294,Ref!$B$3:$B$12,Ref!$C$3:$C$12,"",1)</f>
        <v>2</v>
      </c>
    </row>
    <row r="1295" spans="2:13" x14ac:dyDescent="0.25">
      <c r="B1295" s="15" t="s">
        <v>12</v>
      </c>
      <c r="C1295" s="9">
        <v>37.4</v>
      </c>
      <c r="D1295" s="9">
        <v>40.5</v>
      </c>
      <c r="E1295" s="10">
        <v>42.2</v>
      </c>
      <c r="F1295" s="9">
        <f t="shared" si="76"/>
        <v>11.904789743273771</v>
      </c>
      <c r="G1295" s="9">
        <f t="shared" si="77"/>
        <v>12.891550390443523</v>
      </c>
      <c r="H1295" s="10">
        <f t="shared" si="78"/>
        <v>13.432677196955968</v>
      </c>
      <c r="K1295" s="11">
        <f>_xlfn.XLOOKUP(F1295,Ref!$B$3:$B$12,Ref!$C$3:$C$12,"",1)</f>
        <v>1</v>
      </c>
      <c r="L1295" s="11">
        <f>_xlfn.XLOOKUP(G1295,Ref!$B$3:$B$12,Ref!$C$3:$C$12,"",1)</f>
        <v>1</v>
      </c>
      <c r="M1295" s="11">
        <f>_xlfn.XLOOKUP(H1295,Ref!$B$3:$B$12,Ref!$C$3:$C$12,"",1)</f>
        <v>1</v>
      </c>
    </row>
    <row r="1296" spans="2:13" x14ac:dyDescent="0.25">
      <c r="B1296" s="15" t="s">
        <v>80</v>
      </c>
      <c r="C1296" s="9">
        <v>37.6</v>
      </c>
      <c r="D1296" s="9">
        <v>39</v>
      </c>
      <c r="E1296" s="10">
        <v>0</v>
      </c>
      <c r="F1296" s="9">
        <f t="shared" si="76"/>
        <v>11.968451720510529</v>
      </c>
      <c r="G1296" s="9">
        <f t="shared" si="77"/>
        <v>12.414085561167836</v>
      </c>
      <c r="H1296" s="10">
        <f t="shared" si="78"/>
        <v>0</v>
      </c>
      <c r="K1296" s="11">
        <f>_xlfn.XLOOKUP(F1296,Ref!$B$3:$B$12,Ref!$C$3:$C$12,"",1)</f>
        <v>1</v>
      </c>
      <c r="L1296" s="11">
        <f>_xlfn.XLOOKUP(G1296,Ref!$B$3:$B$12,Ref!$C$3:$C$12,"",1)</f>
        <v>1</v>
      </c>
      <c r="M1296" s="11" t="str">
        <f>_xlfn.XLOOKUP(H1296,Ref!$B$3:$B$12,Ref!$C$3:$C$12,"",1)</f>
        <v>Morta</v>
      </c>
    </row>
    <row r="1297" spans="2:13" x14ac:dyDescent="0.25">
      <c r="B1297" s="15" t="s">
        <v>6</v>
      </c>
      <c r="C1297" s="9">
        <v>35.700000000000003</v>
      </c>
      <c r="D1297" s="9">
        <v>38.200000000000003</v>
      </c>
      <c r="E1297" s="10">
        <v>38.200000000000003</v>
      </c>
      <c r="F1297" s="9">
        <f t="shared" si="76"/>
        <v>11.363662936761328</v>
      </c>
      <c r="G1297" s="9">
        <f t="shared" si="77"/>
        <v>12.159437652220806</v>
      </c>
      <c r="H1297" s="10">
        <f t="shared" si="78"/>
        <v>12.159437652220806</v>
      </c>
      <c r="K1297" s="11">
        <f>_xlfn.XLOOKUP(F1297,Ref!$B$3:$B$12,Ref!$C$3:$C$12,"",1)</f>
        <v>1</v>
      </c>
      <c r="L1297" s="11">
        <f>_xlfn.XLOOKUP(G1297,Ref!$B$3:$B$12,Ref!$C$3:$C$12,"",1)</f>
        <v>1</v>
      </c>
      <c r="M1297" s="11">
        <f>_xlfn.XLOOKUP(H1297,Ref!$B$3:$B$12,Ref!$C$3:$C$12,"",1)</f>
        <v>1</v>
      </c>
    </row>
    <row r="1298" spans="2:13" x14ac:dyDescent="0.25">
      <c r="B1298" s="15" t="s">
        <v>12</v>
      </c>
      <c r="C1298" s="9">
        <v>38.4</v>
      </c>
      <c r="D1298" s="9">
        <v>43.7</v>
      </c>
      <c r="E1298" s="10">
        <v>48.5</v>
      </c>
      <c r="F1298" s="9">
        <f t="shared" si="76"/>
        <v>12.223099629457561</v>
      </c>
      <c r="G1298" s="9">
        <f t="shared" si="77"/>
        <v>13.910142026231654</v>
      </c>
      <c r="H1298" s="10">
        <f t="shared" si="78"/>
        <v>15.438029479913848</v>
      </c>
      <c r="K1298" s="11">
        <f>_xlfn.XLOOKUP(F1298,Ref!$B$3:$B$12,Ref!$C$3:$C$12,"",1)</f>
        <v>1</v>
      </c>
      <c r="L1298" s="11">
        <f>_xlfn.XLOOKUP(G1298,Ref!$B$3:$B$12,Ref!$C$3:$C$12,"",1)</f>
        <v>1</v>
      </c>
      <c r="M1298" s="11">
        <f>_xlfn.XLOOKUP(H1298,Ref!$B$3:$B$12,Ref!$C$3:$C$12,"",1)</f>
        <v>1</v>
      </c>
    </row>
    <row r="1299" spans="2:13" x14ac:dyDescent="0.25">
      <c r="B1299" s="15" t="s">
        <v>26</v>
      </c>
      <c r="C1299" s="9">
        <v>206.5</v>
      </c>
      <c r="D1299" s="9">
        <v>208</v>
      </c>
      <c r="E1299" s="10">
        <v>220.5</v>
      </c>
      <c r="F1299" s="9">
        <f t="shared" si="76"/>
        <v>65.730991496952782</v>
      </c>
      <c r="G1299" s="9">
        <f t="shared" si="77"/>
        <v>66.208456326228458</v>
      </c>
      <c r="H1299" s="10">
        <f t="shared" si="78"/>
        <v>70.18732990352585</v>
      </c>
      <c r="K1299" s="11">
        <f>_xlfn.XLOOKUP(F1299,Ref!$B$3:$B$12,Ref!$C$3:$C$12,"",1)</f>
        <v>6</v>
      </c>
      <c r="L1299" s="11">
        <f>_xlfn.XLOOKUP(G1299,Ref!$B$3:$B$12,Ref!$C$3:$C$12,"",1)</f>
        <v>6</v>
      </c>
      <c r="M1299" s="11">
        <f>_xlfn.XLOOKUP(H1299,Ref!$B$3:$B$12,Ref!$C$3:$C$12,"",1)</f>
        <v>7</v>
      </c>
    </row>
    <row r="1300" spans="2:13" x14ac:dyDescent="0.25">
      <c r="B1300" s="15" t="s">
        <v>14</v>
      </c>
      <c r="C1300" s="9">
        <v>46.8</v>
      </c>
      <c r="D1300" s="9">
        <v>50.2</v>
      </c>
      <c r="E1300" s="10">
        <v>53.4</v>
      </c>
      <c r="F1300" s="9">
        <f t="shared" si="76"/>
        <v>14.896902673401403</v>
      </c>
      <c r="G1300" s="9">
        <f t="shared" si="77"/>
        <v>15.979156286426294</v>
      </c>
      <c r="H1300" s="10">
        <f t="shared" si="78"/>
        <v>16.997747922214423</v>
      </c>
      <c r="K1300" s="11">
        <f>_xlfn.XLOOKUP(F1300,Ref!$B$3:$B$12,Ref!$C$3:$C$12,"",1)</f>
        <v>1</v>
      </c>
      <c r="L1300" s="11">
        <f>_xlfn.XLOOKUP(G1300,Ref!$B$3:$B$12,Ref!$C$3:$C$12,"",1)</f>
        <v>1</v>
      </c>
      <c r="M1300" s="11">
        <f>_xlfn.XLOOKUP(H1300,Ref!$B$3:$B$12,Ref!$C$3:$C$12,"",1)</f>
        <v>1</v>
      </c>
    </row>
    <row r="1301" spans="2:13" x14ac:dyDescent="0.25">
      <c r="B1301" s="15" t="s">
        <v>25</v>
      </c>
      <c r="C1301" s="9">
        <v>64.7</v>
      </c>
      <c r="D1301" s="9">
        <v>72.5</v>
      </c>
      <c r="E1301" s="10">
        <v>77.8</v>
      </c>
      <c r="F1301" s="9">
        <f t="shared" si="76"/>
        <v>20.594649636091258</v>
      </c>
      <c r="G1301" s="9">
        <f t="shared" si="77"/>
        <v>23.077466748324824</v>
      </c>
      <c r="H1301" s="10">
        <f t="shared" si="78"/>
        <v>24.764509145098913</v>
      </c>
      <c r="K1301" s="11">
        <f>_xlfn.XLOOKUP(F1301,Ref!$B$3:$B$12,Ref!$C$3:$C$12,"",1)</f>
        <v>2</v>
      </c>
      <c r="L1301" s="11">
        <f>_xlfn.XLOOKUP(G1301,Ref!$B$3:$B$12,Ref!$C$3:$C$12,"",1)</f>
        <v>2</v>
      </c>
      <c r="M1301" s="11">
        <f>_xlfn.XLOOKUP(H1301,Ref!$B$3:$B$12,Ref!$C$3:$C$12,"",1)</f>
        <v>2</v>
      </c>
    </row>
    <row r="1302" spans="2:13" x14ac:dyDescent="0.25">
      <c r="B1302" s="15" t="s">
        <v>6</v>
      </c>
      <c r="C1302" s="9">
        <v>32.1</v>
      </c>
      <c r="D1302" s="9">
        <v>33.200000000000003</v>
      </c>
      <c r="E1302" s="10">
        <v>33.9</v>
      </c>
      <c r="F1302" s="9">
        <f t="shared" si="76"/>
        <v>10.217747346499682</v>
      </c>
      <c r="G1302" s="9">
        <f t="shared" si="77"/>
        <v>10.567888221301851</v>
      </c>
      <c r="H1302" s="10">
        <f t="shared" si="78"/>
        <v>10.790705141630504</v>
      </c>
      <c r="K1302" s="11">
        <f>_xlfn.XLOOKUP(F1302,Ref!$B$3:$B$12,Ref!$C$3:$C$12,"",1)</f>
        <v>1</v>
      </c>
      <c r="L1302" s="11">
        <f>_xlfn.XLOOKUP(G1302,Ref!$B$3:$B$12,Ref!$C$3:$C$12,"",1)</f>
        <v>1</v>
      </c>
      <c r="M1302" s="11">
        <f>_xlfn.XLOOKUP(H1302,Ref!$B$3:$B$12,Ref!$C$3:$C$12,"",1)</f>
        <v>1</v>
      </c>
    </row>
    <row r="1303" spans="2:13" x14ac:dyDescent="0.25">
      <c r="B1303" s="15" t="s">
        <v>6</v>
      </c>
      <c r="C1303" s="9">
        <v>47.8</v>
      </c>
      <c r="D1303" s="9">
        <v>48.6</v>
      </c>
      <c r="E1303" s="10">
        <v>49.5</v>
      </c>
      <c r="F1303" s="9">
        <f t="shared" si="76"/>
        <v>15.215212559585193</v>
      </c>
      <c r="G1303" s="9">
        <f t="shared" si="77"/>
        <v>15.469860468532227</v>
      </c>
      <c r="H1303" s="10">
        <f t="shared" si="78"/>
        <v>15.756339366097638</v>
      </c>
      <c r="K1303" s="11">
        <f>_xlfn.XLOOKUP(F1303,Ref!$B$3:$B$12,Ref!$C$3:$C$12,"",1)</f>
        <v>1</v>
      </c>
      <c r="L1303" s="11">
        <f>_xlfn.XLOOKUP(G1303,Ref!$B$3:$B$12,Ref!$C$3:$C$12,"",1)</f>
        <v>1</v>
      </c>
      <c r="M1303" s="11">
        <f>_xlfn.XLOOKUP(H1303,Ref!$B$3:$B$12,Ref!$C$3:$C$12,"",1)</f>
        <v>1</v>
      </c>
    </row>
    <row r="1304" spans="2:13" x14ac:dyDescent="0.25">
      <c r="B1304" s="15" t="s">
        <v>12</v>
      </c>
      <c r="C1304" s="9">
        <v>34.4</v>
      </c>
      <c r="D1304" s="9">
        <v>35.4</v>
      </c>
      <c r="E1304" s="10">
        <v>35.5</v>
      </c>
      <c r="F1304" s="9">
        <f t="shared" si="76"/>
        <v>10.949860084722399</v>
      </c>
      <c r="G1304" s="9">
        <f t="shared" si="77"/>
        <v>11.26816997090619</v>
      </c>
      <c r="H1304" s="10">
        <f t="shared" si="78"/>
        <v>11.300000959524569</v>
      </c>
      <c r="K1304" s="11">
        <f>_xlfn.XLOOKUP(F1304,Ref!$B$3:$B$12,Ref!$C$3:$C$12,"",1)</f>
        <v>1</v>
      </c>
      <c r="L1304" s="11">
        <f>_xlfn.XLOOKUP(G1304,Ref!$B$3:$B$12,Ref!$C$3:$C$12,"",1)</f>
        <v>1</v>
      </c>
      <c r="M1304" s="11">
        <f>_xlfn.XLOOKUP(H1304,Ref!$B$3:$B$12,Ref!$C$3:$C$12,"",1)</f>
        <v>1</v>
      </c>
    </row>
    <row r="1305" spans="2:13" x14ac:dyDescent="0.25">
      <c r="B1305" s="15" t="s">
        <v>7</v>
      </c>
      <c r="C1305" s="9">
        <v>57.8</v>
      </c>
      <c r="D1305" s="9">
        <v>60.8</v>
      </c>
      <c r="E1305" s="10">
        <v>62.8</v>
      </c>
      <c r="F1305" s="9">
        <f t="shared" si="76"/>
        <v>18.398311421423102</v>
      </c>
      <c r="G1305" s="9">
        <f t="shared" si="77"/>
        <v>19.353241079974474</v>
      </c>
      <c r="H1305" s="10">
        <f t="shared" si="78"/>
        <v>19.989860852342055</v>
      </c>
      <c r="K1305" s="11">
        <f>_xlfn.XLOOKUP(F1305,Ref!$B$3:$B$12,Ref!$C$3:$C$12,"",1)</f>
        <v>1</v>
      </c>
      <c r="L1305" s="11">
        <f>_xlfn.XLOOKUP(G1305,Ref!$B$3:$B$12,Ref!$C$3:$C$12,"",1)</f>
        <v>1</v>
      </c>
      <c r="M1305" s="11">
        <f>_xlfn.XLOOKUP(H1305,Ref!$B$3:$B$12,Ref!$C$3:$C$12,"",1)</f>
        <v>1</v>
      </c>
    </row>
    <row r="1306" spans="2:13" x14ac:dyDescent="0.25">
      <c r="B1306" s="15" t="s">
        <v>12</v>
      </c>
      <c r="C1306" s="9">
        <v>34.4</v>
      </c>
      <c r="D1306" s="9">
        <v>37.6</v>
      </c>
      <c r="E1306" s="10">
        <v>40.9</v>
      </c>
      <c r="F1306" s="9">
        <f t="shared" si="76"/>
        <v>10.949860084722399</v>
      </c>
      <c r="G1306" s="9">
        <f t="shared" si="77"/>
        <v>11.968451720510529</v>
      </c>
      <c r="H1306" s="10">
        <f t="shared" si="78"/>
        <v>13.018874344917039</v>
      </c>
      <c r="K1306" s="11">
        <f>_xlfn.XLOOKUP(F1306,Ref!$B$3:$B$12,Ref!$C$3:$C$12,"",1)</f>
        <v>1</v>
      </c>
      <c r="L1306" s="11">
        <f>_xlfn.XLOOKUP(G1306,Ref!$B$3:$B$12,Ref!$C$3:$C$12,"",1)</f>
        <v>1</v>
      </c>
      <c r="M1306" s="11">
        <f>_xlfn.XLOOKUP(H1306,Ref!$B$3:$B$12,Ref!$C$3:$C$12,"",1)</f>
        <v>1</v>
      </c>
    </row>
    <row r="1307" spans="2:13" x14ac:dyDescent="0.25">
      <c r="B1307" s="15" t="s">
        <v>27</v>
      </c>
      <c r="C1307" s="9">
        <v>51.1</v>
      </c>
      <c r="D1307" s="9">
        <v>56.4</v>
      </c>
      <c r="E1307" s="10">
        <v>59.1</v>
      </c>
      <c r="F1307" s="9">
        <f t="shared" si="76"/>
        <v>16.265635183991705</v>
      </c>
      <c r="G1307" s="9">
        <f t="shared" si="77"/>
        <v>17.952677580765794</v>
      </c>
      <c r="H1307" s="10">
        <f t="shared" si="78"/>
        <v>18.812114273462029</v>
      </c>
      <c r="K1307" s="11">
        <f>_xlfn.XLOOKUP(F1307,Ref!$B$3:$B$12,Ref!$C$3:$C$12,"",1)</f>
        <v>1</v>
      </c>
      <c r="L1307" s="11">
        <f>_xlfn.XLOOKUP(G1307,Ref!$B$3:$B$12,Ref!$C$3:$C$12,"",1)</f>
        <v>1</v>
      </c>
      <c r="M1307" s="11">
        <f>_xlfn.XLOOKUP(H1307,Ref!$B$3:$B$12,Ref!$C$3:$C$12,"",1)</f>
        <v>1</v>
      </c>
    </row>
    <row r="1308" spans="2:13" x14ac:dyDescent="0.25">
      <c r="B1308" s="15" t="s">
        <v>11</v>
      </c>
      <c r="C1308" s="9">
        <v>36.700000000000003</v>
      </c>
      <c r="D1308" s="9">
        <v>39</v>
      </c>
      <c r="E1308" s="10">
        <v>43</v>
      </c>
      <c r="F1308" s="9">
        <f t="shared" si="76"/>
        <v>11.681972822945118</v>
      </c>
      <c r="G1308" s="9">
        <f t="shared" si="77"/>
        <v>12.414085561167836</v>
      </c>
      <c r="H1308" s="10">
        <f t="shared" si="78"/>
        <v>13.687325105903</v>
      </c>
      <c r="K1308" s="11">
        <f>_xlfn.XLOOKUP(F1308,Ref!$B$3:$B$12,Ref!$C$3:$C$12,"",1)</f>
        <v>1</v>
      </c>
      <c r="L1308" s="11">
        <f>_xlfn.XLOOKUP(G1308,Ref!$B$3:$B$12,Ref!$C$3:$C$12,"",1)</f>
        <v>1</v>
      </c>
      <c r="M1308" s="11">
        <f>_xlfn.XLOOKUP(H1308,Ref!$B$3:$B$12,Ref!$C$3:$C$12,"",1)</f>
        <v>1</v>
      </c>
    </row>
    <row r="1309" spans="2:13" x14ac:dyDescent="0.25">
      <c r="B1309" s="15" t="s">
        <v>46</v>
      </c>
      <c r="C1309" s="9">
        <v>76.7</v>
      </c>
      <c r="D1309" s="9">
        <v>80</v>
      </c>
      <c r="E1309" s="10">
        <v>80</v>
      </c>
      <c r="F1309" s="9">
        <f t="shared" si="76"/>
        <v>24.414368270296745</v>
      </c>
      <c r="G1309" s="9">
        <f t="shared" si="77"/>
        <v>25.464790894703256</v>
      </c>
      <c r="H1309" s="10">
        <f t="shared" si="78"/>
        <v>25.464790894703256</v>
      </c>
      <c r="K1309" s="11">
        <f>_xlfn.XLOOKUP(F1309,Ref!$B$3:$B$12,Ref!$C$3:$C$12,"",1)</f>
        <v>2</v>
      </c>
      <c r="L1309" s="11">
        <f>_xlfn.XLOOKUP(G1309,Ref!$B$3:$B$12,Ref!$C$3:$C$12,"",1)</f>
        <v>2</v>
      </c>
      <c r="M1309" s="11">
        <f>_xlfn.XLOOKUP(H1309,Ref!$B$3:$B$12,Ref!$C$3:$C$12,"",1)</f>
        <v>2</v>
      </c>
    </row>
    <row r="1310" spans="2:13" x14ac:dyDescent="0.25">
      <c r="B1310" s="15" t="s">
        <v>12</v>
      </c>
      <c r="C1310" s="9">
        <v>35.4</v>
      </c>
      <c r="D1310" s="9">
        <v>38.6</v>
      </c>
      <c r="E1310" s="10">
        <v>40.200000000000003</v>
      </c>
      <c r="F1310" s="9">
        <f t="shared" si="76"/>
        <v>11.26816997090619</v>
      </c>
      <c r="G1310" s="9">
        <f t="shared" si="77"/>
        <v>12.286761606694322</v>
      </c>
      <c r="H1310" s="10">
        <f t="shared" si="78"/>
        <v>12.796057424588387</v>
      </c>
      <c r="K1310" s="11">
        <f>_xlfn.XLOOKUP(F1310,Ref!$B$3:$B$12,Ref!$C$3:$C$12,"",1)</f>
        <v>1</v>
      </c>
      <c r="L1310" s="11">
        <f>_xlfn.XLOOKUP(G1310,Ref!$B$3:$B$12,Ref!$C$3:$C$12,"",1)</f>
        <v>1</v>
      </c>
      <c r="M1310" s="11">
        <f>_xlfn.XLOOKUP(H1310,Ref!$B$3:$B$12,Ref!$C$3:$C$12,"",1)</f>
        <v>1</v>
      </c>
    </row>
    <row r="1311" spans="2:13" x14ac:dyDescent="0.25">
      <c r="B1311" s="15" t="s">
        <v>46</v>
      </c>
      <c r="C1311" s="9">
        <v>65.900000000000006</v>
      </c>
      <c r="D1311" s="9">
        <v>0</v>
      </c>
      <c r="E1311" s="10">
        <v>0</v>
      </c>
      <c r="F1311" s="9">
        <f t="shared" si="76"/>
        <v>20.976621499511808</v>
      </c>
      <c r="G1311" s="9">
        <f t="shared" si="77"/>
        <v>0</v>
      </c>
      <c r="H1311" s="10">
        <f t="shared" si="78"/>
        <v>0</v>
      </c>
      <c r="K1311" s="11">
        <f>_xlfn.XLOOKUP(F1311,Ref!$B$3:$B$12,Ref!$C$3:$C$12,"",1)</f>
        <v>2</v>
      </c>
      <c r="L1311" s="11" t="str">
        <f>_xlfn.XLOOKUP(G1311,Ref!$B$3:$B$12,Ref!$C$3:$C$12,"",1)</f>
        <v>Morta</v>
      </c>
      <c r="M1311" s="11" t="str">
        <f>_xlfn.XLOOKUP(H1311,Ref!$B$3:$B$12,Ref!$C$3:$C$12,"",1)</f>
        <v>Morta</v>
      </c>
    </row>
    <row r="1312" spans="2:13" x14ac:dyDescent="0.25">
      <c r="B1312" s="15" t="s">
        <v>8</v>
      </c>
      <c r="C1312" s="9">
        <v>45.5</v>
      </c>
      <c r="D1312" s="9">
        <v>49.7</v>
      </c>
      <c r="E1312" s="10">
        <v>52.5</v>
      </c>
      <c r="F1312" s="9">
        <f t="shared" si="76"/>
        <v>14.483099821362476</v>
      </c>
      <c r="G1312" s="9">
        <f t="shared" si="77"/>
        <v>15.820001343334399</v>
      </c>
      <c r="H1312" s="10">
        <f t="shared" si="78"/>
        <v>16.71126902464901</v>
      </c>
      <c r="K1312" s="11">
        <f>_xlfn.XLOOKUP(F1312,Ref!$B$3:$B$12,Ref!$C$3:$C$12,"",1)</f>
        <v>1</v>
      </c>
      <c r="L1312" s="11">
        <f>_xlfn.XLOOKUP(G1312,Ref!$B$3:$B$12,Ref!$C$3:$C$12,"",1)</f>
        <v>1</v>
      </c>
      <c r="M1312" s="11">
        <f>_xlfn.XLOOKUP(H1312,Ref!$B$3:$B$12,Ref!$C$3:$C$12,"",1)</f>
        <v>1</v>
      </c>
    </row>
    <row r="1313" spans="2:13" x14ac:dyDescent="0.25">
      <c r="B1313" s="15" t="s">
        <v>12</v>
      </c>
      <c r="C1313" s="9">
        <v>40.9</v>
      </c>
      <c r="D1313" s="9">
        <v>43.6</v>
      </c>
      <c r="E1313" s="10">
        <v>45.6</v>
      </c>
      <c r="F1313" s="9">
        <f t="shared" si="76"/>
        <v>13.018874344917039</v>
      </c>
      <c r="G1313" s="9">
        <f t="shared" si="77"/>
        <v>13.878311037613274</v>
      </c>
      <c r="H1313" s="10">
        <f t="shared" si="78"/>
        <v>14.514930809980855</v>
      </c>
      <c r="K1313" s="11">
        <f>_xlfn.XLOOKUP(F1313,Ref!$B$3:$B$12,Ref!$C$3:$C$12,"",1)</f>
        <v>1</v>
      </c>
      <c r="L1313" s="11">
        <f>_xlfn.XLOOKUP(G1313,Ref!$B$3:$B$12,Ref!$C$3:$C$12,"",1)</f>
        <v>1</v>
      </c>
      <c r="M1313" s="11">
        <f>_xlfn.XLOOKUP(H1313,Ref!$B$3:$B$12,Ref!$C$3:$C$12,"",1)</f>
        <v>1</v>
      </c>
    </row>
    <row r="1314" spans="2:13" x14ac:dyDescent="0.25">
      <c r="B1314" s="15" t="s">
        <v>12</v>
      </c>
      <c r="C1314" s="9">
        <v>36.299999999999997</v>
      </c>
      <c r="D1314" s="9">
        <v>37.200000000000003</v>
      </c>
      <c r="E1314" s="10">
        <v>37.4</v>
      </c>
      <c r="F1314" s="9">
        <f t="shared" ref="F1314:F1368" si="79">IF(C1314="", "", C1314/PI())</f>
        <v>11.554648868471601</v>
      </c>
      <c r="G1314" s="9">
        <f t="shared" ref="G1314:G1368" si="80">IF(D1314="", "", D1314/PI())</f>
        <v>11.841127766037014</v>
      </c>
      <c r="H1314" s="10">
        <f t="shared" ref="H1314:H1368" si="81">IF(E1314="", "", E1314/PI())</f>
        <v>11.904789743273771</v>
      </c>
      <c r="K1314" s="11">
        <f>_xlfn.XLOOKUP(F1314,Ref!$B$3:$B$12,Ref!$C$3:$C$12,"",1)</f>
        <v>1</v>
      </c>
      <c r="L1314" s="11">
        <f>_xlfn.XLOOKUP(G1314,Ref!$B$3:$B$12,Ref!$C$3:$C$12,"",1)</f>
        <v>1</v>
      </c>
      <c r="M1314" s="11">
        <f>_xlfn.XLOOKUP(H1314,Ref!$B$3:$B$12,Ref!$C$3:$C$12,"",1)</f>
        <v>1</v>
      </c>
    </row>
    <row r="1315" spans="2:13" x14ac:dyDescent="0.25">
      <c r="B1315" s="15" t="s">
        <v>2</v>
      </c>
      <c r="C1315" s="9">
        <v>34.4</v>
      </c>
      <c r="D1315" s="9">
        <v>35.6</v>
      </c>
      <c r="E1315" s="10">
        <v>37.799999999999997</v>
      </c>
      <c r="F1315" s="9">
        <f t="shared" si="79"/>
        <v>10.949860084722399</v>
      </c>
      <c r="G1315" s="9">
        <f t="shared" si="80"/>
        <v>11.331831948142948</v>
      </c>
      <c r="H1315" s="10">
        <f t="shared" si="81"/>
        <v>12.032113697747286</v>
      </c>
      <c r="K1315" s="11">
        <f>_xlfn.XLOOKUP(F1315,Ref!$B$3:$B$12,Ref!$C$3:$C$12,"",1)</f>
        <v>1</v>
      </c>
      <c r="L1315" s="11">
        <f>_xlfn.XLOOKUP(G1315,Ref!$B$3:$B$12,Ref!$C$3:$C$12,"",1)</f>
        <v>1</v>
      </c>
      <c r="M1315" s="11">
        <f>_xlfn.XLOOKUP(H1315,Ref!$B$3:$B$12,Ref!$C$3:$C$12,"",1)</f>
        <v>1</v>
      </c>
    </row>
    <row r="1316" spans="2:13" x14ac:dyDescent="0.25">
      <c r="B1316" s="15" t="s">
        <v>46</v>
      </c>
      <c r="C1316" s="9">
        <v>48.6</v>
      </c>
      <c r="D1316" s="9">
        <v>50.9</v>
      </c>
      <c r="E1316" s="10">
        <v>54.8</v>
      </c>
      <c r="F1316" s="9">
        <f t="shared" si="79"/>
        <v>15.469860468532227</v>
      </c>
      <c r="G1316" s="9">
        <f t="shared" si="80"/>
        <v>16.201973206754946</v>
      </c>
      <c r="H1316" s="10">
        <f t="shared" si="81"/>
        <v>17.443381762871727</v>
      </c>
      <c r="K1316" s="11">
        <f>_xlfn.XLOOKUP(F1316,Ref!$B$3:$B$12,Ref!$C$3:$C$12,"",1)</f>
        <v>1</v>
      </c>
      <c r="L1316" s="11">
        <f>_xlfn.XLOOKUP(G1316,Ref!$B$3:$B$12,Ref!$C$3:$C$12,"",1)</f>
        <v>1</v>
      </c>
      <c r="M1316" s="11">
        <f>_xlfn.XLOOKUP(H1316,Ref!$B$3:$B$12,Ref!$C$3:$C$12,"",1)</f>
        <v>1</v>
      </c>
    </row>
    <row r="1317" spans="2:13" x14ac:dyDescent="0.25">
      <c r="B1317" s="15" t="s">
        <v>48</v>
      </c>
      <c r="C1317" s="9">
        <v>43.4</v>
      </c>
      <c r="D1317" s="9">
        <v>44.7</v>
      </c>
      <c r="E1317" s="10">
        <v>45.5</v>
      </c>
      <c r="F1317" s="9">
        <f t="shared" si="79"/>
        <v>13.814649060376516</v>
      </c>
      <c r="G1317" s="9">
        <f t="shared" si="80"/>
        <v>14.228451912415444</v>
      </c>
      <c r="H1317" s="10">
        <f t="shared" si="81"/>
        <v>14.483099821362476</v>
      </c>
      <c r="K1317" s="11">
        <f>_xlfn.XLOOKUP(F1317,Ref!$B$3:$B$12,Ref!$C$3:$C$12,"",1)</f>
        <v>1</v>
      </c>
      <c r="L1317" s="11">
        <f>_xlfn.XLOOKUP(G1317,Ref!$B$3:$B$12,Ref!$C$3:$C$12,"",1)</f>
        <v>1</v>
      </c>
      <c r="M1317" s="11">
        <f>_xlfn.XLOOKUP(H1317,Ref!$B$3:$B$12,Ref!$C$3:$C$12,"",1)</f>
        <v>1</v>
      </c>
    </row>
    <row r="1318" spans="2:13" x14ac:dyDescent="0.25">
      <c r="B1318" s="15" t="s">
        <v>46</v>
      </c>
      <c r="C1318" s="9">
        <v>34.799999999999997</v>
      </c>
      <c r="D1318" s="9">
        <v>0</v>
      </c>
      <c r="E1318" s="10">
        <v>0</v>
      </c>
      <c r="F1318" s="9">
        <f t="shared" si="79"/>
        <v>11.077184039195915</v>
      </c>
      <c r="G1318" s="9">
        <f t="shared" si="80"/>
        <v>0</v>
      </c>
      <c r="H1318" s="10">
        <f t="shared" si="81"/>
        <v>0</v>
      </c>
      <c r="K1318" s="11">
        <f>_xlfn.XLOOKUP(F1318,Ref!$B$3:$B$12,Ref!$C$3:$C$12,"",1)</f>
        <v>1</v>
      </c>
      <c r="L1318" s="11" t="str">
        <f>_xlfn.XLOOKUP(G1318,Ref!$B$3:$B$12,Ref!$C$3:$C$12,"",1)</f>
        <v>Morta</v>
      </c>
      <c r="M1318" s="11" t="str">
        <f>_xlfn.XLOOKUP(H1318,Ref!$B$3:$B$12,Ref!$C$3:$C$12,"",1)</f>
        <v>Morta</v>
      </c>
    </row>
    <row r="1319" spans="2:13" x14ac:dyDescent="0.25">
      <c r="B1319" s="15" t="s">
        <v>46</v>
      </c>
      <c r="C1319" s="9">
        <v>79.5</v>
      </c>
      <c r="D1319" s="9">
        <v>87.8</v>
      </c>
      <c r="E1319" s="10">
        <v>96.9</v>
      </c>
      <c r="F1319" s="9">
        <f t="shared" si="79"/>
        <v>25.305635951611361</v>
      </c>
      <c r="G1319" s="9">
        <f t="shared" si="80"/>
        <v>27.947608006936822</v>
      </c>
      <c r="H1319" s="10">
        <f t="shared" si="81"/>
        <v>30.844227971209317</v>
      </c>
      <c r="K1319" s="11">
        <f>_xlfn.XLOOKUP(F1319,Ref!$B$3:$B$12,Ref!$C$3:$C$12,"",1)</f>
        <v>2</v>
      </c>
      <c r="L1319" s="11">
        <f>_xlfn.XLOOKUP(G1319,Ref!$B$3:$B$12,Ref!$C$3:$C$12,"",1)</f>
        <v>2</v>
      </c>
      <c r="M1319" s="11">
        <f>_xlfn.XLOOKUP(H1319,Ref!$B$3:$B$12,Ref!$C$3:$C$12,"",1)</f>
        <v>3</v>
      </c>
    </row>
    <row r="1320" spans="2:13" x14ac:dyDescent="0.25">
      <c r="B1320" s="15" t="s">
        <v>85</v>
      </c>
      <c r="C1320" s="9"/>
      <c r="D1320" s="9">
        <v>31.5</v>
      </c>
      <c r="E1320" s="10">
        <v>32.4</v>
      </c>
      <c r="F1320" s="9" t="str">
        <f t="shared" si="79"/>
        <v/>
      </c>
      <c r="G1320" s="9">
        <f t="shared" si="80"/>
        <v>10.026761414789407</v>
      </c>
      <c r="H1320" s="10">
        <f t="shared" si="81"/>
        <v>10.313240312354818</v>
      </c>
      <c r="K1320" s="11" t="str">
        <f>_xlfn.XLOOKUP(F1320,Ref!$B$3:$B$12,Ref!$C$3:$C$12,"",1)</f>
        <v/>
      </c>
      <c r="L1320" s="11">
        <f>_xlfn.XLOOKUP(G1320,Ref!$B$3:$B$12,Ref!$C$3:$C$12,"",1)</f>
        <v>1</v>
      </c>
      <c r="M1320" s="11">
        <f>_xlfn.XLOOKUP(H1320,Ref!$B$3:$B$12,Ref!$C$3:$C$12,"",1)</f>
        <v>1</v>
      </c>
    </row>
    <row r="1321" spans="2:13" x14ac:dyDescent="0.25">
      <c r="B1321" s="15" t="s">
        <v>28</v>
      </c>
      <c r="C1321" s="9"/>
      <c r="D1321" s="9">
        <v>34</v>
      </c>
      <c r="E1321" s="10">
        <v>37.4</v>
      </c>
      <c r="F1321" s="9" t="str">
        <f t="shared" si="79"/>
        <v/>
      </c>
      <c r="G1321" s="9">
        <f t="shared" si="80"/>
        <v>10.822536130248883</v>
      </c>
      <c r="H1321" s="10">
        <f t="shared" si="81"/>
        <v>11.904789743273771</v>
      </c>
      <c r="K1321" s="11" t="str">
        <f>_xlfn.XLOOKUP(F1321,Ref!$B$3:$B$12,Ref!$C$3:$C$12,"",1)</f>
        <v/>
      </c>
      <c r="L1321" s="11">
        <f>_xlfn.XLOOKUP(G1321,Ref!$B$3:$B$12,Ref!$C$3:$C$12,"",1)</f>
        <v>1</v>
      </c>
      <c r="M1321" s="11">
        <f>_xlfn.XLOOKUP(H1321,Ref!$B$3:$B$12,Ref!$C$3:$C$12,"",1)</f>
        <v>1</v>
      </c>
    </row>
    <row r="1322" spans="2:13" x14ac:dyDescent="0.25">
      <c r="B1322" s="15" t="s">
        <v>8</v>
      </c>
      <c r="C1322" s="9"/>
      <c r="D1322" s="9">
        <v>33</v>
      </c>
      <c r="E1322" s="10">
        <v>35.9</v>
      </c>
      <c r="F1322" s="9" t="str">
        <f t="shared" si="79"/>
        <v/>
      </c>
      <c r="G1322" s="9">
        <f t="shared" si="80"/>
        <v>10.504226244065093</v>
      </c>
      <c r="H1322" s="10">
        <f t="shared" si="81"/>
        <v>11.427324913998085</v>
      </c>
      <c r="K1322" s="11" t="str">
        <f>_xlfn.XLOOKUP(F1322,Ref!$B$3:$B$12,Ref!$C$3:$C$12,"",1)</f>
        <v/>
      </c>
      <c r="L1322" s="11">
        <f>_xlfn.XLOOKUP(G1322,Ref!$B$3:$B$12,Ref!$C$3:$C$12,"",1)</f>
        <v>1</v>
      </c>
      <c r="M1322" s="11">
        <f>_xlfn.XLOOKUP(H1322,Ref!$B$3:$B$12,Ref!$C$3:$C$12,"",1)</f>
        <v>1</v>
      </c>
    </row>
    <row r="1323" spans="2:13" x14ac:dyDescent="0.25">
      <c r="B1323" s="15" t="s">
        <v>10</v>
      </c>
      <c r="C1323" s="9"/>
      <c r="D1323" s="9">
        <v>31.7</v>
      </c>
      <c r="E1323" s="10">
        <v>35.200000000000003</v>
      </c>
      <c r="F1323" s="9" t="str">
        <f t="shared" si="79"/>
        <v/>
      </c>
      <c r="G1323" s="9">
        <f t="shared" si="80"/>
        <v>10.090423392026164</v>
      </c>
      <c r="H1323" s="10">
        <f t="shared" si="81"/>
        <v>11.204507993669433</v>
      </c>
      <c r="K1323" s="11" t="str">
        <f>_xlfn.XLOOKUP(F1323,Ref!$B$3:$B$12,Ref!$C$3:$C$12,"",1)</f>
        <v/>
      </c>
      <c r="L1323" s="11">
        <f>_xlfn.XLOOKUP(G1323,Ref!$B$3:$B$12,Ref!$C$3:$C$12,"",1)</f>
        <v>1</v>
      </c>
      <c r="M1323" s="11">
        <f>_xlfn.XLOOKUP(H1323,Ref!$B$3:$B$12,Ref!$C$3:$C$12,"",1)</f>
        <v>1</v>
      </c>
    </row>
    <row r="1324" spans="2:13" x14ac:dyDescent="0.25">
      <c r="B1324" s="15" t="s">
        <v>85</v>
      </c>
      <c r="C1324" s="9"/>
      <c r="D1324" s="9"/>
      <c r="E1324" s="10">
        <v>32.299999999999997</v>
      </c>
      <c r="F1324" s="9" t="str">
        <f t="shared" si="79"/>
        <v/>
      </c>
      <c r="G1324" s="9" t="str">
        <f t="shared" si="80"/>
        <v/>
      </c>
      <c r="H1324" s="10">
        <f t="shared" si="81"/>
        <v>10.281409323736439</v>
      </c>
      <c r="K1324" s="11" t="str">
        <f>_xlfn.XLOOKUP(F1324,Ref!$B$3:$B$12,Ref!$C$3:$C$12,"",1)</f>
        <v/>
      </c>
      <c r="L1324" s="11" t="str">
        <f>_xlfn.XLOOKUP(G1324,Ref!$B$3:$B$12,Ref!$C$3:$C$12,"",1)</f>
        <v/>
      </c>
      <c r="M1324" s="11">
        <f>_xlfn.XLOOKUP(H1324,Ref!$B$3:$B$12,Ref!$C$3:$C$12,"",1)</f>
        <v>1</v>
      </c>
    </row>
    <row r="1325" spans="2:13" x14ac:dyDescent="0.25">
      <c r="B1325" s="15" t="s">
        <v>10</v>
      </c>
      <c r="C1325" s="9"/>
      <c r="D1325" s="9"/>
      <c r="E1325" s="10">
        <v>32.299999999999997</v>
      </c>
      <c r="F1325" s="9" t="str">
        <f t="shared" si="79"/>
        <v/>
      </c>
      <c r="G1325" s="9" t="str">
        <f t="shared" si="80"/>
        <v/>
      </c>
      <c r="H1325" s="10">
        <f t="shared" si="81"/>
        <v>10.281409323736439</v>
      </c>
      <c r="K1325" s="11" t="str">
        <f>_xlfn.XLOOKUP(F1325,Ref!$B$3:$B$12,Ref!$C$3:$C$12,"",1)</f>
        <v/>
      </c>
      <c r="L1325" s="11" t="str">
        <f>_xlfn.XLOOKUP(G1325,Ref!$B$3:$B$12,Ref!$C$3:$C$12,"",1)</f>
        <v/>
      </c>
      <c r="M1325" s="11">
        <f>_xlfn.XLOOKUP(H1325,Ref!$B$3:$B$12,Ref!$C$3:$C$12,"",1)</f>
        <v>1</v>
      </c>
    </row>
    <row r="1326" spans="2:13" x14ac:dyDescent="0.25">
      <c r="B1326" s="15" t="s">
        <v>12</v>
      </c>
      <c r="C1326" s="9"/>
      <c r="D1326" s="9"/>
      <c r="E1326" s="10">
        <v>32.200000000000003</v>
      </c>
      <c r="F1326" s="9" t="str">
        <f t="shared" si="79"/>
        <v/>
      </c>
      <c r="G1326" s="9" t="str">
        <f t="shared" si="80"/>
        <v/>
      </c>
      <c r="H1326" s="10">
        <f t="shared" si="81"/>
        <v>10.249578335118061</v>
      </c>
      <c r="K1326" s="11" t="str">
        <f>_xlfn.XLOOKUP(F1326,Ref!$B$3:$B$12,Ref!$C$3:$C$12,"",1)</f>
        <v/>
      </c>
      <c r="L1326" s="11" t="str">
        <f>_xlfn.XLOOKUP(G1326,Ref!$B$3:$B$12,Ref!$C$3:$C$12,"",1)</f>
        <v/>
      </c>
      <c r="M1326" s="11">
        <f>_xlfn.XLOOKUP(H1326,Ref!$B$3:$B$12,Ref!$C$3:$C$12,"",1)</f>
        <v>1</v>
      </c>
    </row>
    <row r="1327" spans="2:13" x14ac:dyDescent="0.25">
      <c r="B1327" s="15" t="s">
        <v>6</v>
      </c>
      <c r="C1327" s="9"/>
      <c r="D1327" s="9"/>
      <c r="E1327" s="10">
        <v>33.5</v>
      </c>
      <c r="F1327" s="9" t="str">
        <f t="shared" si="79"/>
        <v/>
      </c>
      <c r="G1327" s="9" t="str">
        <f t="shared" si="80"/>
        <v/>
      </c>
      <c r="H1327" s="10">
        <f t="shared" si="81"/>
        <v>10.663381187156988</v>
      </c>
      <c r="K1327" s="11" t="str">
        <f>_xlfn.XLOOKUP(F1327,Ref!$B$3:$B$12,Ref!$C$3:$C$12,"",1)</f>
        <v/>
      </c>
      <c r="L1327" s="11" t="str">
        <f>_xlfn.XLOOKUP(G1327,Ref!$B$3:$B$12,Ref!$C$3:$C$12,"",1)</f>
        <v/>
      </c>
      <c r="M1327" s="11">
        <f>_xlfn.XLOOKUP(H1327,Ref!$B$3:$B$12,Ref!$C$3:$C$12,"",1)</f>
        <v>1</v>
      </c>
    </row>
    <row r="1328" spans="2:13" x14ac:dyDescent="0.25">
      <c r="B1328" s="15" t="s">
        <v>12</v>
      </c>
      <c r="C1328" s="9"/>
      <c r="D1328" s="9"/>
      <c r="E1328" s="10">
        <v>33.799999999999997</v>
      </c>
      <c r="F1328" s="9" t="str">
        <f t="shared" si="79"/>
        <v/>
      </c>
      <c r="G1328" s="9" t="str">
        <f t="shared" si="80"/>
        <v/>
      </c>
      <c r="H1328" s="10">
        <f t="shared" si="81"/>
        <v>10.758874153012124</v>
      </c>
      <c r="K1328" s="11" t="str">
        <f>_xlfn.XLOOKUP(F1328,Ref!$B$3:$B$12,Ref!$C$3:$C$12,"",1)</f>
        <v/>
      </c>
      <c r="L1328" s="11" t="str">
        <f>_xlfn.XLOOKUP(G1328,Ref!$B$3:$B$12,Ref!$C$3:$C$12,"",1)</f>
        <v/>
      </c>
      <c r="M1328" s="11">
        <f>_xlfn.XLOOKUP(H1328,Ref!$B$3:$B$12,Ref!$C$3:$C$12,"",1)</f>
        <v>1</v>
      </c>
    </row>
    <row r="1329" spans="2:13" x14ac:dyDescent="0.25">
      <c r="B1329" s="15" t="s">
        <v>24</v>
      </c>
      <c r="C1329" s="9">
        <v>103.8</v>
      </c>
      <c r="D1329" s="9">
        <v>71</v>
      </c>
      <c r="E1329" s="10">
        <v>79.900000000000006</v>
      </c>
      <c r="F1329" s="9">
        <f t="shared" si="79"/>
        <v>33.040566185877474</v>
      </c>
      <c r="G1329" s="9">
        <f t="shared" si="80"/>
        <v>22.600001919049138</v>
      </c>
      <c r="H1329" s="10">
        <f t="shared" si="81"/>
        <v>25.432959906084879</v>
      </c>
      <c r="K1329" s="11">
        <f>_xlfn.XLOOKUP(F1329,Ref!$B$3:$B$12,Ref!$C$3:$C$12,"",1)</f>
        <v>3</v>
      </c>
      <c r="L1329" s="11">
        <f>_xlfn.XLOOKUP(G1329,Ref!$B$3:$B$12,Ref!$C$3:$C$12,"",1)</f>
        <v>2</v>
      </c>
      <c r="M1329" s="11">
        <f>_xlfn.XLOOKUP(H1329,Ref!$B$3:$B$12,Ref!$C$3:$C$12,"",1)</f>
        <v>2</v>
      </c>
    </row>
    <row r="1330" spans="2:13" x14ac:dyDescent="0.25">
      <c r="B1330" s="15" t="s">
        <v>8</v>
      </c>
      <c r="C1330" s="9">
        <v>42</v>
      </c>
      <c r="D1330" s="9">
        <v>45.1</v>
      </c>
      <c r="E1330" s="10">
        <v>47.8</v>
      </c>
      <c r="F1330" s="9">
        <f t="shared" si="79"/>
        <v>13.369015219719209</v>
      </c>
      <c r="G1330" s="9">
        <f t="shared" si="80"/>
        <v>14.35577586688896</v>
      </c>
      <c r="H1330" s="10">
        <f t="shared" si="81"/>
        <v>15.215212559585193</v>
      </c>
      <c r="K1330" s="11">
        <f>_xlfn.XLOOKUP(F1330,Ref!$B$3:$B$12,Ref!$C$3:$C$12,"",1)</f>
        <v>1</v>
      </c>
      <c r="L1330" s="11">
        <f>_xlfn.XLOOKUP(G1330,Ref!$B$3:$B$12,Ref!$C$3:$C$12,"",1)</f>
        <v>1</v>
      </c>
      <c r="M1330" s="11">
        <f>_xlfn.XLOOKUP(H1330,Ref!$B$3:$B$12,Ref!$C$3:$C$12,"",1)</f>
        <v>1</v>
      </c>
    </row>
    <row r="1331" spans="2:13" x14ac:dyDescent="0.25">
      <c r="B1331" s="15" t="s">
        <v>24</v>
      </c>
      <c r="C1331" s="9">
        <v>72.7</v>
      </c>
      <c r="D1331" s="9">
        <v>77.2</v>
      </c>
      <c r="E1331" s="10">
        <v>83</v>
      </c>
      <c r="F1331" s="9">
        <f t="shared" si="79"/>
        <v>23.141128725561583</v>
      </c>
      <c r="G1331" s="9">
        <f t="shared" si="80"/>
        <v>24.573523213388643</v>
      </c>
      <c r="H1331" s="10">
        <f t="shared" si="81"/>
        <v>26.419720553254628</v>
      </c>
      <c r="K1331" s="11">
        <f>_xlfn.XLOOKUP(F1331,Ref!$B$3:$B$12,Ref!$C$3:$C$12,"",1)</f>
        <v>2</v>
      </c>
      <c r="L1331" s="11">
        <f>_xlfn.XLOOKUP(G1331,Ref!$B$3:$B$12,Ref!$C$3:$C$12,"",1)</f>
        <v>2</v>
      </c>
      <c r="M1331" s="11">
        <f>_xlfn.XLOOKUP(H1331,Ref!$B$3:$B$12,Ref!$C$3:$C$12,"",1)</f>
        <v>2</v>
      </c>
    </row>
    <row r="1332" spans="2:13" x14ac:dyDescent="0.25">
      <c r="B1332" s="15" t="s">
        <v>24</v>
      </c>
      <c r="C1332" s="9">
        <v>48.2</v>
      </c>
      <c r="D1332" s="9">
        <v>52.8</v>
      </c>
      <c r="E1332" s="10">
        <v>56.9</v>
      </c>
      <c r="F1332" s="9">
        <f t="shared" si="79"/>
        <v>15.342536514058711</v>
      </c>
      <c r="G1332" s="9">
        <f t="shared" si="80"/>
        <v>16.806761990504146</v>
      </c>
      <c r="H1332" s="10">
        <f t="shared" si="81"/>
        <v>18.111832523857689</v>
      </c>
      <c r="K1332" s="11">
        <f>_xlfn.XLOOKUP(F1332,Ref!$B$3:$B$12,Ref!$C$3:$C$12,"",1)</f>
        <v>1</v>
      </c>
      <c r="L1332" s="11">
        <f>_xlfn.XLOOKUP(G1332,Ref!$B$3:$B$12,Ref!$C$3:$C$12,"",1)</f>
        <v>1</v>
      </c>
      <c r="M1332" s="11">
        <f>_xlfn.XLOOKUP(H1332,Ref!$B$3:$B$12,Ref!$C$3:$C$12,"",1)</f>
        <v>1</v>
      </c>
    </row>
    <row r="1333" spans="2:13" x14ac:dyDescent="0.25">
      <c r="B1333" s="15" t="s">
        <v>7</v>
      </c>
      <c r="C1333" s="9">
        <v>45.1</v>
      </c>
      <c r="D1333" s="9">
        <v>45.2</v>
      </c>
      <c r="E1333" s="10">
        <v>45.5</v>
      </c>
      <c r="F1333" s="9">
        <f t="shared" si="79"/>
        <v>14.35577586688896</v>
      </c>
      <c r="G1333" s="9">
        <f t="shared" si="80"/>
        <v>14.38760685550734</v>
      </c>
      <c r="H1333" s="10">
        <f t="shared" si="81"/>
        <v>14.483099821362476</v>
      </c>
      <c r="K1333" s="11">
        <f>_xlfn.XLOOKUP(F1333,Ref!$B$3:$B$12,Ref!$C$3:$C$12,"",1)</f>
        <v>1</v>
      </c>
      <c r="L1333" s="11">
        <f>_xlfn.XLOOKUP(G1333,Ref!$B$3:$B$12,Ref!$C$3:$C$12,"",1)</f>
        <v>1</v>
      </c>
      <c r="M1333" s="11">
        <f>_xlfn.XLOOKUP(H1333,Ref!$B$3:$B$12,Ref!$C$3:$C$12,"",1)</f>
        <v>1</v>
      </c>
    </row>
    <row r="1334" spans="2:13" x14ac:dyDescent="0.25">
      <c r="B1334" s="15" t="s">
        <v>12</v>
      </c>
      <c r="C1334" s="9">
        <v>35.799999999999997</v>
      </c>
      <c r="D1334" s="9">
        <v>36.6</v>
      </c>
      <c r="E1334" s="10">
        <v>37.299999999999997</v>
      </c>
      <c r="F1334" s="9">
        <f t="shared" si="79"/>
        <v>11.395493925379705</v>
      </c>
      <c r="G1334" s="9">
        <f t="shared" si="80"/>
        <v>11.650141834326739</v>
      </c>
      <c r="H1334" s="10">
        <f t="shared" si="81"/>
        <v>11.872958754655391</v>
      </c>
      <c r="K1334" s="11">
        <f>_xlfn.XLOOKUP(F1334,Ref!$B$3:$B$12,Ref!$C$3:$C$12,"",1)</f>
        <v>1</v>
      </c>
      <c r="L1334" s="11">
        <f>_xlfn.XLOOKUP(G1334,Ref!$B$3:$B$12,Ref!$C$3:$C$12,"",1)</f>
        <v>1</v>
      </c>
      <c r="M1334" s="11">
        <f>_xlfn.XLOOKUP(H1334,Ref!$B$3:$B$12,Ref!$C$3:$C$12,"",1)</f>
        <v>1</v>
      </c>
    </row>
    <row r="1335" spans="2:13" x14ac:dyDescent="0.25">
      <c r="B1335" s="15" t="s">
        <v>10</v>
      </c>
      <c r="C1335" s="9">
        <v>49.5</v>
      </c>
      <c r="D1335" s="9">
        <v>55.3</v>
      </c>
      <c r="E1335" s="10">
        <v>62.5</v>
      </c>
      <c r="F1335" s="9">
        <f t="shared" si="79"/>
        <v>15.756339366097638</v>
      </c>
      <c r="G1335" s="9">
        <f t="shared" si="80"/>
        <v>17.602536705963622</v>
      </c>
      <c r="H1335" s="10">
        <f t="shared" si="81"/>
        <v>19.894367886486918</v>
      </c>
      <c r="K1335" s="11">
        <f>_xlfn.XLOOKUP(F1335,Ref!$B$3:$B$12,Ref!$C$3:$C$12,"",1)</f>
        <v>1</v>
      </c>
      <c r="L1335" s="11">
        <f>_xlfn.XLOOKUP(G1335,Ref!$B$3:$B$12,Ref!$C$3:$C$12,"",1)</f>
        <v>1</v>
      </c>
      <c r="M1335" s="11">
        <f>_xlfn.XLOOKUP(H1335,Ref!$B$3:$B$12,Ref!$C$3:$C$12,"",1)</f>
        <v>1</v>
      </c>
    </row>
    <row r="1336" spans="2:13" x14ac:dyDescent="0.25">
      <c r="B1336" s="15" t="s">
        <v>15</v>
      </c>
      <c r="C1336" s="9">
        <v>33.4</v>
      </c>
      <c r="D1336" s="9">
        <v>34.5</v>
      </c>
      <c r="E1336" s="10">
        <v>0</v>
      </c>
      <c r="F1336" s="9">
        <f t="shared" si="79"/>
        <v>10.631550198538608</v>
      </c>
      <c r="G1336" s="9">
        <f t="shared" si="80"/>
        <v>10.981691073340778</v>
      </c>
      <c r="H1336" s="10">
        <f t="shared" si="81"/>
        <v>0</v>
      </c>
      <c r="K1336" s="11">
        <f>_xlfn.XLOOKUP(F1336,Ref!$B$3:$B$12,Ref!$C$3:$C$12,"",1)</f>
        <v>1</v>
      </c>
      <c r="L1336" s="11">
        <f>_xlfn.XLOOKUP(G1336,Ref!$B$3:$B$12,Ref!$C$3:$C$12,"",1)</f>
        <v>1</v>
      </c>
      <c r="M1336" s="11" t="str">
        <f>_xlfn.XLOOKUP(H1336,Ref!$B$3:$B$12,Ref!$C$3:$C$12,"",1)</f>
        <v>Morta</v>
      </c>
    </row>
    <row r="1337" spans="2:13" x14ac:dyDescent="0.25">
      <c r="B1337" s="15" t="s">
        <v>26</v>
      </c>
      <c r="C1337" s="9">
        <v>130.19999999999999</v>
      </c>
      <c r="D1337" s="9">
        <v>133.5</v>
      </c>
      <c r="E1337" s="10">
        <v>144.80000000000001</v>
      </c>
      <c r="F1337" s="9">
        <f t="shared" si="79"/>
        <v>41.443947181129545</v>
      </c>
      <c r="G1337" s="9">
        <f t="shared" si="80"/>
        <v>42.494369805536053</v>
      </c>
      <c r="H1337" s="10">
        <f t="shared" si="81"/>
        <v>46.091271519412892</v>
      </c>
      <c r="K1337" s="11">
        <f>_xlfn.XLOOKUP(F1337,Ref!$B$3:$B$12,Ref!$C$3:$C$12,"",1)</f>
        <v>4</v>
      </c>
      <c r="L1337" s="11">
        <f>_xlfn.XLOOKUP(G1337,Ref!$B$3:$B$12,Ref!$C$3:$C$12,"",1)</f>
        <v>4</v>
      </c>
      <c r="M1337" s="11">
        <f>_xlfn.XLOOKUP(H1337,Ref!$B$3:$B$12,Ref!$C$3:$C$12,"",1)</f>
        <v>4</v>
      </c>
    </row>
    <row r="1338" spans="2:13" x14ac:dyDescent="0.25">
      <c r="B1338" s="15" t="s">
        <v>12</v>
      </c>
      <c r="C1338" s="9">
        <v>48.6</v>
      </c>
      <c r="D1338" s="9">
        <v>54.4</v>
      </c>
      <c r="E1338" s="10">
        <v>56.1</v>
      </c>
      <c r="F1338" s="9">
        <f t="shared" si="79"/>
        <v>15.469860468532227</v>
      </c>
      <c r="G1338" s="9">
        <f t="shared" si="80"/>
        <v>17.316057808398213</v>
      </c>
      <c r="H1338" s="10">
        <f t="shared" si="81"/>
        <v>17.857184614910658</v>
      </c>
      <c r="K1338" s="11">
        <f>_xlfn.XLOOKUP(F1338,Ref!$B$3:$B$12,Ref!$C$3:$C$12,"",1)</f>
        <v>1</v>
      </c>
      <c r="L1338" s="11">
        <f>_xlfn.XLOOKUP(G1338,Ref!$B$3:$B$12,Ref!$C$3:$C$12,"",1)</f>
        <v>1</v>
      </c>
      <c r="M1338" s="11">
        <f>_xlfn.XLOOKUP(H1338,Ref!$B$3:$B$12,Ref!$C$3:$C$12,"",1)</f>
        <v>1</v>
      </c>
    </row>
    <row r="1339" spans="2:13" x14ac:dyDescent="0.25">
      <c r="B1339" s="15" t="s">
        <v>12</v>
      </c>
      <c r="C1339" s="9">
        <v>40.1</v>
      </c>
      <c r="D1339" s="9">
        <v>40</v>
      </c>
      <c r="E1339" s="10">
        <v>40.200000000000003</v>
      </c>
      <c r="F1339" s="9">
        <f t="shared" si="79"/>
        <v>12.764226435970008</v>
      </c>
      <c r="G1339" s="9">
        <f t="shared" si="80"/>
        <v>12.732395447351628</v>
      </c>
      <c r="H1339" s="10">
        <f t="shared" si="81"/>
        <v>12.796057424588387</v>
      </c>
      <c r="K1339" s="11">
        <f>_xlfn.XLOOKUP(F1339,Ref!$B$3:$B$12,Ref!$C$3:$C$12,"",1)</f>
        <v>1</v>
      </c>
      <c r="L1339" s="11">
        <f>_xlfn.XLOOKUP(G1339,Ref!$B$3:$B$12,Ref!$C$3:$C$12,"",1)</f>
        <v>1</v>
      </c>
      <c r="M1339" s="11">
        <f>_xlfn.XLOOKUP(H1339,Ref!$B$3:$B$12,Ref!$C$3:$C$12,"",1)</f>
        <v>1</v>
      </c>
    </row>
    <row r="1340" spans="2:13" x14ac:dyDescent="0.25">
      <c r="B1340" s="15" t="s">
        <v>6</v>
      </c>
      <c r="C1340" s="9">
        <v>32.200000000000003</v>
      </c>
      <c r="D1340" s="9">
        <v>33.6</v>
      </c>
      <c r="E1340" s="10">
        <v>34.5</v>
      </c>
      <c r="F1340" s="9">
        <f t="shared" si="79"/>
        <v>10.249578335118061</v>
      </c>
      <c r="G1340" s="9">
        <f t="shared" si="80"/>
        <v>10.695212175775367</v>
      </c>
      <c r="H1340" s="10">
        <f t="shared" si="81"/>
        <v>10.981691073340778</v>
      </c>
      <c r="K1340" s="11">
        <f>_xlfn.XLOOKUP(F1340,Ref!$B$3:$B$12,Ref!$C$3:$C$12,"",1)</f>
        <v>1</v>
      </c>
      <c r="L1340" s="11">
        <f>_xlfn.XLOOKUP(G1340,Ref!$B$3:$B$12,Ref!$C$3:$C$12,"",1)</f>
        <v>1</v>
      </c>
      <c r="M1340" s="11">
        <f>_xlfn.XLOOKUP(H1340,Ref!$B$3:$B$12,Ref!$C$3:$C$12,"",1)</f>
        <v>1</v>
      </c>
    </row>
    <row r="1341" spans="2:13" x14ac:dyDescent="0.25">
      <c r="B1341" s="15" t="s">
        <v>12</v>
      </c>
      <c r="C1341" s="9">
        <v>36.299999999999997</v>
      </c>
      <c r="D1341" s="9">
        <v>40.200000000000003</v>
      </c>
      <c r="E1341" s="10">
        <v>44.1</v>
      </c>
      <c r="F1341" s="9">
        <f t="shared" si="79"/>
        <v>11.554648868471601</v>
      </c>
      <c r="G1341" s="9">
        <f t="shared" si="80"/>
        <v>12.796057424588387</v>
      </c>
      <c r="H1341" s="10">
        <f t="shared" si="81"/>
        <v>14.03746598070517</v>
      </c>
      <c r="K1341" s="11">
        <f>_xlfn.XLOOKUP(F1341,Ref!$B$3:$B$12,Ref!$C$3:$C$12,"",1)</f>
        <v>1</v>
      </c>
      <c r="L1341" s="11">
        <f>_xlfn.XLOOKUP(G1341,Ref!$B$3:$B$12,Ref!$C$3:$C$12,"",1)</f>
        <v>1</v>
      </c>
      <c r="M1341" s="11">
        <f>_xlfn.XLOOKUP(H1341,Ref!$B$3:$B$12,Ref!$C$3:$C$12,"",1)</f>
        <v>1</v>
      </c>
    </row>
    <row r="1342" spans="2:13" x14ac:dyDescent="0.25">
      <c r="B1342" s="15" t="s">
        <v>46</v>
      </c>
      <c r="C1342" s="9">
        <v>34.799999999999997</v>
      </c>
      <c r="D1342" s="9">
        <v>36.200000000000003</v>
      </c>
      <c r="E1342" s="10">
        <v>36.700000000000003</v>
      </c>
      <c r="F1342" s="9">
        <f t="shared" si="79"/>
        <v>11.077184039195915</v>
      </c>
      <c r="G1342" s="9">
        <f t="shared" si="80"/>
        <v>11.522817879853223</v>
      </c>
      <c r="H1342" s="10">
        <f t="shared" si="81"/>
        <v>11.681972822945118</v>
      </c>
      <c r="K1342" s="11">
        <f>_xlfn.XLOOKUP(F1342,Ref!$B$3:$B$12,Ref!$C$3:$C$12,"",1)</f>
        <v>1</v>
      </c>
      <c r="L1342" s="11">
        <f>_xlfn.XLOOKUP(G1342,Ref!$B$3:$B$12,Ref!$C$3:$C$12,"",1)</f>
        <v>1</v>
      </c>
      <c r="M1342" s="11">
        <f>_xlfn.XLOOKUP(H1342,Ref!$B$3:$B$12,Ref!$C$3:$C$12,"",1)</f>
        <v>1</v>
      </c>
    </row>
    <row r="1343" spans="2:13" x14ac:dyDescent="0.25">
      <c r="B1343" s="15" t="s">
        <v>6</v>
      </c>
      <c r="C1343" s="9">
        <v>43.2</v>
      </c>
      <c r="D1343" s="9">
        <v>45.4</v>
      </c>
      <c r="E1343" s="10">
        <v>46.7</v>
      </c>
      <c r="F1343" s="9">
        <f t="shared" si="79"/>
        <v>13.750987083139758</v>
      </c>
      <c r="G1343" s="9">
        <f t="shared" si="80"/>
        <v>14.451268832744097</v>
      </c>
      <c r="H1343" s="10">
        <f t="shared" si="81"/>
        <v>14.865071684783025</v>
      </c>
      <c r="K1343" s="11">
        <f>_xlfn.XLOOKUP(F1343,Ref!$B$3:$B$12,Ref!$C$3:$C$12,"",1)</f>
        <v>1</v>
      </c>
      <c r="L1343" s="11">
        <f>_xlfn.XLOOKUP(G1343,Ref!$B$3:$B$12,Ref!$C$3:$C$12,"",1)</f>
        <v>1</v>
      </c>
      <c r="M1343" s="11">
        <f>_xlfn.XLOOKUP(H1343,Ref!$B$3:$B$12,Ref!$C$3:$C$12,"",1)</f>
        <v>1</v>
      </c>
    </row>
    <row r="1344" spans="2:13" x14ac:dyDescent="0.25">
      <c r="B1344" s="15" t="s">
        <v>10</v>
      </c>
      <c r="C1344" s="9">
        <v>37.4</v>
      </c>
      <c r="D1344" s="9">
        <v>43.5</v>
      </c>
      <c r="E1344" s="10">
        <v>46.8</v>
      </c>
      <c r="F1344" s="9">
        <f t="shared" si="79"/>
        <v>11.904789743273771</v>
      </c>
      <c r="G1344" s="9">
        <f t="shared" si="80"/>
        <v>13.846480048994895</v>
      </c>
      <c r="H1344" s="10">
        <f t="shared" si="81"/>
        <v>14.896902673401403</v>
      </c>
      <c r="K1344" s="11">
        <f>_xlfn.XLOOKUP(F1344,Ref!$B$3:$B$12,Ref!$C$3:$C$12,"",1)</f>
        <v>1</v>
      </c>
      <c r="L1344" s="11">
        <f>_xlfn.XLOOKUP(G1344,Ref!$B$3:$B$12,Ref!$C$3:$C$12,"",1)</f>
        <v>1</v>
      </c>
      <c r="M1344" s="11">
        <f>_xlfn.XLOOKUP(H1344,Ref!$B$3:$B$12,Ref!$C$3:$C$12,"",1)</f>
        <v>1</v>
      </c>
    </row>
    <row r="1345" spans="2:13" x14ac:dyDescent="0.25">
      <c r="B1345" s="15" t="s">
        <v>44</v>
      </c>
      <c r="C1345" s="9">
        <v>32.200000000000003</v>
      </c>
      <c r="D1345" s="9">
        <v>33</v>
      </c>
      <c r="E1345" s="10">
        <v>34.700000000000003</v>
      </c>
      <c r="F1345" s="9">
        <f t="shared" si="79"/>
        <v>10.249578335118061</v>
      </c>
      <c r="G1345" s="9">
        <f t="shared" si="80"/>
        <v>10.504226244065093</v>
      </c>
      <c r="H1345" s="10">
        <f t="shared" si="81"/>
        <v>11.045353050577537</v>
      </c>
      <c r="K1345" s="11">
        <f>_xlfn.XLOOKUP(F1345,Ref!$B$3:$B$12,Ref!$C$3:$C$12,"",1)</f>
        <v>1</v>
      </c>
      <c r="L1345" s="11">
        <f>_xlfn.XLOOKUP(G1345,Ref!$B$3:$B$12,Ref!$C$3:$C$12,"",1)</f>
        <v>1</v>
      </c>
      <c r="M1345" s="11">
        <f>_xlfn.XLOOKUP(H1345,Ref!$B$3:$B$12,Ref!$C$3:$C$12,"",1)</f>
        <v>1</v>
      </c>
    </row>
    <row r="1346" spans="2:13" x14ac:dyDescent="0.25">
      <c r="B1346" s="15" t="s">
        <v>12</v>
      </c>
      <c r="C1346" s="9">
        <v>33.5</v>
      </c>
      <c r="D1346" s="9">
        <v>35.4</v>
      </c>
      <c r="E1346" s="10">
        <v>37</v>
      </c>
      <c r="F1346" s="9">
        <f t="shared" si="79"/>
        <v>10.663381187156988</v>
      </c>
      <c r="G1346" s="9">
        <f t="shared" si="80"/>
        <v>11.26816997090619</v>
      </c>
      <c r="H1346" s="10">
        <f t="shared" si="81"/>
        <v>11.777465788800255</v>
      </c>
      <c r="K1346" s="11">
        <f>_xlfn.XLOOKUP(F1346,Ref!$B$3:$B$12,Ref!$C$3:$C$12,"",1)</f>
        <v>1</v>
      </c>
      <c r="L1346" s="11">
        <f>_xlfn.XLOOKUP(G1346,Ref!$B$3:$B$12,Ref!$C$3:$C$12,"",1)</f>
        <v>1</v>
      </c>
      <c r="M1346" s="11">
        <f>_xlfn.XLOOKUP(H1346,Ref!$B$3:$B$12,Ref!$C$3:$C$12,"",1)</f>
        <v>1</v>
      </c>
    </row>
    <row r="1347" spans="2:13" x14ac:dyDescent="0.25">
      <c r="B1347" s="15" t="s">
        <v>7</v>
      </c>
      <c r="C1347" s="9">
        <v>60.9</v>
      </c>
      <c r="D1347" s="9">
        <v>64</v>
      </c>
      <c r="E1347" s="10">
        <v>65.5</v>
      </c>
      <c r="F1347" s="9">
        <f t="shared" si="79"/>
        <v>19.385072068592851</v>
      </c>
      <c r="G1347" s="9">
        <f t="shared" si="80"/>
        <v>20.371832715762604</v>
      </c>
      <c r="H1347" s="10">
        <f t="shared" si="81"/>
        <v>20.84929754503829</v>
      </c>
      <c r="K1347" s="11">
        <f>_xlfn.XLOOKUP(F1347,Ref!$B$3:$B$12,Ref!$C$3:$C$12,"",1)</f>
        <v>1</v>
      </c>
      <c r="L1347" s="11">
        <f>_xlfn.XLOOKUP(G1347,Ref!$B$3:$B$12,Ref!$C$3:$C$12,"",1)</f>
        <v>2</v>
      </c>
      <c r="M1347" s="11">
        <f>_xlfn.XLOOKUP(H1347,Ref!$B$3:$B$12,Ref!$C$3:$C$12,"",1)</f>
        <v>2</v>
      </c>
    </row>
    <row r="1348" spans="2:13" x14ac:dyDescent="0.25">
      <c r="B1348" s="15" t="s">
        <v>12</v>
      </c>
      <c r="C1348" s="9">
        <v>36.799999999999997</v>
      </c>
      <c r="D1348" s="9">
        <v>38.700000000000003</v>
      </c>
      <c r="E1348" s="10">
        <v>42.6</v>
      </c>
      <c r="F1348" s="9">
        <f t="shared" si="79"/>
        <v>11.713803811563496</v>
      </c>
      <c r="G1348" s="9">
        <f t="shared" si="80"/>
        <v>12.318592595312701</v>
      </c>
      <c r="H1348" s="10">
        <f t="shared" si="81"/>
        <v>13.560001151429484</v>
      </c>
      <c r="K1348" s="11">
        <f>_xlfn.XLOOKUP(F1348,Ref!$B$3:$B$12,Ref!$C$3:$C$12,"",1)</f>
        <v>1</v>
      </c>
      <c r="L1348" s="11">
        <f>_xlfn.XLOOKUP(G1348,Ref!$B$3:$B$12,Ref!$C$3:$C$12,"",1)</f>
        <v>1</v>
      </c>
      <c r="M1348" s="11">
        <f>_xlfn.XLOOKUP(H1348,Ref!$B$3:$B$12,Ref!$C$3:$C$12,"",1)</f>
        <v>1</v>
      </c>
    </row>
    <row r="1349" spans="2:13" x14ac:dyDescent="0.25">
      <c r="B1349" s="15" t="s">
        <v>12</v>
      </c>
      <c r="C1349" s="9">
        <v>37.799999999999997</v>
      </c>
      <c r="D1349" s="9">
        <v>40</v>
      </c>
      <c r="E1349" s="10">
        <v>40.5</v>
      </c>
      <c r="F1349" s="9">
        <f t="shared" si="79"/>
        <v>12.032113697747286</v>
      </c>
      <c r="G1349" s="9">
        <f t="shared" si="80"/>
        <v>12.732395447351628</v>
      </c>
      <c r="H1349" s="10">
        <f t="shared" si="81"/>
        <v>12.891550390443523</v>
      </c>
      <c r="K1349" s="11">
        <f>_xlfn.XLOOKUP(F1349,Ref!$B$3:$B$12,Ref!$C$3:$C$12,"",1)</f>
        <v>1</v>
      </c>
      <c r="L1349" s="11">
        <f>_xlfn.XLOOKUP(G1349,Ref!$B$3:$B$12,Ref!$C$3:$C$12,"",1)</f>
        <v>1</v>
      </c>
      <c r="M1349" s="11">
        <f>_xlfn.XLOOKUP(H1349,Ref!$B$3:$B$12,Ref!$C$3:$C$12,"",1)</f>
        <v>1</v>
      </c>
    </row>
    <row r="1350" spans="2:13" x14ac:dyDescent="0.25">
      <c r="B1350" s="15" t="s">
        <v>12</v>
      </c>
      <c r="C1350" s="9">
        <v>33.5</v>
      </c>
      <c r="D1350" s="9">
        <v>34.1</v>
      </c>
      <c r="E1350" s="10">
        <v>0</v>
      </c>
      <c r="F1350" s="9">
        <f t="shared" si="79"/>
        <v>10.663381187156988</v>
      </c>
      <c r="G1350" s="9">
        <f t="shared" si="80"/>
        <v>10.854367118867263</v>
      </c>
      <c r="H1350" s="10">
        <f t="shared" si="81"/>
        <v>0</v>
      </c>
      <c r="K1350" s="11">
        <f>_xlfn.XLOOKUP(F1350,Ref!$B$3:$B$12,Ref!$C$3:$C$12,"",1)</f>
        <v>1</v>
      </c>
      <c r="L1350" s="11">
        <f>_xlfn.XLOOKUP(G1350,Ref!$B$3:$B$12,Ref!$C$3:$C$12,"",1)</f>
        <v>1</v>
      </c>
      <c r="M1350" s="11" t="str">
        <f>_xlfn.XLOOKUP(H1350,Ref!$B$3:$B$12,Ref!$C$3:$C$12,"",1)</f>
        <v>Morta</v>
      </c>
    </row>
    <row r="1351" spans="2:13" x14ac:dyDescent="0.25">
      <c r="B1351" s="15" t="s">
        <v>10</v>
      </c>
      <c r="C1351" s="9">
        <v>35.200000000000003</v>
      </c>
      <c r="D1351" s="9">
        <v>37.700000000000003</v>
      </c>
      <c r="E1351" s="10">
        <v>43.8</v>
      </c>
      <c r="F1351" s="9">
        <f t="shared" si="79"/>
        <v>11.204507993669433</v>
      </c>
      <c r="G1351" s="9">
        <f t="shared" si="80"/>
        <v>12.000282709128909</v>
      </c>
      <c r="H1351" s="10">
        <f t="shared" si="81"/>
        <v>13.941973014850031</v>
      </c>
      <c r="K1351" s="11">
        <f>_xlfn.XLOOKUP(F1351,Ref!$B$3:$B$12,Ref!$C$3:$C$12,"",1)</f>
        <v>1</v>
      </c>
      <c r="L1351" s="11">
        <f>_xlfn.XLOOKUP(G1351,Ref!$B$3:$B$12,Ref!$C$3:$C$12,"",1)</f>
        <v>1</v>
      </c>
      <c r="M1351" s="11">
        <f>_xlfn.XLOOKUP(H1351,Ref!$B$3:$B$12,Ref!$C$3:$C$12,"",1)</f>
        <v>1</v>
      </c>
    </row>
    <row r="1352" spans="2:13" x14ac:dyDescent="0.25">
      <c r="B1352" s="15" t="s">
        <v>32</v>
      </c>
      <c r="C1352" s="9">
        <v>32.6</v>
      </c>
      <c r="D1352" s="9">
        <v>34.6</v>
      </c>
      <c r="E1352" s="10">
        <v>36.1</v>
      </c>
      <c r="F1352" s="9">
        <f t="shared" si="79"/>
        <v>10.376902289591577</v>
      </c>
      <c r="G1352" s="9">
        <f t="shared" si="80"/>
        <v>11.013522061959158</v>
      </c>
      <c r="H1352" s="10">
        <f t="shared" si="81"/>
        <v>11.490986891234844</v>
      </c>
      <c r="K1352" s="11">
        <f>_xlfn.XLOOKUP(F1352,Ref!$B$3:$B$12,Ref!$C$3:$C$12,"",1)</f>
        <v>1</v>
      </c>
      <c r="L1352" s="11">
        <f>_xlfn.XLOOKUP(G1352,Ref!$B$3:$B$12,Ref!$C$3:$C$12,"",1)</f>
        <v>1</v>
      </c>
      <c r="M1352" s="11">
        <f>_xlfn.XLOOKUP(H1352,Ref!$B$3:$B$12,Ref!$C$3:$C$12,"",1)</f>
        <v>1</v>
      </c>
    </row>
    <row r="1353" spans="2:13" x14ac:dyDescent="0.25">
      <c r="B1353" s="15" t="s">
        <v>15</v>
      </c>
      <c r="C1353" s="9">
        <v>32.6</v>
      </c>
      <c r="D1353" s="9">
        <v>34.1</v>
      </c>
      <c r="E1353" s="10">
        <v>38.9</v>
      </c>
      <c r="F1353" s="9">
        <f t="shared" si="79"/>
        <v>10.376902289591577</v>
      </c>
      <c r="G1353" s="9">
        <f t="shared" si="80"/>
        <v>10.854367118867263</v>
      </c>
      <c r="H1353" s="10">
        <f t="shared" si="81"/>
        <v>12.382254572549456</v>
      </c>
      <c r="K1353" s="11">
        <f>_xlfn.XLOOKUP(F1353,Ref!$B$3:$B$12,Ref!$C$3:$C$12,"",1)</f>
        <v>1</v>
      </c>
      <c r="L1353" s="11">
        <f>_xlfn.XLOOKUP(G1353,Ref!$B$3:$B$12,Ref!$C$3:$C$12,"",1)</f>
        <v>1</v>
      </c>
      <c r="M1353" s="11">
        <f>_xlfn.XLOOKUP(H1353,Ref!$B$3:$B$12,Ref!$C$3:$C$12,"",1)</f>
        <v>1</v>
      </c>
    </row>
    <row r="1354" spans="2:13" x14ac:dyDescent="0.25">
      <c r="B1354" s="15" t="s">
        <v>6</v>
      </c>
      <c r="C1354" s="9">
        <v>42</v>
      </c>
      <c r="D1354" s="9">
        <v>44.3</v>
      </c>
      <c r="E1354" s="10">
        <v>45.5</v>
      </c>
      <c r="F1354" s="9">
        <f t="shared" si="79"/>
        <v>13.369015219719209</v>
      </c>
      <c r="G1354" s="9">
        <f t="shared" si="80"/>
        <v>14.101127957941927</v>
      </c>
      <c r="H1354" s="10">
        <f t="shared" si="81"/>
        <v>14.483099821362476</v>
      </c>
      <c r="K1354" s="11">
        <f>_xlfn.XLOOKUP(F1354,Ref!$B$3:$B$12,Ref!$C$3:$C$12,"",1)</f>
        <v>1</v>
      </c>
      <c r="L1354" s="11">
        <f>_xlfn.XLOOKUP(G1354,Ref!$B$3:$B$12,Ref!$C$3:$C$12,"",1)</f>
        <v>1</v>
      </c>
      <c r="M1354" s="11">
        <f>_xlfn.XLOOKUP(H1354,Ref!$B$3:$B$12,Ref!$C$3:$C$12,"",1)</f>
        <v>1</v>
      </c>
    </row>
    <row r="1355" spans="2:13" x14ac:dyDescent="0.25">
      <c r="B1355" s="15" t="s">
        <v>8</v>
      </c>
      <c r="C1355" s="9">
        <v>33.4</v>
      </c>
      <c r="D1355" s="9">
        <v>33.4</v>
      </c>
      <c r="E1355" s="10">
        <v>34</v>
      </c>
      <c r="F1355" s="9">
        <f t="shared" si="79"/>
        <v>10.631550198538608</v>
      </c>
      <c r="G1355" s="9">
        <f t="shared" si="80"/>
        <v>10.631550198538608</v>
      </c>
      <c r="H1355" s="10">
        <f t="shared" si="81"/>
        <v>10.822536130248883</v>
      </c>
      <c r="K1355" s="11">
        <f>_xlfn.XLOOKUP(F1355,Ref!$B$3:$B$12,Ref!$C$3:$C$12,"",1)</f>
        <v>1</v>
      </c>
      <c r="L1355" s="11">
        <f>_xlfn.XLOOKUP(G1355,Ref!$B$3:$B$12,Ref!$C$3:$C$12,"",1)</f>
        <v>1</v>
      </c>
      <c r="M1355" s="11">
        <f>_xlfn.XLOOKUP(H1355,Ref!$B$3:$B$12,Ref!$C$3:$C$12,"",1)</f>
        <v>1</v>
      </c>
    </row>
    <row r="1356" spans="2:13" x14ac:dyDescent="0.25">
      <c r="B1356" s="15" t="s">
        <v>46</v>
      </c>
      <c r="C1356" s="9">
        <v>48.5</v>
      </c>
      <c r="D1356" s="9">
        <v>49</v>
      </c>
      <c r="E1356" s="10">
        <v>48.8</v>
      </c>
      <c r="F1356" s="9">
        <f t="shared" si="79"/>
        <v>15.438029479913848</v>
      </c>
      <c r="G1356" s="9">
        <f t="shared" si="80"/>
        <v>15.597184423005743</v>
      </c>
      <c r="H1356" s="10">
        <f t="shared" si="81"/>
        <v>15.533522445768984</v>
      </c>
      <c r="K1356" s="11">
        <f>_xlfn.XLOOKUP(F1356,Ref!$B$3:$B$12,Ref!$C$3:$C$12,"",1)</f>
        <v>1</v>
      </c>
      <c r="L1356" s="11">
        <f>_xlfn.XLOOKUP(G1356,Ref!$B$3:$B$12,Ref!$C$3:$C$12,"",1)</f>
        <v>1</v>
      </c>
      <c r="M1356" s="11">
        <f>_xlfn.XLOOKUP(H1356,Ref!$B$3:$B$12,Ref!$C$3:$C$12,"",1)</f>
        <v>1</v>
      </c>
    </row>
    <row r="1357" spans="2:13" x14ac:dyDescent="0.25">
      <c r="B1357" s="15" t="s">
        <v>60</v>
      </c>
      <c r="C1357" s="9">
        <v>36.9</v>
      </c>
      <c r="D1357" s="9">
        <v>40</v>
      </c>
      <c r="E1357" s="10">
        <v>43</v>
      </c>
      <c r="F1357" s="9">
        <f t="shared" si="79"/>
        <v>11.745634800181875</v>
      </c>
      <c r="G1357" s="9">
        <f t="shared" si="80"/>
        <v>12.732395447351628</v>
      </c>
      <c r="H1357" s="10">
        <f t="shared" si="81"/>
        <v>13.687325105903</v>
      </c>
      <c r="K1357" s="11">
        <f>_xlfn.XLOOKUP(F1357,Ref!$B$3:$B$12,Ref!$C$3:$C$12,"",1)</f>
        <v>1</v>
      </c>
      <c r="L1357" s="11">
        <f>_xlfn.XLOOKUP(G1357,Ref!$B$3:$B$12,Ref!$C$3:$C$12,"",1)</f>
        <v>1</v>
      </c>
      <c r="M1357" s="11">
        <f>_xlfn.XLOOKUP(H1357,Ref!$B$3:$B$12,Ref!$C$3:$C$12,"",1)</f>
        <v>1</v>
      </c>
    </row>
    <row r="1358" spans="2:13" x14ac:dyDescent="0.25">
      <c r="B1358" s="15" t="s">
        <v>13</v>
      </c>
      <c r="C1358" s="9">
        <v>37.200000000000003</v>
      </c>
      <c r="D1358" s="9">
        <v>41</v>
      </c>
      <c r="E1358" s="10">
        <v>43.5</v>
      </c>
      <c r="F1358" s="9">
        <f t="shared" si="79"/>
        <v>11.841127766037014</v>
      </c>
      <c r="G1358" s="9">
        <f t="shared" si="80"/>
        <v>13.050705333535419</v>
      </c>
      <c r="H1358" s="10">
        <f t="shared" si="81"/>
        <v>13.846480048994895</v>
      </c>
      <c r="K1358" s="11">
        <f>_xlfn.XLOOKUP(F1358,Ref!$B$3:$B$12,Ref!$C$3:$C$12,"",1)</f>
        <v>1</v>
      </c>
      <c r="L1358" s="11">
        <f>_xlfn.XLOOKUP(G1358,Ref!$B$3:$B$12,Ref!$C$3:$C$12,"",1)</f>
        <v>1</v>
      </c>
      <c r="M1358" s="11">
        <f>_xlfn.XLOOKUP(H1358,Ref!$B$3:$B$12,Ref!$C$3:$C$12,"",1)</f>
        <v>1</v>
      </c>
    </row>
    <row r="1359" spans="2:13" x14ac:dyDescent="0.25">
      <c r="B1359" s="15" t="s">
        <v>6</v>
      </c>
      <c r="C1359" s="9">
        <v>54.2</v>
      </c>
      <c r="D1359" s="9">
        <v>53</v>
      </c>
      <c r="E1359" s="10">
        <v>53</v>
      </c>
      <c r="F1359" s="9">
        <f t="shared" si="79"/>
        <v>17.252395831161454</v>
      </c>
      <c r="G1359" s="9">
        <f t="shared" si="80"/>
        <v>16.870423967740905</v>
      </c>
      <c r="H1359" s="10">
        <f t="shared" si="81"/>
        <v>16.870423967740905</v>
      </c>
      <c r="K1359" s="11">
        <f>_xlfn.XLOOKUP(F1359,Ref!$B$3:$B$12,Ref!$C$3:$C$12,"",1)</f>
        <v>1</v>
      </c>
      <c r="L1359" s="11">
        <f>_xlfn.XLOOKUP(G1359,Ref!$B$3:$B$12,Ref!$C$3:$C$12,"",1)</f>
        <v>1</v>
      </c>
      <c r="M1359" s="11">
        <f>_xlfn.XLOOKUP(H1359,Ref!$B$3:$B$12,Ref!$C$3:$C$12,"",1)</f>
        <v>1</v>
      </c>
    </row>
    <row r="1360" spans="2:13" x14ac:dyDescent="0.25">
      <c r="B1360" s="15" t="s">
        <v>5</v>
      </c>
      <c r="C1360" s="9">
        <v>44.9</v>
      </c>
      <c r="D1360" s="9">
        <v>49</v>
      </c>
      <c r="E1360" s="10">
        <v>51.2</v>
      </c>
      <c r="F1360" s="9">
        <f t="shared" si="79"/>
        <v>14.292113889652201</v>
      </c>
      <c r="G1360" s="9">
        <f t="shared" si="80"/>
        <v>15.597184423005743</v>
      </c>
      <c r="H1360" s="10">
        <f t="shared" si="81"/>
        <v>16.297466172610083</v>
      </c>
      <c r="K1360" s="11">
        <f>_xlfn.XLOOKUP(F1360,Ref!$B$3:$B$12,Ref!$C$3:$C$12,"",1)</f>
        <v>1</v>
      </c>
      <c r="L1360" s="11">
        <f>_xlfn.XLOOKUP(G1360,Ref!$B$3:$B$12,Ref!$C$3:$C$12,"",1)</f>
        <v>1</v>
      </c>
      <c r="M1360" s="11">
        <f>_xlfn.XLOOKUP(H1360,Ref!$B$3:$B$12,Ref!$C$3:$C$12,"",1)</f>
        <v>1</v>
      </c>
    </row>
    <row r="1361" spans="2:13" x14ac:dyDescent="0.25">
      <c r="B1361" s="15" t="s">
        <v>33</v>
      </c>
      <c r="C1361" s="9">
        <v>115.7</v>
      </c>
      <c r="D1361" s="9">
        <v>116.9</v>
      </c>
      <c r="E1361" s="10">
        <v>121</v>
      </c>
      <c r="F1361" s="9">
        <f t="shared" si="79"/>
        <v>36.828453831464586</v>
      </c>
      <c r="G1361" s="9">
        <f t="shared" si="80"/>
        <v>37.210425694885132</v>
      </c>
      <c r="H1361" s="10">
        <f t="shared" si="81"/>
        <v>38.515496228238675</v>
      </c>
      <c r="K1361" s="11">
        <f>_xlfn.XLOOKUP(F1361,Ref!$B$3:$B$12,Ref!$C$3:$C$12,"",1)</f>
        <v>3</v>
      </c>
      <c r="L1361" s="11">
        <f>_xlfn.XLOOKUP(G1361,Ref!$B$3:$B$12,Ref!$C$3:$C$12,"",1)</f>
        <v>3</v>
      </c>
      <c r="M1361" s="11">
        <f>_xlfn.XLOOKUP(H1361,Ref!$B$3:$B$12,Ref!$C$3:$C$12,"",1)</f>
        <v>3</v>
      </c>
    </row>
    <row r="1362" spans="2:13" x14ac:dyDescent="0.25">
      <c r="B1362" s="15" t="s">
        <v>19</v>
      </c>
      <c r="C1362" s="9">
        <v>46.3</v>
      </c>
      <c r="D1362" s="9">
        <v>53.1</v>
      </c>
      <c r="E1362" s="10">
        <v>55.8</v>
      </c>
      <c r="F1362" s="9">
        <f t="shared" si="79"/>
        <v>14.737747730309508</v>
      </c>
      <c r="G1362" s="9">
        <f t="shared" si="80"/>
        <v>16.902254956359286</v>
      </c>
      <c r="H1362" s="10">
        <f t="shared" si="81"/>
        <v>17.761691649055518</v>
      </c>
      <c r="K1362" s="11">
        <f>_xlfn.XLOOKUP(F1362,Ref!$B$3:$B$12,Ref!$C$3:$C$12,"",1)</f>
        <v>1</v>
      </c>
      <c r="L1362" s="11">
        <f>_xlfn.XLOOKUP(G1362,Ref!$B$3:$B$12,Ref!$C$3:$C$12,"",1)</f>
        <v>1</v>
      </c>
      <c r="M1362" s="11">
        <f>_xlfn.XLOOKUP(H1362,Ref!$B$3:$B$12,Ref!$C$3:$C$12,"",1)</f>
        <v>1</v>
      </c>
    </row>
    <row r="1363" spans="2:13" x14ac:dyDescent="0.25">
      <c r="B1363" s="15" t="s">
        <v>46</v>
      </c>
      <c r="C1363" s="9">
        <v>68</v>
      </c>
      <c r="D1363" s="9">
        <v>71.8</v>
      </c>
      <c r="E1363" s="10">
        <v>76.5</v>
      </c>
      <c r="F1363" s="9">
        <f t="shared" si="79"/>
        <v>21.645072260497766</v>
      </c>
      <c r="G1363" s="9">
        <f t="shared" si="80"/>
        <v>22.85464982799617</v>
      </c>
      <c r="H1363" s="10">
        <f t="shared" si="81"/>
        <v>24.350706293059986</v>
      </c>
      <c r="K1363" s="11">
        <f>_xlfn.XLOOKUP(F1363,Ref!$B$3:$B$12,Ref!$C$3:$C$12,"",1)</f>
        <v>2</v>
      </c>
      <c r="L1363" s="11">
        <f>_xlfn.XLOOKUP(G1363,Ref!$B$3:$B$12,Ref!$C$3:$C$12,"",1)</f>
        <v>2</v>
      </c>
      <c r="M1363" s="11">
        <f>_xlfn.XLOOKUP(H1363,Ref!$B$3:$B$12,Ref!$C$3:$C$12,"",1)</f>
        <v>2</v>
      </c>
    </row>
    <row r="1364" spans="2:13" x14ac:dyDescent="0.25">
      <c r="B1364" s="15" t="s">
        <v>8</v>
      </c>
      <c r="C1364" s="9">
        <v>37</v>
      </c>
      <c r="D1364" s="9">
        <v>40.9</v>
      </c>
      <c r="E1364" s="10">
        <v>43.7</v>
      </c>
      <c r="F1364" s="9">
        <f t="shared" si="79"/>
        <v>11.777465788800255</v>
      </c>
      <c r="G1364" s="9">
        <f t="shared" si="80"/>
        <v>13.018874344917039</v>
      </c>
      <c r="H1364" s="10">
        <f t="shared" si="81"/>
        <v>13.910142026231654</v>
      </c>
      <c r="K1364" s="11">
        <f>_xlfn.XLOOKUP(F1364,Ref!$B$3:$B$12,Ref!$C$3:$C$12,"",1)</f>
        <v>1</v>
      </c>
      <c r="L1364" s="11">
        <f>_xlfn.XLOOKUP(G1364,Ref!$B$3:$B$12,Ref!$C$3:$C$12,"",1)</f>
        <v>1</v>
      </c>
      <c r="M1364" s="11">
        <f>_xlfn.XLOOKUP(H1364,Ref!$B$3:$B$12,Ref!$C$3:$C$12,"",1)</f>
        <v>1</v>
      </c>
    </row>
    <row r="1365" spans="2:13" x14ac:dyDescent="0.25">
      <c r="B1365" s="15" t="s">
        <v>46</v>
      </c>
      <c r="C1365" s="9">
        <v>85.5</v>
      </c>
      <c r="D1365" s="9">
        <v>91.1</v>
      </c>
      <c r="E1365" s="10">
        <v>97.5</v>
      </c>
      <c r="F1365" s="9">
        <f t="shared" si="79"/>
        <v>27.215495268714104</v>
      </c>
      <c r="G1365" s="9">
        <f t="shared" si="80"/>
        <v>28.99803063134333</v>
      </c>
      <c r="H1365" s="10">
        <f t="shared" si="81"/>
        <v>31.03521390291959</v>
      </c>
      <c r="K1365" s="11">
        <f>_xlfn.XLOOKUP(F1365,Ref!$B$3:$B$12,Ref!$C$3:$C$12,"",1)</f>
        <v>2</v>
      </c>
      <c r="L1365" s="11">
        <f>_xlfn.XLOOKUP(G1365,Ref!$B$3:$B$12,Ref!$C$3:$C$12,"",1)</f>
        <v>2</v>
      </c>
      <c r="M1365" s="11">
        <f>_xlfn.XLOOKUP(H1365,Ref!$B$3:$B$12,Ref!$C$3:$C$12,"",1)</f>
        <v>3</v>
      </c>
    </row>
    <row r="1366" spans="2:13" x14ac:dyDescent="0.25">
      <c r="B1366" s="15" t="s">
        <v>69</v>
      </c>
      <c r="C1366" s="9">
        <v>48.3</v>
      </c>
      <c r="D1366" s="9">
        <v>51.9</v>
      </c>
      <c r="E1366" s="10">
        <v>55.7</v>
      </c>
      <c r="F1366" s="9">
        <f t="shared" si="79"/>
        <v>15.374367502677089</v>
      </c>
      <c r="G1366" s="9">
        <f t="shared" si="80"/>
        <v>16.520283092938737</v>
      </c>
      <c r="H1366" s="10">
        <f t="shared" si="81"/>
        <v>17.729860660437144</v>
      </c>
      <c r="K1366" s="11">
        <f>_xlfn.XLOOKUP(F1366,Ref!$B$3:$B$12,Ref!$C$3:$C$12,"",1)</f>
        <v>1</v>
      </c>
      <c r="L1366" s="11">
        <f>_xlfn.XLOOKUP(G1366,Ref!$B$3:$B$12,Ref!$C$3:$C$12,"",1)</f>
        <v>1</v>
      </c>
      <c r="M1366" s="11">
        <f>_xlfn.XLOOKUP(H1366,Ref!$B$3:$B$12,Ref!$C$3:$C$12,"",1)</f>
        <v>1</v>
      </c>
    </row>
    <row r="1367" spans="2:13" x14ac:dyDescent="0.25">
      <c r="B1367" s="15" t="s">
        <v>44</v>
      </c>
      <c r="C1367" s="9">
        <v>36.700000000000003</v>
      </c>
      <c r="D1367" s="9">
        <v>37.700000000000003</v>
      </c>
      <c r="E1367" s="10">
        <v>38.799999999999997</v>
      </c>
      <c r="F1367" s="9">
        <f t="shared" si="79"/>
        <v>11.681972822945118</v>
      </c>
      <c r="G1367" s="9">
        <f t="shared" si="80"/>
        <v>12.000282709128909</v>
      </c>
      <c r="H1367" s="10">
        <f t="shared" si="81"/>
        <v>12.350423583931077</v>
      </c>
      <c r="K1367" s="11">
        <f>_xlfn.XLOOKUP(F1367,Ref!$B$3:$B$12,Ref!$C$3:$C$12,"",1)</f>
        <v>1</v>
      </c>
      <c r="L1367" s="11">
        <f>_xlfn.XLOOKUP(G1367,Ref!$B$3:$B$12,Ref!$C$3:$C$12,"",1)</f>
        <v>1</v>
      </c>
      <c r="M1367" s="11">
        <f>_xlfn.XLOOKUP(H1367,Ref!$B$3:$B$12,Ref!$C$3:$C$12,"",1)</f>
        <v>1</v>
      </c>
    </row>
    <row r="1368" spans="2:13" x14ac:dyDescent="0.25">
      <c r="B1368" s="15" t="s">
        <v>44</v>
      </c>
      <c r="C1368" s="9">
        <v>34</v>
      </c>
      <c r="D1368" s="9">
        <v>38.700000000000003</v>
      </c>
      <c r="E1368" s="10">
        <v>39.6</v>
      </c>
      <c r="F1368" s="9">
        <f t="shared" si="79"/>
        <v>10.822536130248883</v>
      </c>
      <c r="G1368" s="9">
        <f t="shared" si="80"/>
        <v>12.318592595312701</v>
      </c>
      <c r="H1368" s="10">
        <f t="shared" si="81"/>
        <v>12.605071492878112</v>
      </c>
      <c r="K1368" s="11">
        <f>_xlfn.XLOOKUP(F1368,Ref!$B$3:$B$12,Ref!$C$3:$C$12,"",1)</f>
        <v>1</v>
      </c>
      <c r="L1368" s="11">
        <f>_xlfn.XLOOKUP(G1368,Ref!$B$3:$B$12,Ref!$C$3:$C$12,"",1)</f>
        <v>1</v>
      </c>
      <c r="M1368" s="11">
        <f>_xlfn.XLOOKUP(H1368,Ref!$B$3:$B$12,Ref!$C$3:$C$12,"",1)</f>
        <v>1</v>
      </c>
    </row>
    <row r="1369" spans="2:13" x14ac:dyDescent="0.25">
      <c r="B1369" s="15" t="s">
        <v>4</v>
      </c>
      <c r="C1369" s="9">
        <v>35.299999999999997</v>
      </c>
      <c r="D1369" s="9">
        <v>36.5</v>
      </c>
      <c r="E1369" s="10">
        <v>0</v>
      </c>
      <c r="F1369" s="9">
        <f t="shared" ref="F1369:F1426" si="82">IF(C1369="", "", C1369/PI())</f>
        <v>11.23633898228781</v>
      </c>
      <c r="G1369" s="9">
        <f t="shared" ref="G1369:G1426" si="83">IF(D1369="", "", D1369/PI())</f>
        <v>11.618310845708359</v>
      </c>
      <c r="H1369" s="10">
        <f t="shared" ref="H1369:H1426" si="84">IF(E1369="", "", E1369/PI())</f>
        <v>0</v>
      </c>
      <c r="K1369" s="11">
        <f>_xlfn.XLOOKUP(F1369,Ref!$B$3:$B$12,Ref!$C$3:$C$12,"",1)</f>
        <v>1</v>
      </c>
      <c r="L1369" s="11">
        <f>_xlfn.XLOOKUP(G1369,Ref!$B$3:$B$12,Ref!$C$3:$C$12,"",1)</f>
        <v>1</v>
      </c>
      <c r="M1369" s="11" t="str">
        <f>_xlfn.XLOOKUP(H1369,Ref!$B$3:$B$12,Ref!$C$3:$C$12,"",1)</f>
        <v>Morta</v>
      </c>
    </row>
    <row r="1370" spans="2:13" x14ac:dyDescent="0.25">
      <c r="B1370" s="15" t="s">
        <v>12</v>
      </c>
      <c r="C1370" s="9">
        <v>32.1</v>
      </c>
      <c r="D1370" s="9">
        <v>35.200000000000003</v>
      </c>
      <c r="E1370" s="10">
        <v>36.1</v>
      </c>
      <c r="F1370" s="9">
        <f t="shared" si="82"/>
        <v>10.217747346499682</v>
      </c>
      <c r="G1370" s="9">
        <f t="shared" si="83"/>
        <v>11.204507993669433</v>
      </c>
      <c r="H1370" s="10">
        <f t="shared" si="84"/>
        <v>11.490986891234844</v>
      </c>
      <c r="K1370" s="11">
        <f>_xlfn.XLOOKUP(F1370,Ref!$B$3:$B$12,Ref!$C$3:$C$12,"",1)</f>
        <v>1</v>
      </c>
      <c r="L1370" s="11">
        <f>_xlfn.XLOOKUP(G1370,Ref!$B$3:$B$12,Ref!$C$3:$C$12,"",1)</f>
        <v>1</v>
      </c>
      <c r="M1370" s="11">
        <f>_xlfn.XLOOKUP(H1370,Ref!$B$3:$B$12,Ref!$C$3:$C$12,"",1)</f>
        <v>1</v>
      </c>
    </row>
    <row r="1371" spans="2:13" x14ac:dyDescent="0.25">
      <c r="B1371" s="15" t="s">
        <v>25</v>
      </c>
      <c r="C1371" s="9">
        <v>48.7</v>
      </c>
      <c r="D1371" s="9">
        <v>49</v>
      </c>
      <c r="E1371" s="10">
        <v>50</v>
      </c>
      <c r="F1371" s="9">
        <f t="shared" si="82"/>
        <v>15.501691457150606</v>
      </c>
      <c r="G1371" s="9">
        <f t="shared" si="83"/>
        <v>15.597184423005743</v>
      </c>
      <c r="H1371" s="10">
        <f t="shared" si="84"/>
        <v>15.915494309189533</v>
      </c>
      <c r="K1371" s="11">
        <f>_xlfn.XLOOKUP(F1371,Ref!$B$3:$B$12,Ref!$C$3:$C$12,"",1)</f>
        <v>1</v>
      </c>
      <c r="L1371" s="11">
        <f>_xlfn.XLOOKUP(G1371,Ref!$B$3:$B$12,Ref!$C$3:$C$12,"",1)</f>
        <v>1</v>
      </c>
      <c r="M1371" s="11">
        <f>_xlfn.XLOOKUP(H1371,Ref!$B$3:$B$12,Ref!$C$3:$C$12,"",1)</f>
        <v>1</v>
      </c>
    </row>
    <row r="1372" spans="2:13" x14ac:dyDescent="0.25">
      <c r="B1372" s="15" t="s">
        <v>15</v>
      </c>
      <c r="C1372" s="9">
        <v>50.4</v>
      </c>
      <c r="D1372" s="9">
        <v>52.8</v>
      </c>
      <c r="E1372" s="10">
        <v>53.8</v>
      </c>
      <c r="F1372" s="9">
        <f t="shared" si="82"/>
        <v>16.042818263663051</v>
      </c>
      <c r="G1372" s="9">
        <f t="shared" si="83"/>
        <v>16.806761990504146</v>
      </c>
      <c r="H1372" s="10">
        <f t="shared" si="84"/>
        <v>17.125071876687937</v>
      </c>
      <c r="K1372" s="11">
        <f>_xlfn.XLOOKUP(F1372,Ref!$B$3:$B$12,Ref!$C$3:$C$12,"",1)</f>
        <v>1</v>
      </c>
      <c r="L1372" s="11">
        <f>_xlfn.XLOOKUP(G1372,Ref!$B$3:$B$12,Ref!$C$3:$C$12,"",1)</f>
        <v>1</v>
      </c>
      <c r="M1372" s="11">
        <f>_xlfn.XLOOKUP(H1372,Ref!$B$3:$B$12,Ref!$C$3:$C$12,"",1)</f>
        <v>1</v>
      </c>
    </row>
    <row r="1373" spans="2:13" x14ac:dyDescent="0.25">
      <c r="B1373" s="15" t="s">
        <v>25</v>
      </c>
      <c r="C1373" s="9">
        <v>42.2</v>
      </c>
      <c r="D1373" s="9">
        <v>43.1</v>
      </c>
      <c r="E1373" s="10">
        <v>44.3</v>
      </c>
      <c r="F1373" s="9">
        <f t="shared" si="82"/>
        <v>13.432677196955968</v>
      </c>
      <c r="G1373" s="9">
        <f t="shared" si="83"/>
        <v>13.719156094521379</v>
      </c>
      <c r="H1373" s="10">
        <f t="shared" si="84"/>
        <v>14.101127957941927</v>
      </c>
      <c r="K1373" s="11">
        <f>_xlfn.XLOOKUP(F1373,Ref!$B$3:$B$12,Ref!$C$3:$C$12,"",1)</f>
        <v>1</v>
      </c>
      <c r="L1373" s="11">
        <f>_xlfn.XLOOKUP(G1373,Ref!$B$3:$B$12,Ref!$C$3:$C$12,"",1)</f>
        <v>1</v>
      </c>
      <c r="M1373" s="11">
        <f>_xlfn.XLOOKUP(H1373,Ref!$B$3:$B$12,Ref!$C$3:$C$12,"",1)</f>
        <v>1</v>
      </c>
    </row>
    <row r="1374" spans="2:13" x14ac:dyDescent="0.25">
      <c r="B1374" s="15" t="s">
        <v>4</v>
      </c>
      <c r="C1374" s="9">
        <v>36.5</v>
      </c>
      <c r="D1374" s="9">
        <v>39.200000000000003</v>
      </c>
      <c r="E1374" s="10">
        <v>0</v>
      </c>
      <c r="F1374" s="9">
        <f t="shared" si="82"/>
        <v>11.618310845708359</v>
      </c>
      <c r="G1374" s="9">
        <f t="shared" si="83"/>
        <v>12.477747538404596</v>
      </c>
      <c r="H1374" s="10">
        <f t="shared" si="84"/>
        <v>0</v>
      </c>
      <c r="K1374" s="11">
        <f>_xlfn.XLOOKUP(F1374,Ref!$B$3:$B$12,Ref!$C$3:$C$12,"",1)</f>
        <v>1</v>
      </c>
      <c r="L1374" s="11">
        <f>_xlfn.XLOOKUP(G1374,Ref!$B$3:$B$12,Ref!$C$3:$C$12,"",1)</f>
        <v>1</v>
      </c>
      <c r="M1374" s="11" t="str">
        <f>_xlfn.XLOOKUP(H1374,Ref!$B$3:$B$12,Ref!$C$3:$C$12,"",1)</f>
        <v>Morta</v>
      </c>
    </row>
    <row r="1375" spans="2:13" x14ac:dyDescent="0.25">
      <c r="B1375" s="15" t="s">
        <v>6</v>
      </c>
      <c r="C1375" s="9">
        <v>41.1</v>
      </c>
      <c r="D1375" s="9">
        <v>41.7</v>
      </c>
      <c r="E1375" s="10">
        <v>43.5</v>
      </c>
      <c r="F1375" s="9">
        <f t="shared" si="82"/>
        <v>13.082536322153798</v>
      </c>
      <c r="G1375" s="9">
        <f t="shared" si="83"/>
        <v>13.273522253864073</v>
      </c>
      <c r="H1375" s="10">
        <f t="shared" si="84"/>
        <v>13.846480048994895</v>
      </c>
      <c r="K1375" s="11">
        <f>_xlfn.XLOOKUP(F1375,Ref!$B$3:$B$12,Ref!$C$3:$C$12,"",1)</f>
        <v>1</v>
      </c>
      <c r="L1375" s="11">
        <f>_xlfn.XLOOKUP(G1375,Ref!$B$3:$B$12,Ref!$C$3:$C$12,"",1)</f>
        <v>1</v>
      </c>
      <c r="M1375" s="11">
        <f>_xlfn.XLOOKUP(H1375,Ref!$B$3:$B$12,Ref!$C$3:$C$12,"",1)</f>
        <v>1</v>
      </c>
    </row>
    <row r="1376" spans="2:13" x14ac:dyDescent="0.25">
      <c r="B1376" s="15" t="s">
        <v>6</v>
      </c>
      <c r="C1376" s="9">
        <v>35.700000000000003</v>
      </c>
      <c r="D1376" s="9">
        <v>36.799999999999997</v>
      </c>
      <c r="E1376" s="10">
        <v>37.5</v>
      </c>
      <c r="F1376" s="9">
        <f t="shared" si="82"/>
        <v>11.363662936761328</v>
      </c>
      <c r="G1376" s="9">
        <f t="shared" si="83"/>
        <v>11.713803811563496</v>
      </c>
      <c r="H1376" s="10">
        <f t="shared" si="84"/>
        <v>11.93662073189215</v>
      </c>
      <c r="K1376" s="11">
        <f>_xlfn.XLOOKUP(F1376,Ref!$B$3:$B$12,Ref!$C$3:$C$12,"",1)</f>
        <v>1</v>
      </c>
      <c r="L1376" s="11">
        <f>_xlfn.XLOOKUP(G1376,Ref!$B$3:$B$12,Ref!$C$3:$C$12,"",1)</f>
        <v>1</v>
      </c>
      <c r="M1376" s="11">
        <f>_xlfn.XLOOKUP(H1376,Ref!$B$3:$B$12,Ref!$C$3:$C$12,"",1)</f>
        <v>1</v>
      </c>
    </row>
    <row r="1377" spans="2:13" x14ac:dyDescent="0.25">
      <c r="B1377" s="15" t="s">
        <v>13</v>
      </c>
      <c r="C1377" s="9">
        <v>45.1</v>
      </c>
      <c r="D1377" s="9">
        <v>46.9</v>
      </c>
      <c r="E1377" s="10">
        <v>48.5</v>
      </c>
      <c r="F1377" s="9">
        <f t="shared" si="82"/>
        <v>14.35577586688896</v>
      </c>
      <c r="G1377" s="9">
        <f t="shared" si="83"/>
        <v>14.928733662019782</v>
      </c>
      <c r="H1377" s="10">
        <f t="shared" si="84"/>
        <v>15.438029479913848</v>
      </c>
      <c r="K1377" s="11">
        <f>_xlfn.XLOOKUP(F1377,Ref!$B$3:$B$12,Ref!$C$3:$C$12,"",1)</f>
        <v>1</v>
      </c>
      <c r="L1377" s="11">
        <f>_xlfn.XLOOKUP(G1377,Ref!$B$3:$B$12,Ref!$C$3:$C$12,"",1)</f>
        <v>1</v>
      </c>
      <c r="M1377" s="11">
        <f>_xlfn.XLOOKUP(H1377,Ref!$B$3:$B$12,Ref!$C$3:$C$12,"",1)</f>
        <v>1</v>
      </c>
    </row>
    <row r="1378" spans="2:13" x14ac:dyDescent="0.25">
      <c r="B1378" s="15" t="s">
        <v>12</v>
      </c>
      <c r="C1378" s="9">
        <v>47.3</v>
      </c>
      <c r="D1378" s="9">
        <v>48.8</v>
      </c>
      <c r="E1378" s="10">
        <v>49.8</v>
      </c>
      <c r="F1378" s="9">
        <f t="shared" si="82"/>
        <v>15.056057616493298</v>
      </c>
      <c r="G1378" s="9">
        <f t="shared" si="83"/>
        <v>15.533522445768984</v>
      </c>
      <c r="H1378" s="10">
        <f t="shared" si="84"/>
        <v>15.851832331952775</v>
      </c>
      <c r="K1378" s="11">
        <f>_xlfn.XLOOKUP(F1378,Ref!$B$3:$B$12,Ref!$C$3:$C$12,"",1)</f>
        <v>1</v>
      </c>
      <c r="L1378" s="11">
        <f>_xlfn.XLOOKUP(G1378,Ref!$B$3:$B$12,Ref!$C$3:$C$12,"",1)</f>
        <v>1</v>
      </c>
      <c r="M1378" s="11">
        <f>_xlfn.XLOOKUP(H1378,Ref!$B$3:$B$12,Ref!$C$3:$C$12,"",1)</f>
        <v>1</v>
      </c>
    </row>
    <row r="1379" spans="2:13" x14ac:dyDescent="0.25">
      <c r="B1379" s="15" t="s">
        <v>36</v>
      </c>
      <c r="C1379" s="9">
        <v>40.299999999999997</v>
      </c>
      <c r="D1379" s="9">
        <v>42.3</v>
      </c>
      <c r="E1379" s="10">
        <v>45.5</v>
      </c>
      <c r="F1379" s="9">
        <f t="shared" si="82"/>
        <v>12.827888413206765</v>
      </c>
      <c r="G1379" s="9">
        <f t="shared" si="83"/>
        <v>13.464508185574346</v>
      </c>
      <c r="H1379" s="10">
        <f t="shared" si="84"/>
        <v>14.483099821362476</v>
      </c>
      <c r="K1379" s="11">
        <f>_xlfn.XLOOKUP(F1379,Ref!$B$3:$B$12,Ref!$C$3:$C$12,"",1)</f>
        <v>1</v>
      </c>
      <c r="L1379" s="11">
        <f>_xlfn.XLOOKUP(G1379,Ref!$B$3:$B$12,Ref!$C$3:$C$12,"",1)</f>
        <v>1</v>
      </c>
      <c r="M1379" s="11">
        <f>_xlfn.XLOOKUP(H1379,Ref!$B$3:$B$12,Ref!$C$3:$C$12,"",1)</f>
        <v>1</v>
      </c>
    </row>
    <row r="1380" spans="2:13" x14ac:dyDescent="0.25">
      <c r="B1380" s="15" t="s">
        <v>36</v>
      </c>
      <c r="C1380" s="9">
        <v>44</v>
      </c>
      <c r="D1380" s="9">
        <v>48.3</v>
      </c>
      <c r="E1380" s="10">
        <v>52.3</v>
      </c>
      <c r="F1380" s="9">
        <f t="shared" si="82"/>
        <v>14.00563499208679</v>
      </c>
      <c r="G1380" s="9">
        <f t="shared" si="83"/>
        <v>15.374367502677089</v>
      </c>
      <c r="H1380" s="10">
        <f t="shared" si="84"/>
        <v>16.647607047412251</v>
      </c>
      <c r="K1380" s="11">
        <f>_xlfn.XLOOKUP(F1380,Ref!$B$3:$B$12,Ref!$C$3:$C$12,"",1)</f>
        <v>1</v>
      </c>
      <c r="L1380" s="11">
        <f>_xlfn.XLOOKUP(G1380,Ref!$B$3:$B$12,Ref!$C$3:$C$12,"",1)</f>
        <v>1</v>
      </c>
      <c r="M1380" s="11">
        <f>_xlfn.XLOOKUP(H1380,Ref!$B$3:$B$12,Ref!$C$3:$C$12,"",1)</f>
        <v>1</v>
      </c>
    </row>
    <row r="1381" spans="2:13" x14ac:dyDescent="0.25">
      <c r="B1381" s="15" t="s">
        <v>36</v>
      </c>
      <c r="C1381" s="9">
        <v>34.700000000000003</v>
      </c>
      <c r="D1381" s="9">
        <v>40.6</v>
      </c>
      <c r="E1381" s="10">
        <v>42.2</v>
      </c>
      <c r="F1381" s="9">
        <f t="shared" si="82"/>
        <v>11.045353050577537</v>
      </c>
      <c r="G1381" s="9">
        <f t="shared" si="83"/>
        <v>12.923381379061903</v>
      </c>
      <c r="H1381" s="10">
        <f t="shared" si="84"/>
        <v>13.432677196955968</v>
      </c>
      <c r="K1381" s="11">
        <f>_xlfn.XLOOKUP(F1381,Ref!$B$3:$B$12,Ref!$C$3:$C$12,"",1)</f>
        <v>1</v>
      </c>
      <c r="L1381" s="11">
        <f>_xlfn.XLOOKUP(G1381,Ref!$B$3:$B$12,Ref!$C$3:$C$12,"",1)</f>
        <v>1</v>
      </c>
      <c r="M1381" s="11">
        <f>_xlfn.XLOOKUP(H1381,Ref!$B$3:$B$12,Ref!$C$3:$C$12,"",1)</f>
        <v>1</v>
      </c>
    </row>
    <row r="1382" spans="2:13" x14ac:dyDescent="0.25">
      <c r="B1382" s="15" t="s">
        <v>6</v>
      </c>
      <c r="C1382" s="9">
        <v>40.1</v>
      </c>
      <c r="D1382" s="9">
        <v>40.1</v>
      </c>
      <c r="E1382" s="10">
        <v>40.299999999999997</v>
      </c>
      <c r="F1382" s="9">
        <f t="shared" si="82"/>
        <v>12.764226435970008</v>
      </c>
      <c r="G1382" s="9">
        <f t="shared" si="83"/>
        <v>12.764226435970008</v>
      </c>
      <c r="H1382" s="10">
        <f t="shared" si="84"/>
        <v>12.827888413206765</v>
      </c>
      <c r="K1382" s="11">
        <f>_xlfn.XLOOKUP(F1382,Ref!$B$3:$B$12,Ref!$C$3:$C$12,"",1)</f>
        <v>1</v>
      </c>
      <c r="L1382" s="11">
        <f>_xlfn.XLOOKUP(G1382,Ref!$B$3:$B$12,Ref!$C$3:$C$12,"",1)</f>
        <v>1</v>
      </c>
      <c r="M1382" s="11">
        <f>_xlfn.XLOOKUP(H1382,Ref!$B$3:$B$12,Ref!$C$3:$C$12,"",1)</f>
        <v>1</v>
      </c>
    </row>
    <row r="1383" spans="2:13" x14ac:dyDescent="0.25">
      <c r="B1383" s="15" t="s">
        <v>6</v>
      </c>
      <c r="C1383" s="9">
        <v>39.1</v>
      </c>
      <c r="D1383" s="9">
        <v>38.200000000000003</v>
      </c>
      <c r="E1383" s="10">
        <v>39.1</v>
      </c>
      <c r="F1383" s="9">
        <f t="shared" si="82"/>
        <v>12.445916549786217</v>
      </c>
      <c r="G1383" s="9">
        <f t="shared" si="83"/>
        <v>12.159437652220806</v>
      </c>
      <c r="H1383" s="10">
        <f t="shared" si="84"/>
        <v>12.445916549786217</v>
      </c>
      <c r="K1383" s="11">
        <f>_xlfn.XLOOKUP(F1383,Ref!$B$3:$B$12,Ref!$C$3:$C$12,"",1)</f>
        <v>1</v>
      </c>
      <c r="L1383" s="11">
        <f>_xlfn.XLOOKUP(G1383,Ref!$B$3:$B$12,Ref!$C$3:$C$12,"",1)</f>
        <v>1</v>
      </c>
      <c r="M1383" s="11">
        <f>_xlfn.XLOOKUP(H1383,Ref!$B$3:$B$12,Ref!$C$3:$C$12,"",1)</f>
        <v>1</v>
      </c>
    </row>
    <row r="1384" spans="2:13" x14ac:dyDescent="0.25">
      <c r="B1384" s="15" t="s">
        <v>8</v>
      </c>
      <c r="C1384" s="9">
        <v>37.5</v>
      </c>
      <c r="D1384" s="9">
        <v>39.5</v>
      </c>
      <c r="E1384" s="10">
        <v>39.799999999999997</v>
      </c>
      <c r="F1384" s="9">
        <f t="shared" si="82"/>
        <v>11.93662073189215</v>
      </c>
      <c r="G1384" s="9">
        <f t="shared" si="83"/>
        <v>12.573240504259733</v>
      </c>
      <c r="H1384" s="10">
        <f t="shared" si="84"/>
        <v>12.668733470114868</v>
      </c>
      <c r="K1384" s="11">
        <f>_xlfn.XLOOKUP(F1384,Ref!$B$3:$B$12,Ref!$C$3:$C$12,"",1)</f>
        <v>1</v>
      </c>
      <c r="L1384" s="11">
        <f>_xlfn.XLOOKUP(G1384,Ref!$B$3:$B$12,Ref!$C$3:$C$12,"",1)</f>
        <v>1</v>
      </c>
      <c r="M1384" s="11">
        <f>_xlfn.XLOOKUP(H1384,Ref!$B$3:$B$12,Ref!$C$3:$C$12,"",1)</f>
        <v>1</v>
      </c>
    </row>
    <row r="1385" spans="2:13" x14ac:dyDescent="0.25">
      <c r="B1385" s="15" t="s">
        <v>12</v>
      </c>
      <c r="C1385" s="9"/>
      <c r="D1385" s="9">
        <v>32.5</v>
      </c>
      <c r="E1385" s="10">
        <v>32.799999999999997</v>
      </c>
      <c r="F1385" s="9" t="str">
        <f t="shared" si="82"/>
        <v/>
      </c>
      <c r="G1385" s="9">
        <f t="shared" si="83"/>
        <v>10.345071300973197</v>
      </c>
      <c r="H1385" s="10">
        <f t="shared" si="84"/>
        <v>10.440564266828334</v>
      </c>
      <c r="K1385" s="11" t="str">
        <f>_xlfn.XLOOKUP(F1385,Ref!$B$3:$B$12,Ref!$C$3:$C$12,"",1)</f>
        <v/>
      </c>
      <c r="L1385" s="11">
        <f>_xlfn.XLOOKUP(G1385,Ref!$B$3:$B$12,Ref!$C$3:$C$12,"",1)</f>
        <v>1</v>
      </c>
      <c r="M1385" s="11">
        <f>_xlfn.XLOOKUP(H1385,Ref!$B$3:$B$12,Ref!$C$3:$C$12,"",1)</f>
        <v>1</v>
      </c>
    </row>
    <row r="1386" spans="2:13" x14ac:dyDescent="0.25">
      <c r="B1386" s="15" t="s">
        <v>44</v>
      </c>
      <c r="C1386" s="9"/>
      <c r="D1386" s="9">
        <v>32.6</v>
      </c>
      <c r="E1386" s="10">
        <v>36.1</v>
      </c>
      <c r="F1386" s="9" t="str">
        <f t="shared" si="82"/>
        <v/>
      </c>
      <c r="G1386" s="9">
        <f t="shared" si="83"/>
        <v>10.376902289591577</v>
      </c>
      <c r="H1386" s="10">
        <f t="shared" si="84"/>
        <v>11.490986891234844</v>
      </c>
      <c r="K1386" s="11" t="str">
        <f>_xlfn.XLOOKUP(F1386,Ref!$B$3:$B$12,Ref!$C$3:$C$12,"",1)</f>
        <v/>
      </c>
      <c r="L1386" s="11">
        <f>_xlfn.XLOOKUP(G1386,Ref!$B$3:$B$12,Ref!$C$3:$C$12,"",1)</f>
        <v>1</v>
      </c>
      <c r="M1386" s="11">
        <f>_xlfn.XLOOKUP(H1386,Ref!$B$3:$B$12,Ref!$C$3:$C$12,"",1)</f>
        <v>1</v>
      </c>
    </row>
    <row r="1387" spans="2:13" x14ac:dyDescent="0.25">
      <c r="B1387" s="15" t="s">
        <v>44</v>
      </c>
      <c r="C1387" s="9">
        <v>34.6</v>
      </c>
      <c r="D1387" s="9">
        <v>37.9</v>
      </c>
      <c r="E1387" s="10">
        <v>38.4</v>
      </c>
      <c r="F1387" s="9">
        <f t="shared" si="82"/>
        <v>11.013522061959158</v>
      </c>
      <c r="G1387" s="9">
        <f t="shared" si="83"/>
        <v>12.063944686365666</v>
      </c>
      <c r="H1387" s="10">
        <f t="shared" si="84"/>
        <v>12.223099629457561</v>
      </c>
      <c r="K1387" s="11">
        <f>_xlfn.XLOOKUP(F1387,Ref!$B$3:$B$12,Ref!$C$3:$C$12,"",1)</f>
        <v>1</v>
      </c>
      <c r="L1387" s="11">
        <f>_xlfn.XLOOKUP(G1387,Ref!$B$3:$B$12,Ref!$C$3:$C$12,"",1)</f>
        <v>1</v>
      </c>
      <c r="M1387" s="11">
        <f>_xlfn.XLOOKUP(H1387,Ref!$B$3:$B$12,Ref!$C$3:$C$12,"",1)</f>
        <v>1</v>
      </c>
    </row>
    <row r="1388" spans="2:13" x14ac:dyDescent="0.25">
      <c r="B1388" s="15" t="s">
        <v>36</v>
      </c>
      <c r="C1388" s="9"/>
      <c r="D1388" s="9">
        <v>33.6</v>
      </c>
      <c r="E1388" s="10">
        <v>39.799999999999997</v>
      </c>
      <c r="F1388" s="9" t="str">
        <f t="shared" si="82"/>
        <v/>
      </c>
      <c r="G1388" s="9">
        <f t="shared" si="83"/>
        <v>10.695212175775367</v>
      </c>
      <c r="H1388" s="10">
        <f t="shared" si="84"/>
        <v>12.668733470114868</v>
      </c>
      <c r="K1388" s="11" t="str">
        <f>_xlfn.XLOOKUP(F1388,Ref!$B$3:$B$12,Ref!$C$3:$C$12,"",1)</f>
        <v/>
      </c>
      <c r="L1388" s="11">
        <f>_xlfn.XLOOKUP(G1388,Ref!$B$3:$B$12,Ref!$C$3:$C$12,"",1)</f>
        <v>1</v>
      </c>
      <c r="M1388" s="11">
        <f>_xlfn.XLOOKUP(H1388,Ref!$B$3:$B$12,Ref!$C$3:$C$12,"",1)</f>
        <v>1</v>
      </c>
    </row>
    <row r="1389" spans="2:13" x14ac:dyDescent="0.25">
      <c r="B1389" s="15" t="s">
        <v>12</v>
      </c>
      <c r="C1389" s="9"/>
      <c r="D1389" s="9">
        <v>32.1</v>
      </c>
      <c r="E1389" s="10">
        <v>32.5</v>
      </c>
      <c r="F1389" s="9" t="str">
        <f t="shared" si="82"/>
        <v/>
      </c>
      <c r="G1389" s="9">
        <f t="shared" si="83"/>
        <v>10.217747346499682</v>
      </c>
      <c r="H1389" s="10">
        <f t="shared" si="84"/>
        <v>10.345071300973197</v>
      </c>
      <c r="K1389" s="11" t="str">
        <f>_xlfn.XLOOKUP(F1389,Ref!$B$3:$B$12,Ref!$C$3:$C$12,"",1)</f>
        <v/>
      </c>
      <c r="L1389" s="11">
        <f>_xlfn.XLOOKUP(G1389,Ref!$B$3:$B$12,Ref!$C$3:$C$12,"",1)</f>
        <v>1</v>
      </c>
      <c r="M1389" s="11">
        <f>_xlfn.XLOOKUP(H1389,Ref!$B$3:$B$12,Ref!$C$3:$C$12,"",1)</f>
        <v>1</v>
      </c>
    </row>
    <row r="1390" spans="2:13" x14ac:dyDescent="0.25">
      <c r="B1390" s="15" t="s">
        <v>44</v>
      </c>
      <c r="C1390" s="9"/>
      <c r="D1390" s="9"/>
      <c r="E1390" s="10">
        <v>32.5</v>
      </c>
      <c r="F1390" s="9" t="str">
        <f t="shared" si="82"/>
        <v/>
      </c>
      <c r="G1390" s="9" t="str">
        <f t="shared" si="83"/>
        <v/>
      </c>
      <c r="H1390" s="10">
        <f t="shared" si="84"/>
        <v>10.345071300973197</v>
      </c>
      <c r="K1390" s="11" t="str">
        <f>_xlfn.XLOOKUP(F1390,Ref!$B$3:$B$12,Ref!$C$3:$C$12,"",1)</f>
        <v/>
      </c>
      <c r="L1390" s="11" t="str">
        <f>_xlfn.XLOOKUP(G1390,Ref!$B$3:$B$12,Ref!$C$3:$C$12,"",1)</f>
        <v/>
      </c>
      <c r="M1390" s="11">
        <f>_xlfn.XLOOKUP(H1390,Ref!$B$3:$B$12,Ref!$C$3:$C$12,"",1)</f>
        <v>1</v>
      </c>
    </row>
    <row r="1391" spans="2:13" x14ac:dyDescent="0.25">
      <c r="B1391" s="15" t="s">
        <v>60</v>
      </c>
      <c r="C1391" s="9"/>
      <c r="D1391" s="9"/>
      <c r="E1391" s="10">
        <v>33</v>
      </c>
      <c r="F1391" s="9" t="str">
        <f t="shared" si="82"/>
        <v/>
      </c>
      <c r="G1391" s="9" t="str">
        <f t="shared" si="83"/>
        <v/>
      </c>
      <c r="H1391" s="10">
        <f t="shared" si="84"/>
        <v>10.504226244065093</v>
      </c>
      <c r="K1391" s="11" t="str">
        <f>_xlfn.XLOOKUP(F1391,Ref!$B$3:$B$12,Ref!$C$3:$C$12,"",1)</f>
        <v/>
      </c>
      <c r="L1391" s="11" t="str">
        <f>_xlfn.XLOOKUP(G1391,Ref!$B$3:$B$12,Ref!$C$3:$C$12,"",1)</f>
        <v/>
      </c>
      <c r="M1391" s="11">
        <f>_xlfn.XLOOKUP(H1391,Ref!$B$3:$B$12,Ref!$C$3:$C$12,"",1)</f>
        <v>1</v>
      </c>
    </row>
    <row r="1392" spans="2:13" x14ac:dyDescent="0.25">
      <c r="B1392" s="15" t="s">
        <v>10</v>
      </c>
      <c r="C1392" s="9">
        <v>36.5</v>
      </c>
      <c r="D1392" s="9">
        <v>39.299999999999997</v>
      </c>
      <c r="E1392" s="10">
        <v>41.2</v>
      </c>
      <c r="F1392" s="9">
        <f t="shared" si="82"/>
        <v>11.618310845708359</v>
      </c>
      <c r="G1392" s="9">
        <f t="shared" si="83"/>
        <v>12.509578527022972</v>
      </c>
      <c r="H1392" s="10">
        <f t="shared" si="84"/>
        <v>13.114367310772177</v>
      </c>
      <c r="K1392" s="11">
        <f>_xlfn.XLOOKUP(F1392,Ref!$B$3:$B$12,Ref!$C$3:$C$12,"",1)</f>
        <v>1</v>
      </c>
      <c r="L1392" s="11">
        <f>_xlfn.XLOOKUP(G1392,Ref!$B$3:$B$12,Ref!$C$3:$C$12,"",1)</f>
        <v>1</v>
      </c>
      <c r="M1392" s="11">
        <f>_xlfn.XLOOKUP(H1392,Ref!$B$3:$B$12,Ref!$C$3:$C$12,"",1)</f>
        <v>1</v>
      </c>
    </row>
    <row r="1393" spans="2:13" x14ac:dyDescent="0.25">
      <c r="B1393" s="15" t="s">
        <v>12</v>
      </c>
      <c r="C1393" s="9">
        <v>33</v>
      </c>
      <c r="D1393" s="9">
        <v>35.799999999999997</v>
      </c>
      <c r="E1393" s="10">
        <v>36.700000000000003</v>
      </c>
      <c r="F1393" s="9">
        <f t="shared" si="82"/>
        <v>10.504226244065093</v>
      </c>
      <c r="G1393" s="9">
        <f t="shared" si="83"/>
        <v>11.395493925379705</v>
      </c>
      <c r="H1393" s="10">
        <f t="shared" si="84"/>
        <v>11.681972822945118</v>
      </c>
      <c r="K1393" s="11">
        <f>_xlfn.XLOOKUP(F1393,Ref!$B$3:$B$12,Ref!$C$3:$C$12,"",1)</f>
        <v>1</v>
      </c>
      <c r="L1393" s="11">
        <f>_xlfn.XLOOKUP(G1393,Ref!$B$3:$B$12,Ref!$C$3:$C$12,"",1)</f>
        <v>1</v>
      </c>
      <c r="M1393" s="11">
        <f>_xlfn.XLOOKUP(H1393,Ref!$B$3:$B$12,Ref!$C$3:$C$12,"",1)</f>
        <v>1</v>
      </c>
    </row>
    <row r="1394" spans="2:13" x14ac:dyDescent="0.25">
      <c r="B1394" s="15" t="s">
        <v>10</v>
      </c>
      <c r="C1394" s="9">
        <v>31.7</v>
      </c>
      <c r="D1394" s="9">
        <v>34.1</v>
      </c>
      <c r="E1394" s="10">
        <v>35.700000000000003</v>
      </c>
      <c r="F1394" s="9">
        <f t="shared" si="82"/>
        <v>10.090423392026164</v>
      </c>
      <c r="G1394" s="9">
        <f t="shared" si="83"/>
        <v>10.854367118867263</v>
      </c>
      <c r="H1394" s="10">
        <f t="shared" si="84"/>
        <v>11.363662936761328</v>
      </c>
      <c r="K1394" s="11">
        <f>_xlfn.XLOOKUP(F1394,Ref!$B$3:$B$12,Ref!$C$3:$C$12,"",1)</f>
        <v>1</v>
      </c>
      <c r="L1394" s="11">
        <f>_xlfn.XLOOKUP(G1394,Ref!$B$3:$B$12,Ref!$C$3:$C$12,"",1)</f>
        <v>1</v>
      </c>
      <c r="M1394" s="11">
        <f>_xlfn.XLOOKUP(H1394,Ref!$B$3:$B$12,Ref!$C$3:$C$12,"",1)</f>
        <v>1</v>
      </c>
    </row>
    <row r="1395" spans="2:13" x14ac:dyDescent="0.25">
      <c r="B1395" s="15" t="s">
        <v>10</v>
      </c>
      <c r="C1395" s="9">
        <v>32.9</v>
      </c>
      <c r="D1395" s="9">
        <v>37.200000000000003</v>
      </c>
      <c r="E1395" s="10">
        <v>41.6</v>
      </c>
      <c r="F1395" s="9">
        <f t="shared" si="82"/>
        <v>10.472395255446713</v>
      </c>
      <c r="G1395" s="9">
        <f t="shared" si="83"/>
        <v>11.841127766037014</v>
      </c>
      <c r="H1395" s="10">
        <f t="shared" si="84"/>
        <v>13.241691265245693</v>
      </c>
      <c r="K1395" s="11">
        <f>_xlfn.XLOOKUP(F1395,Ref!$B$3:$B$12,Ref!$C$3:$C$12,"",1)</f>
        <v>1</v>
      </c>
      <c r="L1395" s="11">
        <f>_xlfn.XLOOKUP(G1395,Ref!$B$3:$B$12,Ref!$C$3:$C$12,"",1)</f>
        <v>1</v>
      </c>
      <c r="M1395" s="11">
        <f>_xlfn.XLOOKUP(H1395,Ref!$B$3:$B$12,Ref!$C$3:$C$12,"",1)</f>
        <v>1</v>
      </c>
    </row>
    <row r="1396" spans="2:13" x14ac:dyDescent="0.25">
      <c r="B1396" s="15" t="s">
        <v>44</v>
      </c>
      <c r="C1396" s="9">
        <v>42.7</v>
      </c>
      <c r="D1396" s="9">
        <v>47.5</v>
      </c>
      <c r="E1396" s="10">
        <v>50.2</v>
      </c>
      <c r="F1396" s="9">
        <f t="shared" si="82"/>
        <v>13.591832140047863</v>
      </c>
      <c r="G1396" s="9">
        <f t="shared" si="83"/>
        <v>15.119719593730057</v>
      </c>
      <c r="H1396" s="10">
        <f t="shared" si="84"/>
        <v>15.979156286426294</v>
      </c>
      <c r="K1396" s="11">
        <f>_xlfn.XLOOKUP(F1396,Ref!$B$3:$B$12,Ref!$C$3:$C$12,"",1)</f>
        <v>1</v>
      </c>
      <c r="L1396" s="11">
        <f>_xlfn.XLOOKUP(G1396,Ref!$B$3:$B$12,Ref!$C$3:$C$12,"",1)</f>
        <v>1</v>
      </c>
      <c r="M1396" s="11">
        <f>_xlfn.XLOOKUP(H1396,Ref!$B$3:$B$12,Ref!$C$3:$C$12,"",1)</f>
        <v>1</v>
      </c>
    </row>
    <row r="1397" spans="2:13" x14ac:dyDescent="0.25">
      <c r="B1397" s="15" t="s">
        <v>26</v>
      </c>
      <c r="C1397" s="9">
        <v>143.19999999999999</v>
      </c>
      <c r="D1397" s="9">
        <v>151.5</v>
      </c>
      <c r="E1397" s="10">
        <v>159.5</v>
      </c>
      <c r="F1397" s="9">
        <f t="shared" si="82"/>
        <v>45.581975701518822</v>
      </c>
      <c r="G1397" s="9">
        <f t="shared" si="83"/>
        <v>48.223947756844289</v>
      </c>
      <c r="H1397" s="10">
        <f t="shared" si="84"/>
        <v>50.770426846314614</v>
      </c>
      <c r="K1397" s="11">
        <f>_xlfn.XLOOKUP(F1397,Ref!$B$3:$B$12,Ref!$C$3:$C$12,"",1)</f>
        <v>4</v>
      </c>
      <c r="L1397" s="11">
        <f>_xlfn.XLOOKUP(G1397,Ref!$B$3:$B$12,Ref!$C$3:$C$12,"",1)</f>
        <v>4</v>
      </c>
      <c r="M1397" s="11">
        <f>_xlfn.XLOOKUP(H1397,Ref!$B$3:$B$12,Ref!$C$3:$C$12,"",1)</f>
        <v>5</v>
      </c>
    </row>
    <row r="1398" spans="2:13" x14ac:dyDescent="0.25">
      <c r="B1398" s="15" t="s">
        <v>25</v>
      </c>
      <c r="C1398" s="9">
        <v>53.9</v>
      </c>
      <c r="D1398" s="9">
        <v>59.8</v>
      </c>
      <c r="E1398" s="10">
        <v>61.2</v>
      </c>
      <c r="F1398" s="9">
        <f t="shared" si="82"/>
        <v>17.156902865306318</v>
      </c>
      <c r="G1398" s="9">
        <f t="shared" si="83"/>
        <v>19.034931193790683</v>
      </c>
      <c r="H1398" s="10">
        <f t="shared" si="84"/>
        <v>19.480565034447991</v>
      </c>
      <c r="K1398" s="11">
        <f>_xlfn.XLOOKUP(F1398,Ref!$B$3:$B$12,Ref!$C$3:$C$12,"",1)</f>
        <v>1</v>
      </c>
      <c r="L1398" s="11">
        <f>_xlfn.XLOOKUP(G1398,Ref!$B$3:$B$12,Ref!$C$3:$C$12,"",1)</f>
        <v>1</v>
      </c>
      <c r="M1398" s="11">
        <f>_xlfn.XLOOKUP(H1398,Ref!$B$3:$B$12,Ref!$C$3:$C$12,"",1)</f>
        <v>1</v>
      </c>
    </row>
    <row r="1399" spans="2:13" x14ac:dyDescent="0.25">
      <c r="B1399" s="15" t="s">
        <v>10</v>
      </c>
      <c r="C1399" s="9">
        <v>44.2</v>
      </c>
      <c r="D1399" s="9">
        <v>50.4</v>
      </c>
      <c r="E1399" s="10">
        <v>54.8</v>
      </c>
      <c r="F1399" s="9">
        <f t="shared" si="82"/>
        <v>14.069296969323549</v>
      </c>
      <c r="G1399" s="9">
        <f t="shared" si="83"/>
        <v>16.042818263663051</v>
      </c>
      <c r="H1399" s="10">
        <f t="shared" si="84"/>
        <v>17.443381762871727</v>
      </c>
      <c r="K1399" s="11">
        <f>_xlfn.XLOOKUP(F1399,Ref!$B$3:$B$12,Ref!$C$3:$C$12,"",1)</f>
        <v>1</v>
      </c>
      <c r="L1399" s="11">
        <f>_xlfn.XLOOKUP(G1399,Ref!$B$3:$B$12,Ref!$C$3:$C$12,"",1)</f>
        <v>1</v>
      </c>
      <c r="M1399" s="11">
        <f>_xlfn.XLOOKUP(H1399,Ref!$B$3:$B$12,Ref!$C$3:$C$12,"",1)</f>
        <v>1</v>
      </c>
    </row>
    <row r="1400" spans="2:13" x14ac:dyDescent="0.25">
      <c r="B1400" s="15" t="s">
        <v>27</v>
      </c>
      <c r="C1400" s="9">
        <v>35.299999999999997</v>
      </c>
      <c r="D1400" s="9">
        <v>39.200000000000003</v>
      </c>
      <c r="E1400" s="10">
        <v>40.200000000000003</v>
      </c>
      <c r="F1400" s="9">
        <f t="shared" si="82"/>
        <v>11.23633898228781</v>
      </c>
      <c r="G1400" s="9">
        <f t="shared" si="83"/>
        <v>12.477747538404596</v>
      </c>
      <c r="H1400" s="10">
        <f t="shared" si="84"/>
        <v>12.796057424588387</v>
      </c>
      <c r="K1400" s="11">
        <f>_xlfn.XLOOKUP(F1400,Ref!$B$3:$B$12,Ref!$C$3:$C$12,"",1)</f>
        <v>1</v>
      </c>
      <c r="L1400" s="11">
        <f>_xlfn.XLOOKUP(G1400,Ref!$B$3:$B$12,Ref!$C$3:$C$12,"",1)</f>
        <v>1</v>
      </c>
      <c r="M1400" s="11">
        <f>_xlfn.XLOOKUP(H1400,Ref!$B$3:$B$12,Ref!$C$3:$C$12,"",1)</f>
        <v>1</v>
      </c>
    </row>
    <row r="1401" spans="2:13" x14ac:dyDescent="0.25">
      <c r="B1401" s="15" t="s">
        <v>27</v>
      </c>
      <c r="C1401" s="9">
        <v>47.9</v>
      </c>
      <c r="D1401" s="9">
        <v>49.5</v>
      </c>
      <c r="E1401" s="10">
        <v>49.5</v>
      </c>
      <c r="F1401" s="9">
        <f t="shared" si="82"/>
        <v>15.247043548203573</v>
      </c>
      <c r="G1401" s="9">
        <f t="shared" si="83"/>
        <v>15.756339366097638</v>
      </c>
      <c r="H1401" s="10">
        <f t="shared" si="84"/>
        <v>15.756339366097638</v>
      </c>
      <c r="K1401" s="11">
        <f>_xlfn.XLOOKUP(F1401,Ref!$B$3:$B$12,Ref!$C$3:$C$12,"",1)</f>
        <v>1</v>
      </c>
      <c r="L1401" s="11">
        <f>_xlfn.XLOOKUP(G1401,Ref!$B$3:$B$12,Ref!$C$3:$C$12,"",1)</f>
        <v>1</v>
      </c>
      <c r="M1401" s="11">
        <f>_xlfn.XLOOKUP(H1401,Ref!$B$3:$B$12,Ref!$C$3:$C$12,"",1)</f>
        <v>1</v>
      </c>
    </row>
    <row r="1402" spans="2:13" x14ac:dyDescent="0.25">
      <c r="B1402" s="15" t="s">
        <v>37</v>
      </c>
      <c r="C1402" s="9">
        <v>45.2</v>
      </c>
      <c r="D1402" s="9">
        <v>51.6</v>
      </c>
      <c r="E1402" s="10">
        <v>56.7</v>
      </c>
      <c r="F1402" s="9">
        <f t="shared" si="82"/>
        <v>14.38760685550734</v>
      </c>
      <c r="G1402" s="9">
        <f t="shared" si="83"/>
        <v>16.4247901270836</v>
      </c>
      <c r="H1402" s="10">
        <f t="shared" si="84"/>
        <v>18.048170546620934</v>
      </c>
      <c r="K1402" s="11">
        <f>_xlfn.XLOOKUP(F1402,Ref!$B$3:$B$12,Ref!$C$3:$C$12,"",1)</f>
        <v>1</v>
      </c>
      <c r="L1402" s="11">
        <f>_xlfn.XLOOKUP(G1402,Ref!$B$3:$B$12,Ref!$C$3:$C$12,"",1)</f>
        <v>1</v>
      </c>
      <c r="M1402" s="11">
        <f>_xlfn.XLOOKUP(H1402,Ref!$B$3:$B$12,Ref!$C$3:$C$12,"",1)</f>
        <v>1</v>
      </c>
    </row>
    <row r="1403" spans="2:13" x14ac:dyDescent="0.25">
      <c r="B1403" s="15" t="s">
        <v>27</v>
      </c>
      <c r="C1403" s="9">
        <v>46.8</v>
      </c>
      <c r="D1403" s="9">
        <v>50.8</v>
      </c>
      <c r="E1403" s="10">
        <v>51.6</v>
      </c>
      <c r="F1403" s="9">
        <f t="shared" si="82"/>
        <v>14.896902673401403</v>
      </c>
      <c r="G1403" s="9">
        <f t="shared" si="83"/>
        <v>16.170142218136565</v>
      </c>
      <c r="H1403" s="10">
        <f t="shared" si="84"/>
        <v>16.4247901270836</v>
      </c>
      <c r="K1403" s="11">
        <f>_xlfn.XLOOKUP(F1403,Ref!$B$3:$B$12,Ref!$C$3:$C$12,"",1)</f>
        <v>1</v>
      </c>
      <c r="L1403" s="11">
        <f>_xlfn.XLOOKUP(G1403,Ref!$B$3:$B$12,Ref!$C$3:$C$12,"",1)</f>
        <v>1</v>
      </c>
      <c r="M1403" s="11">
        <f>_xlfn.XLOOKUP(H1403,Ref!$B$3:$B$12,Ref!$C$3:$C$12,"",1)</f>
        <v>1</v>
      </c>
    </row>
    <row r="1404" spans="2:13" x14ac:dyDescent="0.25">
      <c r="B1404" s="15" t="s">
        <v>44</v>
      </c>
      <c r="C1404" s="9">
        <v>32.6</v>
      </c>
      <c r="D1404" s="9">
        <v>36</v>
      </c>
      <c r="E1404" s="10">
        <v>36.700000000000003</v>
      </c>
      <c r="F1404" s="9">
        <f t="shared" si="82"/>
        <v>10.376902289591577</v>
      </c>
      <c r="G1404" s="9">
        <f t="shared" si="83"/>
        <v>11.459155902616464</v>
      </c>
      <c r="H1404" s="10">
        <f t="shared" si="84"/>
        <v>11.681972822945118</v>
      </c>
      <c r="K1404" s="11">
        <f>_xlfn.XLOOKUP(F1404,Ref!$B$3:$B$12,Ref!$C$3:$C$12,"",1)</f>
        <v>1</v>
      </c>
      <c r="L1404" s="11">
        <f>_xlfn.XLOOKUP(G1404,Ref!$B$3:$B$12,Ref!$C$3:$C$12,"",1)</f>
        <v>1</v>
      </c>
      <c r="M1404" s="11">
        <f>_xlfn.XLOOKUP(H1404,Ref!$B$3:$B$12,Ref!$C$3:$C$12,"",1)</f>
        <v>1</v>
      </c>
    </row>
    <row r="1405" spans="2:13" x14ac:dyDescent="0.25">
      <c r="B1405" s="15" t="s">
        <v>15</v>
      </c>
      <c r="C1405" s="9">
        <v>32.700000000000003</v>
      </c>
      <c r="D1405" s="9">
        <v>33.700000000000003</v>
      </c>
      <c r="E1405" s="10">
        <v>33.799999999999997</v>
      </c>
      <c r="F1405" s="9">
        <f t="shared" si="82"/>
        <v>10.408733278209956</v>
      </c>
      <c r="G1405" s="9">
        <f t="shared" si="83"/>
        <v>10.727043164393747</v>
      </c>
      <c r="H1405" s="10">
        <f t="shared" si="84"/>
        <v>10.758874153012124</v>
      </c>
      <c r="K1405" s="11">
        <f>_xlfn.XLOOKUP(F1405,Ref!$B$3:$B$12,Ref!$C$3:$C$12,"",1)</f>
        <v>1</v>
      </c>
      <c r="L1405" s="11">
        <f>_xlfn.XLOOKUP(G1405,Ref!$B$3:$B$12,Ref!$C$3:$C$12,"",1)</f>
        <v>1</v>
      </c>
      <c r="M1405" s="11">
        <f>_xlfn.XLOOKUP(H1405,Ref!$B$3:$B$12,Ref!$C$3:$C$12,"",1)</f>
        <v>1</v>
      </c>
    </row>
    <row r="1406" spans="2:13" x14ac:dyDescent="0.25">
      <c r="B1406" s="15" t="s">
        <v>11</v>
      </c>
      <c r="C1406" s="9">
        <v>149</v>
      </c>
      <c r="D1406" s="9">
        <v>159.5</v>
      </c>
      <c r="E1406" s="10">
        <v>155.4</v>
      </c>
      <c r="F1406" s="9">
        <f t="shared" si="82"/>
        <v>47.428173041384809</v>
      </c>
      <c r="G1406" s="9">
        <f t="shared" si="83"/>
        <v>50.770426846314614</v>
      </c>
      <c r="H1406" s="10">
        <f t="shared" si="84"/>
        <v>49.465356312961077</v>
      </c>
      <c r="K1406" s="11">
        <f>_xlfn.XLOOKUP(F1406,Ref!$B$3:$B$12,Ref!$C$3:$C$12,"",1)</f>
        <v>4</v>
      </c>
      <c r="L1406" s="11">
        <f>_xlfn.XLOOKUP(G1406,Ref!$B$3:$B$12,Ref!$C$3:$C$12,"",1)</f>
        <v>5</v>
      </c>
      <c r="M1406" s="11">
        <f>_xlfn.XLOOKUP(H1406,Ref!$B$3:$B$12,Ref!$C$3:$C$12,"",1)</f>
        <v>4</v>
      </c>
    </row>
    <row r="1407" spans="2:13" x14ac:dyDescent="0.25">
      <c r="B1407" s="15" t="s">
        <v>13</v>
      </c>
      <c r="C1407" s="9">
        <v>40.200000000000003</v>
      </c>
      <c r="D1407" s="9">
        <v>45.2</v>
      </c>
      <c r="E1407" s="10">
        <v>46.6</v>
      </c>
      <c r="F1407" s="9">
        <f t="shared" si="82"/>
        <v>12.796057424588387</v>
      </c>
      <c r="G1407" s="9">
        <f t="shared" si="83"/>
        <v>14.38760685550734</v>
      </c>
      <c r="H1407" s="10">
        <f t="shared" si="84"/>
        <v>14.833240696164646</v>
      </c>
      <c r="K1407" s="11">
        <f>_xlfn.XLOOKUP(F1407,Ref!$B$3:$B$12,Ref!$C$3:$C$12,"",1)</f>
        <v>1</v>
      </c>
      <c r="L1407" s="11">
        <f>_xlfn.XLOOKUP(G1407,Ref!$B$3:$B$12,Ref!$C$3:$C$12,"",1)</f>
        <v>1</v>
      </c>
      <c r="M1407" s="11">
        <f>_xlfn.XLOOKUP(H1407,Ref!$B$3:$B$12,Ref!$C$3:$C$12,"",1)</f>
        <v>1</v>
      </c>
    </row>
    <row r="1408" spans="2:13" x14ac:dyDescent="0.25">
      <c r="B1408" s="15" t="s">
        <v>8</v>
      </c>
      <c r="C1408" s="9">
        <v>38.700000000000003</v>
      </c>
      <c r="D1408" s="9">
        <v>41.2</v>
      </c>
      <c r="E1408" s="10">
        <v>42.1</v>
      </c>
      <c r="F1408" s="9">
        <f t="shared" si="82"/>
        <v>12.318592595312701</v>
      </c>
      <c r="G1408" s="9">
        <f t="shared" si="83"/>
        <v>13.114367310772177</v>
      </c>
      <c r="H1408" s="10">
        <f t="shared" si="84"/>
        <v>13.400846208337589</v>
      </c>
      <c r="K1408" s="11">
        <f>_xlfn.XLOOKUP(F1408,Ref!$B$3:$B$12,Ref!$C$3:$C$12,"",1)</f>
        <v>1</v>
      </c>
      <c r="L1408" s="11">
        <f>_xlfn.XLOOKUP(G1408,Ref!$B$3:$B$12,Ref!$C$3:$C$12,"",1)</f>
        <v>1</v>
      </c>
      <c r="M1408" s="11">
        <f>_xlfn.XLOOKUP(H1408,Ref!$B$3:$B$12,Ref!$C$3:$C$12,"",1)</f>
        <v>1</v>
      </c>
    </row>
    <row r="1409" spans="2:13" x14ac:dyDescent="0.25">
      <c r="B1409" s="15" t="s">
        <v>65</v>
      </c>
      <c r="C1409" s="9">
        <v>41.2</v>
      </c>
      <c r="D1409" s="9">
        <v>51.8</v>
      </c>
      <c r="E1409" s="10">
        <v>58.9</v>
      </c>
      <c r="F1409" s="9">
        <f t="shared" si="82"/>
        <v>13.114367310772177</v>
      </c>
      <c r="G1409" s="9">
        <f t="shared" si="83"/>
        <v>16.488452104320356</v>
      </c>
      <c r="H1409" s="10">
        <f t="shared" si="84"/>
        <v>18.74845229622527</v>
      </c>
      <c r="K1409" s="11">
        <f>_xlfn.XLOOKUP(F1409,Ref!$B$3:$B$12,Ref!$C$3:$C$12,"",1)</f>
        <v>1</v>
      </c>
      <c r="L1409" s="11">
        <f>_xlfn.XLOOKUP(G1409,Ref!$B$3:$B$12,Ref!$C$3:$C$12,"",1)</f>
        <v>1</v>
      </c>
      <c r="M1409" s="11">
        <f>_xlfn.XLOOKUP(H1409,Ref!$B$3:$B$12,Ref!$C$3:$C$12,"",1)</f>
        <v>1</v>
      </c>
    </row>
    <row r="1410" spans="2:13" x14ac:dyDescent="0.25">
      <c r="B1410" s="15" t="s">
        <v>10</v>
      </c>
      <c r="C1410" s="9">
        <v>34</v>
      </c>
      <c r="D1410" s="9">
        <v>40.1</v>
      </c>
      <c r="E1410" s="10">
        <v>44.2</v>
      </c>
      <c r="F1410" s="9">
        <f t="shared" si="82"/>
        <v>10.822536130248883</v>
      </c>
      <c r="G1410" s="9">
        <f t="shared" si="83"/>
        <v>12.764226435970008</v>
      </c>
      <c r="H1410" s="10">
        <f t="shared" si="84"/>
        <v>14.069296969323549</v>
      </c>
      <c r="K1410" s="11">
        <f>_xlfn.XLOOKUP(F1410,Ref!$B$3:$B$12,Ref!$C$3:$C$12,"",1)</f>
        <v>1</v>
      </c>
      <c r="L1410" s="11">
        <f>_xlfn.XLOOKUP(G1410,Ref!$B$3:$B$12,Ref!$C$3:$C$12,"",1)</f>
        <v>1</v>
      </c>
      <c r="M1410" s="11">
        <f>_xlfn.XLOOKUP(H1410,Ref!$B$3:$B$12,Ref!$C$3:$C$12,"",1)</f>
        <v>1</v>
      </c>
    </row>
    <row r="1411" spans="2:13" x14ac:dyDescent="0.25">
      <c r="B1411" s="15" t="s">
        <v>83</v>
      </c>
      <c r="C1411" s="9">
        <v>36.799999999999997</v>
      </c>
      <c r="D1411" s="9">
        <v>40.9</v>
      </c>
      <c r="E1411" s="10">
        <v>43.3</v>
      </c>
      <c r="F1411" s="9">
        <f t="shared" si="82"/>
        <v>11.713803811563496</v>
      </c>
      <c r="G1411" s="9">
        <f t="shared" si="83"/>
        <v>13.018874344917039</v>
      </c>
      <c r="H1411" s="10">
        <f t="shared" si="84"/>
        <v>13.782818071758136</v>
      </c>
      <c r="K1411" s="11">
        <f>_xlfn.XLOOKUP(F1411,Ref!$B$3:$B$12,Ref!$C$3:$C$12,"",1)</f>
        <v>1</v>
      </c>
      <c r="L1411" s="11">
        <f>_xlfn.XLOOKUP(G1411,Ref!$B$3:$B$12,Ref!$C$3:$C$12,"",1)</f>
        <v>1</v>
      </c>
      <c r="M1411" s="11">
        <f>_xlfn.XLOOKUP(H1411,Ref!$B$3:$B$12,Ref!$C$3:$C$12,"",1)</f>
        <v>1</v>
      </c>
    </row>
    <row r="1412" spans="2:13" x14ac:dyDescent="0.25">
      <c r="B1412" s="15" t="s">
        <v>12</v>
      </c>
      <c r="C1412" s="9">
        <v>35.9</v>
      </c>
      <c r="D1412" s="9">
        <v>39.200000000000003</v>
      </c>
      <c r="E1412" s="10">
        <v>40.299999999999997</v>
      </c>
      <c r="F1412" s="9">
        <f t="shared" si="82"/>
        <v>11.427324913998085</v>
      </c>
      <c r="G1412" s="9">
        <f t="shared" si="83"/>
        <v>12.477747538404596</v>
      </c>
      <c r="H1412" s="10">
        <f t="shared" si="84"/>
        <v>12.827888413206765</v>
      </c>
      <c r="K1412" s="11">
        <f>_xlfn.XLOOKUP(F1412,Ref!$B$3:$B$12,Ref!$C$3:$C$12,"",1)</f>
        <v>1</v>
      </c>
      <c r="L1412" s="11">
        <f>_xlfn.XLOOKUP(G1412,Ref!$B$3:$B$12,Ref!$C$3:$C$12,"",1)</f>
        <v>1</v>
      </c>
      <c r="M1412" s="11">
        <f>_xlfn.XLOOKUP(H1412,Ref!$B$3:$B$12,Ref!$C$3:$C$12,"",1)</f>
        <v>1</v>
      </c>
    </row>
    <row r="1413" spans="2:13" x14ac:dyDescent="0.25">
      <c r="B1413" s="15" t="s">
        <v>41</v>
      </c>
      <c r="C1413" s="9">
        <v>38.4</v>
      </c>
      <c r="D1413" s="9">
        <v>42.2</v>
      </c>
      <c r="E1413" s="10">
        <v>43.1</v>
      </c>
      <c r="F1413" s="9">
        <f t="shared" si="82"/>
        <v>12.223099629457561</v>
      </c>
      <c r="G1413" s="9">
        <f t="shared" si="83"/>
        <v>13.432677196955968</v>
      </c>
      <c r="H1413" s="10">
        <f t="shared" si="84"/>
        <v>13.719156094521379</v>
      </c>
      <c r="K1413" s="11">
        <f>_xlfn.XLOOKUP(F1413,Ref!$B$3:$B$12,Ref!$C$3:$C$12,"",1)</f>
        <v>1</v>
      </c>
      <c r="L1413" s="11">
        <f>_xlfn.XLOOKUP(G1413,Ref!$B$3:$B$12,Ref!$C$3:$C$12,"",1)</f>
        <v>1</v>
      </c>
      <c r="M1413" s="11">
        <f>_xlfn.XLOOKUP(H1413,Ref!$B$3:$B$12,Ref!$C$3:$C$12,"",1)</f>
        <v>1</v>
      </c>
    </row>
    <row r="1414" spans="2:13" x14ac:dyDescent="0.25">
      <c r="B1414" s="15" t="s">
        <v>41</v>
      </c>
      <c r="C1414" s="9">
        <v>38.9</v>
      </c>
      <c r="D1414" s="9">
        <v>44.8</v>
      </c>
      <c r="E1414" s="10">
        <v>48.5</v>
      </c>
      <c r="F1414" s="9">
        <f t="shared" si="82"/>
        <v>12.382254572549456</v>
      </c>
      <c r="G1414" s="9">
        <f t="shared" si="83"/>
        <v>14.260282901033822</v>
      </c>
      <c r="H1414" s="10">
        <f t="shared" si="84"/>
        <v>15.438029479913848</v>
      </c>
      <c r="K1414" s="11">
        <f>_xlfn.XLOOKUP(F1414,Ref!$B$3:$B$12,Ref!$C$3:$C$12,"",1)</f>
        <v>1</v>
      </c>
      <c r="L1414" s="11">
        <f>_xlfn.XLOOKUP(G1414,Ref!$B$3:$B$12,Ref!$C$3:$C$12,"",1)</f>
        <v>1</v>
      </c>
      <c r="M1414" s="11">
        <f>_xlfn.XLOOKUP(H1414,Ref!$B$3:$B$12,Ref!$C$3:$C$12,"",1)</f>
        <v>1</v>
      </c>
    </row>
    <row r="1415" spans="2:13" x14ac:dyDescent="0.25">
      <c r="B1415" s="15" t="s">
        <v>8</v>
      </c>
      <c r="C1415" s="9">
        <v>38.6</v>
      </c>
      <c r="D1415" s="9">
        <v>42.3</v>
      </c>
      <c r="E1415" s="10">
        <v>45.1</v>
      </c>
      <c r="F1415" s="9">
        <f t="shared" si="82"/>
        <v>12.286761606694322</v>
      </c>
      <c r="G1415" s="9">
        <f t="shared" si="83"/>
        <v>13.464508185574346</v>
      </c>
      <c r="H1415" s="10">
        <f t="shared" si="84"/>
        <v>14.35577586688896</v>
      </c>
      <c r="K1415" s="11">
        <f>_xlfn.XLOOKUP(F1415,Ref!$B$3:$B$12,Ref!$C$3:$C$12,"",1)</f>
        <v>1</v>
      </c>
      <c r="L1415" s="11">
        <f>_xlfn.XLOOKUP(G1415,Ref!$B$3:$B$12,Ref!$C$3:$C$12,"",1)</f>
        <v>1</v>
      </c>
      <c r="M1415" s="11">
        <f>_xlfn.XLOOKUP(H1415,Ref!$B$3:$B$12,Ref!$C$3:$C$12,"",1)</f>
        <v>1</v>
      </c>
    </row>
    <row r="1416" spans="2:13" x14ac:dyDescent="0.25">
      <c r="B1416" s="15" t="s">
        <v>12</v>
      </c>
      <c r="C1416" s="9">
        <v>33.700000000000003</v>
      </c>
      <c r="D1416" s="9">
        <v>37.700000000000003</v>
      </c>
      <c r="E1416" s="10">
        <v>39.4</v>
      </c>
      <c r="F1416" s="9">
        <f t="shared" si="82"/>
        <v>10.727043164393747</v>
      </c>
      <c r="G1416" s="9">
        <f t="shared" si="83"/>
        <v>12.000282709128909</v>
      </c>
      <c r="H1416" s="10">
        <f t="shared" si="84"/>
        <v>12.541409515641352</v>
      </c>
      <c r="K1416" s="11">
        <f>_xlfn.XLOOKUP(F1416,Ref!$B$3:$B$12,Ref!$C$3:$C$12,"",1)</f>
        <v>1</v>
      </c>
      <c r="L1416" s="11">
        <f>_xlfn.XLOOKUP(G1416,Ref!$B$3:$B$12,Ref!$C$3:$C$12,"",1)</f>
        <v>1</v>
      </c>
      <c r="M1416" s="11">
        <f>_xlfn.XLOOKUP(H1416,Ref!$B$3:$B$12,Ref!$C$3:$C$12,"",1)</f>
        <v>1</v>
      </c>
    </row>
    <row r="1417" spans="2:13" x14ac:dyDescent="0.25">
      <c r="B1417" s="15" t="s">
        <v>23</v>
      </c>
      <c r="C1417" s="9">
        <v>34.299999999999997</v>
      </c>
      <c r="D1417" s="9">
        <v>34.9</v>
      </c>
      <c r="E1417" s="10">
        <v>35.1</v>
      </c>
      <c r="F1417" s="9">
        <f t="shared" si="82"/>
        <v>10.91802909610402</v>
      </c>
      <c r="G1417" s="9">
        <f t="shared" si="83"/>
        <v>11.109015027814294</v>
      </c>
      <c r="H1417" s="10">
        <f t="shared" si="84"/>
        <v>11.172677005051053</v>
      </c>
      <c r="K1417" s="11">
        <f>_xlfn.XLOOKUP(F1417,Ref!$B$3:$B$12,Ref!$C$3:$C$12,"",1)</f>
        <v>1</v>
      </c>
      <c r="L1417" s="11">
        <f>_xlfn.XLOOKUP(G1417,Ref!$B$3:$B$12,Ref!$C$3:$C$12,"",1)</f>
        <v>1</v>
      </c>
      <c r="M1417" s="11">
        <f>_xlfn.XLOOKUP(H1417,Ref!$B$3:$B$12,Ref!$C$3:$C$12,"",1)</f>
        <v>1</v>
      </c>
    </row>
    <row r="1418" spans="2:13" x14ac:dyDescent="0.25">
      <c r="B1418" s="15" t="s">
        <v>46</v>
      </c>
      <c r="C1418" s="9">
        <v>73.400000000000006</v>
      </c>
      <c r="D1418" s="9">
        <v>74.3</v>
      </c>
      <c r="E1418" s="10">
        <v>0</v>
      </c>
      <c r="F1418" s="9">
        <f t="shared" si="82"/>
        <v>23.363945645890237</v>
      </c>
      <c r="G1418" s="9">
        <f t="shared" si="83"/>
        <v>23.650424543455646</v>
      </c>
      <c r="H1418" s="10">
        <f t="shared" si="84"/>
        <v>0</v>
      </c>
      <c r="K1418" s="11">
        <f>_xlfn.XLOOKUP(F1418,Ref!$B$3:$B$12,Ref!$C$3:$C$12,"",1)</f>
        <v>2</v>
      </c>
      <c r="L1418" s="11">
        <f>_xlfn.XLOOKUP(G1418,Ref!$B$3:$B$12,Ref!$C$3:$C$12,"",1)</f>
        <v>2</v>
      </c>
      <c r="M1418" s="11" t="str">
        <f>_xlfn.XLOOKUP(H1418,Ref!$B$3:$B$12,Ref!$C$3:$C$12,"",1)</f>
        <v>Morta</v>
      </c>
    </row>
    <row r="1419" spans="2:13" x14ac:dyDescent="0.25">
      <c r="B1419" s="15" t="s">
        <v>25</v>
      </c>
      <c r="C1419" s="9">
        <v>45.5</v>
      </c>
      <c r="D1419" s="9">
        <v>50</v>
      </c>
      <c r="E1419" s="10">
        <v>53.7</v>
      </c>
      <c r="F1419" s="9">
        <f t="shared" si="82"/>
        <v>14.483099821362476</v>
      </c>
      <c r="G1419" s="9">
        <f t="shared" si="83"/>
        <v>15.915494309189533</v>
      </c>
      <c r="H1419" s="10">
        <f t="shared" si="84"/>
        <v>17.093240888069559</v>
      </c>
      <c r="K1419" s="11">
        <f>_xlfn.XLOOKUP(F1419,Ref!$B$3:$B$12,Ref!$C$3:$C$12,"",1)</f>
        <v>1</v>
      </c>
      <c r="L1419" s="11">
        <f>_xlfn.XLOOKUP(G1419,Ref!$B$3:$B$12,Ref!$C$3:$C$12,"",1)</f>
        <v>1</v>
      </c>
      <c r="M1419" s="11">
        <f>_xlfn.XLOOKUP(H1419,Ref!$B$3:$B$12,Ref!$C$3:$C$12,"",1)</f>
        <v>1</v>
      </c>
    </row>
    <row r="1420" spans="2:13" x14ac:dyDescent="0.25">
      <c r="B1420" s="15" t="s">
        <v>12</v>
      </c>
      <c r="C1420" s="9">
        <v>33.5</v>
      </c>
      <c r="D1420" s="9">
        <v>38</v>
      </c>
      <c r="E1420" s="10">
        <v>40.1</v>
      </c>
      <c r="F1420" s="9">
        <f t="shared" si="82"/>
        <v>10.663381187156988</v>
      </c>
      <c r="G1420" s="9">
        <f t="shared" si="83"/>
        <v>12.095775674984045</v>
      </c>
      <c r="H1420" s="10">
        <f t="shared" si="84"/>
        <v>12.764226435970008</v>
      </c>
      <c r="K1420" s="11">
        <f>_xlfn.XLOOKUP(F1420,Ref!$B$3:$B$12,Ref!$C$3:$C$12,"",1)</f>
        <v>1</v>
      </c>
      <c r="L1420" s="11">
        <f>_xlfn.XLOOKUP(G1420,Ref!$B$3:$B$12,Ref!$C$3:$C$12,"",1)</f>
        <v>1</v>
      </c>
      <c r="M1420" s="11">
        <f>_xlfn.XLOOKUP(H1420,Ref!$B$3:$B$12,Ref!$C$3:$C$12,"",1)</f>
        <v>1</v>
      </c>
    </row>
    <row r="1421" spans="2:13" x14ac:dyDescent="0.25">
      <c r="B1421" s="15" t="s">
        <v>25</v>
      </c>
      <c r="C1421" s="9">
        <v>36.6</v>
      </c>
      <c r="D1421" s="9">
        <v>40.799999999999997</v>
      </c>
      <c r="E1421" s="10">
        <v>44.4</v>
      </c>
      <c r="F1421" s="9">
        <f t="shared" si="82"/>
        <v>11.650141834326739</v>
      </c>
      <c r="G1421" s="9">
        <f t="shared" si="83"/>
        <v>12.98704335629866</v>
      </c>
      <c r="H1421" s="10">
        <f t="shared" si="84"/>
        <v>14.132958946560306</v>
      </c>
      <c r="K1421" s="11">
        <f>_xlfn.XLOOKUP(F1421,Ref!$B$3:$B$12,Ref!$C$3:$C$12,"",1)</f>
        <v>1</v>
      </c>
      <c r="L1421" s="11">
        <f>_xlfn.XLOOKUP(G1421,Ref!$B$3:$B$12,Ref!$C$3:$C$12,"",1)</f>
        <v>1</v>
      </c>
      <c r="M1421" s="11">
        <f>_xlfn.XLOOKUP(H1421,Ref!$B$3:$B$12,Ref!$C$3:$C$12,"",1)</f>
        <v>1</v>
      </c>
    </row>
    <row r="1422" spans="2:13" x14ac:dyDescent="0.25">
      <c r="B1422" s="15" t="s">
        <v>63</v>
      </c>
      <c r="C1422" s="9">
        <v>61.9</v>
      </c>
      <c r="D1422" s="9">
        <v>66</v>
      </c>
      <c r="E1422" s="10">
        <v>0</v>
      </c>
      <c r="F1422" s="9">
        <f t="shared" si="82"/>
        <v>19.703381954776642</v>
      </c>
      <c r="G1422" s="9">
        <f t="shared" si="83"/>
        <v>21.008452488130185</v>
      </c>
      <c r="H1422" s="10">
        <f t="shared" si="84"/>
        <v>0</v>
      </c>
      <c r="K1422" s="11">
        <f>_xlfn.XLOOKUP(F1422,Ref!$B$3:$B$12,Ref!$C$3:$C$12,"",1)</f>
        <v>1</v>
      </c>
      <c r="L1422" s="11">
        <f>_xlfn.XLOOKUP(G1422,Ref!$B$3:$B$12,Ref!$C$3:$C$12,"",1)</f>
        <v>2</v>
      </c>
      <c r="M1422" s="11" t="str">
        <f>_xlfn.XLOOKUP(H1422,Ref!$B$3:$B$12,Ref!$C$3:$C$12,"",1)</f>
        <v>Morta</v>
      </c>
    </row>
    <row r="1423" spans="2:13" x14ac:dyDescent="0.25">
      <c r="B1423" s="15" t="s">
        <v>27</v>
      </c>
      <c r="C1423" s="9">
        <v>36.9</v>
      </c>
      <c r="D1423" s="9">
        <v>38.700000000000003</v>
      </c>
      <c r="E1423" s="10">
        <v>41.2</v>
      </c>
      <c r="F1423" s="9">
        <f t="shared" si="82"/>
        <v>11.745634800181875</v>
      </c>
      <c r="G1423" s="9">
        <f t="shared" si="83"/>
        <v>12.318592595312701</v>
      </c>
      <c r="H1423" s="10">
        <f t="shared" si="84"/>
        <v>13.114367310772177</v>
      </c>
      <c r="K1423" s="11">
        <f>_xlfn.XLOOKUP(F1423,Ref!$B$3:$B$12,Ref!$C$3:$C$12,"",1)</f>
        <v>1</v>
      </c>
      <c r="L1423" s="11">
        <f>_xlfn.XLOOKUP(G1423,Ref!$B$3:$B$12,Ref!$C$3:$C$12,"",1)</f>
        <v>1</v>
      </c>
      <c r="M1423" s="11">
        <f>_xlfn.XLOOKUP(H1423,Ref!$B$3:$B$12,Ref!$C$3:$C$12,"",1)</f>
        <v>1</v>
      </c>
    </row>
    <row r="1424" spans="2:13" x14ac:dyDescent="0.25">
      <c r="B1424" s="15" t="s">
        <v>51</v>
      </c>
      <c r="C1424" s="9">
        <v>33.200000000000003</v>
      </c>
      <c r="D1424" s="9">
        <v>34.299999999999997</v>
      </c>
      <c r="E1424" s="10">
        <v>34.9</v>
      </c>
      <c r="F1424" s="9">
        <f t="shared" si="82"/>
        <v>10.567888221301851</v>
      </c>
      <c r="G1424" s="9">
        <f t="shared" si="83"/>
        <v>10.91802909610402</v>
      </c>
      <c r="H1424" s="10">
        <f t="shared" si="84"/>
        <v>11.109015027814294</v>
      </c>
      <c r="K1424" s="11">
        <f>_xlfn.XLOOKUP(F1424,Ref!$B$3:$B$12,Ref!$C$3:$C$12,"",1)</f>
        <v>1</v>
      </c>
      <c r="L1424" s="11">
        <f>_xlfn.XLOOKUP(G1424,Ref!$B$3:$B$12,Ref!$C$3:$C$12,"",1)</f>
        <v>1</v>
      </c>
      <c r="M1424" s="11">
        <f>_xlfn.XLOOKUP(H1424,Ref!$B$3:$B$12,Ref!$C$3:$C$12,"",1)</f>
        <v>1</v>
      </c>
    </row>
    <row r="1425" spans="2:13" x14ac:dyDescent="0.25">
      <c r="B1425" s="15" t="s">
        <v>25</v>
      </c>
      <c r="C1425" s="9">
        <v>51.8</v>
      </c>
      <c r="D1425" s="9">
        <v>56.4</v>
      </c>
      <c r="E1425" s="10">
        <v>58.6</v>
      </c>
      <c r="F1425" s="9">
        <f t="shared" si="82"/>
        <v>16.488452104320356</v>
      </c>
      <c r="G1425" s="9">
        <f t="shared" si="83"/>
        <v>17.952677580765794</v>
      </c>
      <c r="H1425" s="10">
        <f t="shared" si="84"/>
        <v>18.652959330370134</v>
      </c>
      <c r="K1425" s="11">
        <f>_xlfn.XLOOKUP(F1425,Ref!$B$3:$B$12,Ref!$C$3:$C$12,"",1)</f>
        <v>1</v>
      </c>
      <c r="L1425" s="11">
        <f>_xlfn.XLOOKUP(G1425,Ref!$B$3:$B$12,Ref!$C$3:$C$12,"",1)</f>
        <v>1</v>
      </c>
      <c r="M1425" s="11">
        <f>_xlfn.XLOOKUP(H1425,Ref!$B$3:$B$12,Ref!$C$3:$C$12,"",1)</f>
        <v>1</v>
      </c>
    </row>
    <row r="1426" spans="2:13" x14ac:dyDescent="0.25">
      <c r="B1426" s="15" t="s">
        <v>27</v>
      </c>
      <c r="C1426" s="9">
        <v>41.5</v>
      </c>
      <c r="D1426" s="9">
        <v>42.5</v>
      </c>
      <c r="E1426" s="10">
        <v>43.2</v>
      </c>
      <c r="F1426" s="9">
        <f t="shared" si="82"/>
        <v>13.209860276627314</v>
      </c>
      <c r="G1426" s="9">
        <f t="shared" si="83"/>
        <v>13.528170162811104</v>
      </c>
      <c r="H1426" s="10">
        <f t="shared" si="84"/>
        <v>13.750987083139758</v>
      </c>
      <c r="K1426" s="11">
        <f>_xlfn.XLOOKUP(F1426,Ref!$B$3:$B$12,Ref!$C$3:$C$12,"",1)</f>
        <v>1</v>
      </c>
      <c r="L1426" s="11">
        <f>_xlfn.XLOOKUP(G1426,Ref!$B$3:$B$12,Ref!$C$3:$C$12,"",1)</f>
        <v>1</v>
      </c>
      <c r="M1426" s="11">
        <f>_xlfn.XLOOKUP(H1426,Ref!$B$3:$B$12,Ref!$C$3:$C$12,"",1)</f>
        <v>1</v>
      </c>
    </row>
    <row r="1427" spans="2:13" x14ac:dyDescent="0.25">
      <c r="B1427" s="15" t="s">
        <v>12</v>
      </c>
      <c r="C1427" s="9">
        <v>37.299999999999997</v>
      </c>
      <c r="D1427" s="9">
        <v>39.799999999999997</v>
      </c>
      <c r="E1427" s="10">
        <v>41.7</v>
      </c>
      <c r="F1427" s="9">
        <f t="shared" ref="F1427:F1482" si="85">IF(C1427="", "", C1427/PI())</f>
        <v>11.872958754655391</v>
      </c>
      <c r="G1427" s="9">
        <f t="shared" ref="G1427:G1482" si="86">IF(D1427="", "", D1427/PI())</f>
        <v>12.668733470114868</v>
      </c>
      <c r="H1427" s="10">
        <f t="shared" ref="H1427:H1482" si="87">IF(E1427="", "", E1427/PI())</f>
        <v>13.273522253864073</v>
      </c>
      <c r="K1427" s="11">
        <f>_xlfn.XLOOKUP(F1427,Ref!$B$3:$B$12,Ref!$C$3:$C$12,"",1)</f>
        <v>1</v>
      </c>
      <c r="L1427" s="11">
        <f>_xlfn.XLOOKUP(G1427,Ref!$B$3:$B$12,Ref!$C$3:$C$12,"",1)</f>
        <v>1</v>
      </c>
      <c r="M1427" s="11">
        <f>_xlfn.XLOOKUP(H1427,Ref!$B$3:$B$12,Ref!$C$3:$C$12,"",1)</f>
        <v>1</v>
      </c>
    </row>
    <row r="1428" spans="2:13" x14ac:dyDescent="0.25">
      <c r="B1428" s="15" t="s">
        <v>12</v>
      </c>
      <c r="C1428" s="9">
        <v>35.9</v>
      </c>
      <c r="D1428" s="9">
        <v>39</v>
      </c>
      <c r="E1428" s="10">
        <v>39.700000000000003</v>
      </c>
      <c r="F1428" s="9">
        <f t="shared" si="85"/>
        <v>11.427324913998085</v>
      </c>
      <c r="G1428" s="9">
        <f t="shared" si="86"/>
        <v>12.414085561167836</v>
      </c>
      <c r="H1428" s="10">
        <f t="shared" si="87"/>
        <v>12.636902481496492</v>
      </c>
      <c r="K1428" s="11">
        <f>_xlfn.XLOOKUP(F1428,Ref!$B$3:$B$12,Ref!$C$3:$C$12,"",1)</f>
        <v>1</v>
      </c>
      <c r="L1428" s="11">
        <f>_xlfn.XLOOKUP(G1428,Ref!$B$3:$B$12,Ref!$C$3:$C$12,"",1)</f>
        <v>1</v>
      </c>
      <c r="M1428" s="11">
        <f>_xlfn.XLOOKUP(H1428,Ref!$B$3:$B$12,Ref!$C$3:$C$12,"",1)</f>
        <v>1</v>
      </c>
    </row>
    <row r="1429" spans="2:13" x14ac:dyDescent="0.25">
      <c r="B1429" s="15" t="s">
        <v>57</v>
      </c>
      <c r="C1429" s="9">
        <v>50.8</v>
      </c>
      <c r="D1429" s="9">
        <v>55.9</v>
      </c>
      <c r="E1429" s="10">
        <v>60.2</v>
      </c>
      <c r="F1429" s="9">
        <f t="shared" si="85"/>
        <v>16.170142218136565</v>
      </c>
      <c r="G1429" s="9">
        <f t="shared" si="86"/>
        <v>17.793522637673899</v>
      </c>
      <c r="H1429" s="10">
        <f t="shared" si="87"/>
        <v>19.162255148264201</v>
      </c>
      <c r="K1429" s="11">
        <f>_xlfn.XLOOKUP(F1429,Ref!$B$3:$B$12,Ref!$C$3:$C$12,"",1)</f>
        <v>1</v>
      </c>
      <c r="L1429" s="11">
        <f>_xlfn.XLOOKUP(G1429,Ref!$B$3:$B$12,Ref!$C$3:$C$12,"",1)</f>
        <v>1</v>
      </c>
      <c r="M1429" s="11">
        <f>_xlfn.XLOOKUP(H1429,Ref!$B$3:$B$12,Ref!$C$3:$C$12,"",1)</f>
        <v>1</v>
      </c>
    </row>
    <row r="1430" spans="2:13" x14ac:dyDescent="0.25">
      <c r="B1430" s="15" t="s">
        <v>57</v>
      </c>
      <c r="C1430" s="9">
        <v>54</v>
      </c>
      <c r="D1430" s="9">
        <v>63.2</v>
      </c>
      <c r="E1430" s="10">
        <v>71.599999999999994</v>
      </c>
      <c r="F1430" s="9">
        <f t="shared" si="85"/>
        <v>17.188733853924695</v>
      </c>
      <c r="G1430" s="9">
        <f t="shared" si="86"/>
        <v>20.117184806815573</v>
      </c>
      <c r="H1430" s="10">
        <f t="shared" si="87"/>
        <v>22.790987850759411</v>
      </c>
      <c r="K1430" s="11">
        <f>_xlfn.XLOOKUP(F1430,Ref!$B$3:$B$12,Ref!$C$3:$C$12,"",1)</f>
        <v>1</v>
      </c>
      <c r="L1430" s="11">
        <f>_xlfn.XLOOKUP(G1430,Ref!$B$3:$B$12,Ref!$C$3:$C$12,"",1)</f>
        <v>2</v>
      </c>
      <c r="M1430" s="11">
        <f>_xlfn.XLOOKUP(H1430,Ref!$B$3:$B$12,Ref!$C$3:$C$12,"",1)</f>
        <v>2</v>
      </c>
    </row>
    <row r="1431" spans="2:13" x14ac:dyDescent="0.25">
      <c r="B1431" s="15" t="s">
        <v>65</v>
      </c>
      <c r="C1431" s="9">
        <v>59.7</v>
      </c>
      <c r="D1431" s="9">
        <v>66.8</v>
      </c>
      <c r="E1431" s="10">
        <v>72.8</v>
      </c>
      <c r="F1431" s="9">
        <f t="shared" si="85"/>
        <v>19.003100205172306</v>
      </c>
      <c r="G1431" s="9">
        <f t="shared" si="86"/>
        <v>21.263100397077217</v>
      </c>
      <c r="H1431" s="10">
        <f t="shared" si="87"/>
        <v>23.17295971417996</v>
      </c>
      <c r="K1431" s="11">
        <f>_xlfn.XLOOKUP(F1431,Ref!$B$3:$B$12,Ref!$C$3:$C$12,"",1)</f>
        <v>1</v>
      </c>
      <c r="L1431" s="11">
        <f>_xlfn.XLOOKUP(G1431,Ref!$B$3:$B$12,Ref!$C$3:$C$12,"",1)</f>
        <v>2</v>
      </c>
      <c r="M1431" s="11">
        <f>_xlfn.XLOOKUP(H1431,Ref!$B$3:$B$12,Ref!$C$3:$C$12,"",1)</f>
        <v>2</v>
      </c>
    </row>
    <row r="1432" spans="2:13" x14ac:dyDescent="0.25">
      <c r="B1432" s="15" t="s">
        <v>12</v>
      </c>
      <c r="C1432" s="9">
        <v>43.7</v>
      </c>
      <c r="D1432" s="9">
        <v>45.7</v>
      </c>
      <c r="E1432" s="10">
        <v>44.4</v>
      </c>
      <c r="F1432" s="9">
        <f t="shared" si="85"/>
        <v>13.910142026231654</v>
      </c>
      <c r="G1432" s="9">
        <f t="shared" si="86"/>
        <v>14.546761798599235</v>
      </c>
      <c r="H1432" s="10">
        <f t="shared" si="87"/>
        <v>14.132958946560306</v>
      </c>
      <c r="K1432" s="11">
        <f>_xlfn.XLOOKUP(F1432,Ref!$B$3:$B$12,Ref!$C$3:$C$12,"",1)</f>
        <v>1</v>
      </c>
      <c r="L1432" s="11">
        <f>_xlfn.XLOOKUP(G1432,Ref!$B$3:$B$12,Ref!$C$3:$C$12,"",1)</f>
        <v>1</v>
      </c>
      <c r="M1432" s="11">
        <f>_xlfn.XLOOKUP(H1432,Ref!$B$3:$B$12,Ref!$C$3:$C$12,"",1)</f>
        <v>1</v>
      </c>
    </row>
    <row r="1433" spans="2:13" x14ac:dyDescent="0.25">
      <c r="B1433" s="15" t="s">
        <v>12</v>
      </c>
      <c r="C1433" s="9">
        <v>35.799999999999997</v>
      </c>
      <c r="D1433" s="9">
        <v>38.6</v>
      </c>
      <c r="E1433" s="10">
        <v>38.200000000000003</v>
      </c>
      <c r="F1433" s="9">
        <f t="shared" si="85"/>
        <v>11.395493925379705</v>
      </c>
      <c r="G1433" s="9">
        <f t="shared" si="86"/>
        <v>12.286761606694322</v>
      </c>
      <c r="H1433" s="10">
        <f t="shared" si="87"/>
        <v>12.159437652220806</v>
      </c>
      <c r="K1433" s="11">
        <f>_xlfn.XLOOKUP(F1433,Ref!$B$3:$B$12,Ref!$C$3:$C$12,"",1)</f>
        <v>1</v>
      </c>
      <c r="L1433" s="11">
        <f>_xlfn.XLOOKUP(G1433,Ref!$B$3:$B$12,Ref!$C$3:$C$12,"",1)</f>
        <v>1</v>
      </c>
      <c r="M1433" s="11">
        <f>_xlfn.XLOOKUP(H1433,Ref!$B$3:$B$12,Ref!$C$3:$C$12,"",1)</f>
        <v>1</v>
      </c>
    </row>
    <row r="1434" spans="2:13" x14ac:dyDescent="0.25">
      <c r="B1434" s="15" t="s">
        <v>12</v>
      </c>
      <c r="C1434" s="9">
        <v>32.799999999999997</v>
      </c>
      <c r="D1434" s="9">
        <v>34.4</v>
      </c>
      <c r="E1434" s="10">
        <v>34.4</v>
      </c>
      <c r="F1434" s="9">
        <f t="shared" si="85"/>
        <v>10.440564266828334</v>
      </c>
      <c r="G1434" s="9">
        <f t="shared" si="86"/>
        <v>10.949860084722399</v>
      </c>
      <c r="H1434" s="10">
        <f t="shared" si="87"/>
        <v>10.949860084722399</v>
      </c>
      <c r="K1434" s="11">
        <f>_xlfn.XLOOKUP(F1434,Ref!$B$3:$B$12,Ref!$C$3:$C$12,"",1)</f>
        <v>1</v>
      </c>
      <c r="L1434" s="11">
        <f>_xlfn.XLOOKUP(G1434,Ref!$B$3:$B$12,Ref!$C$3:$C$12,"",1)</f>
        <v>1</v>
      </c>
      <c r="M1434" s="11">
        <f>_xlfn.XLOOKUP(H1434,Ref!$B$3:$B$12,Ref!$C$3:$C$12,"",1)</f>
        <v>1</v>
      </c>
    </row>
    <row r="1435" spans="2:13" x14ac:dyDescent="0.25">
      <c r="B1435" s="15" t="s">
        <v>26</v>
      </c>
      <c r="C1435" s="9">
        <v>152.30000000000001</v>
      </c>
      <c r="D1435" s="9">
        <v>156</v>
      </c>
      <c r="E1435" s="10">
        <v>160</v>
      </c>
      <c r="F1435" s="9">
        <f t="shared" si="85"/>
        <v>48.478595665791325</v>
      </c>
      <c r="G1435" s="9">
        <f t="shared" si="86"/>
        <v>49.656342244671343</v>
      </c>
      <c r="H1435" s="10">
        <f t="shared" si="87"/>
        <v>50.929581789406512</v>
      </c>
      <c r="K1435" s="11">
        <f>_xlfn.XLOOKUP(F1435,Ref!$B$3:$B$12,Ref!$C$3:$C$12,"",1)</f>
        <v>4</v>
      </c>
      <c r="L1435" s="11">
        <f>_xlfn.XLOOKUP(G1435,Ref!$B$3:$B$12,Ref!$C$3:$C$12,"",1)</f>
        <v>4</v>
      </c>
      <c r="M1435" s="11">
        <f>_xlfn.XLOOKUP(H1435,Ref!$B$3:$B$12,Ref!$C$3:$C$12,"",1)</f>
        <v>5</v>
      </c>
    </row>
    <row r="1436" spans="2:13" x14ac:dyDescent="0.25">
      <c r="B1436" s="15" t="s">
        <v>26</v>
      </c>
      <c r="C1436" s="9">
        <v>192.7</v>
      </c>
      <c r="D1436" s="9">
        <v>206</v>
      </c>
      <c r="E1436" s="10">
        <v>216.4</v>
      </c>
      <c r="F1436" s="9">
        <f t="shared" si="85"/>
        <v>61.338315067616463</v>
      </c>
      <c r="G1436" s="9">
        <f t="shared" si="86"/>
        <v>65.571836553860877</v>
      </c>
      <c r="H1436" s="10">
        <f t="shared" si="87"/>
        <v>68.882259370172306</v>
      </c>
      <c r="K1436" s="11">
        <f>_xlfn.XLOOKUP(F1436,Ref!$B$3:$B$12,Ref!$C$3:$C$12,"",1)</f>
        <v>6</v>
      </c>
      <c r="L1436" s="11">
        <f>_xlfn.XLOOKUP(G1436,Ref!$B$3:$B$12,Ref!$C$3:$C$12,"",1)</f>
        <v>6</v>
      </c>
      <c r="M1436" s="11">
        <f>_xlfn.XLOOKUP(H1436,Ref!$B$3:$B$12,Ref!$C$3:$C$12,"",1)</f>
        <v>6</v>
      </c>
    </row>
    <row r="1437" spans="2:13" x14ac:dyDescent="0.25">
      <c r="B1437" s="15" t="s">
        <v>12</v>
      </c>
      <c r="C1437" s="9">
        <v>35.799999999999997</v>
      </c>
      <c r="D1437" s="9">
        <v>39.200000000000003</v>
      </c>
      <c r="E1437" s="10">
        <v>41.4</v>
      </c>
      <c r="F1437" s="9">
        <f t="shared" si="85"/>
        <v>11.395493925379705</v>
      </c>
      <c r="G1437" s="9">
        <f t="shared" si="86"/>
        <v>12.477747538404596</v>
      </c>
      <c r="H1437" s="10">
        <f t="shared" si="87"/>
        <v>13.178029288008934</v>
      </c>
      <c r="K1437" s="11">
        <f>_xlfn.XLOOKUP(F1437,Ref!$B$3:$B$12,Ref!$C$3:$C$12,"",1)</f>
        <v>1</v>
      </c>
      <c r="L1437" s="11">
        <f>_xlfn.XLOOKUP(G1437,Ref!$B$3:$B$12,Ref!$C$3:$C$12,"",1)</f>
        <v>1</v>
      </c>
      <c r="M1437" s="11">
        <f>_xlfn.XLOOKUP(H1437,Ref!$B$3:$B$12,Ref!$C$3:$C$12,"",1)</f>
        <v>1</v>
      </c>
    </row>
    <row r="1438" spans="2:13" x14ac:dyDescent="0.25">
      <c r="B1438" s="15" t="s">
        <v>25</v>
      </c>
      <c r="C1438" s="9">
        <v>33.200000000000003</v>
      </c>
      <c r="D1438" s="9">
        <v>33.9</v>
      </c>
      <c r="E1438" s="10">
        <v>34</v>
      </c>
      <c r="F1438" s="9">
        <f t="shared" si="85"/>
        <v>10.567888221301851</v>
      </c>
      <c r="G1438" s="9">
        <f t="shared" si="86"/>
        <v>10.790705141630504</v>
      </c>
      <c r="H1438" s="10">
        <f t="shared" si="87"/>
        <v>10.822536130248883</v>
      </c>
      <c r="K1438" s="11">
        <f>_xlfn.XLOOKUP(F1438,Ref!$B$3:$B$12,Ref!$C$3:$C$12,"",1)</f>
        <v>1</v>
      </c>
      <c r="L1438" s="11">
        <f>_xlfn.XLOOKUP(G1438,Ref!$B$3:$B$12,Ref!$C$3:$C$12,"",1)</f>
        <v>1</v>
      </c>
      <c r="M1438" s="11">
        <f>_xlfn.XLOOKUP(H1438,Ref!$B$3:$B$12,Ref!$C$3:$C$12,"",1)</f>
        <v>1</v>
      </c>
    </row>
    <row r="1439" spans="2:13" x14ac:dyDescent="0.25">
      <c r="B1439" s="15" t="s">
        <v>41</v>
      </c>
      <c r="C1439" s="9"/>
      <c r="D1439" s="9">
        <v>32.5</v>
      </c>
      <c r="E1439" s="10">
        <v>34.799999999999997</v>
      </c>
      <c r="F1439" s="9" t="str">
        <f t="shared" si="85"/>
        <v/>
      </c>
      <c r="G1439" s="9">
        <f t="shared" si="86"/>
        <v>10.345071300973197</v>
      </c>
      <c r="H1439" s="10">
        <f t="shared" si="87"/>
        <v>11.077184039195915</v>
      </c>
      <c r="K1439" s="11" t="str">
        <f>_xlfn.XLOOKUP(F1439,Ref!$B$3:$B$12,Ref!$C$3:$C$12,"",1)</f>
        <v/>
      </c>
      <c r="L1439" s="11">
        <f>_xlfn.XLOOKUP(G1439,Ref!$B$3:$B$12,Ref!$C$3:$C$12,"",1)</f>
        <v>1</v>
      </c>
      <c r="M1439" s="11">
        <f>_xlfn.XLOOKUP(H1439,Ref!$B$3:$B$12,Ref!$C$3:$C$12,"",1)</f>
        <v>1</v>
      </c>
    </row>
    <row r="1440" spans="2:13" x14ac:dyDescent="0.25">
      <c r="B1440" s="15" t="s">
        <v>12</v>
      </c>
      <c r="C1440" s="9"/>
      <c r="D1440" s="9">
        <v>32.799999999999997</v>
      </c>
      <c r="E1440" s="10">
        <v>33.6</v>
      </c>
      <c r="F1440" s="9" t="str">
        <f t="shared" si="85"/>
        <v/>
      </c>
      <c r="G1440" s="9">
        <f t="shared" si="86"/>
        <v>10.440564266828334</v>
      </c>
      <c r="H1440" s="10">
        <f t="shared" si="87"/>
        <v>10.695212175775367</v>
      </c>
      <c r="K1440" s="11" t="str">
        <f>_xlfn.XLOOKUP(F1440,Ref!$B$3:$B$12,Ref!$C$3:$C$12,"",1)</f>
        <v/>
      </c>
      <c r="L1440" s="11">
        <f>_xlfn.XLOOKUP(G1440,Ref!$B$3:$B$12,Ref!$C$3:$C$12,"",1)</f>
        <v>1</v>
      </c>
      <c r="M1440" s="11">
        <f>_xlfn.XLOOKUP(H1440,Ref!$B$3:$B$12,Ref!$C$3:$C$12,"",1)</f>
        <v>1</v>
      </c>
    </row>
    <row r="1441" spans="2:13" x14ac:dyDescent="0.25">
      <c r="B1441" s="15" t="s">
        <v>41</v>
      </c>
      <c r="C1441" s="9"/>
      <c r="D1441" s="9">
        <v>32.1</v>
      </c>
      <c r="E1441" s="10">
        <v>33.1</v>
      </c>
      <c r="F1441" s="9" t="str">
        <f t="shared" si="85"/>
        <v/>
      </c>
      <c r="G1441" s="9">
        <f t="shared" si="86"/>
        <v>10.217747346499682</v>
      </c>
      <c r="H1441" s="10">
        <f t="shared" si="87"/>
        <v>10.536057232683472</v>
      </c>
      <c r="K1441" s="11" t="str">
        <f>_xlfn.XLOOKUP(F1441,Ref!$B$3:$B$12,Ref!$C$3:$C$12,"",1)</f>
        <v/>
      </c>
      <c r="L1441" s="11">
        <f>_xlfn.XLOOKUP(G1441,Ref!$B$3:$B$12,Ref!$C$3:$C$12,"",1)</f>
        <v>1</v>
      </c>
      <c r="M1441" s="11">
        <f>_xlfn.XLOOKUP(H1441,Ref!$B$3:$B$12,Ref!$C$3:$C$12,"",1)</f>
        <v>1</v>
      </c>
    </row>
    <row r="1442" spans="2:13" x14ac:dyDescent="0.25">
      <c r="B1442" s="15" t="s">
        <v>20</v>
      </c>
      <c r="C1442" s="9"/>
      <c r="D1442" s="9">
        <v>72</v>
      </c>
      <c r="E1442" s="10">
        <v>83.6</v>
      </c>
      <c r="F1442" s="9" t="str">
        <f t="shared" si="85"/>
        <v/>
      </c>
      <c r="G1442" s="9">
        <f t="shared" si="86"/>
        <v>22.918311805232928</v>
      </c>
      <c r="H1442" s="10">
        <f t="shared" si="87"/>
        <v>26.610706484964901</v>
      </c>
      <c r="K1442" s="11" t="str">
        <f>_xlfn.XLOOKUP(F1442,Ref!$B$3:$B$12,Ref!$C$3:$C$12,"",1)</f>
        <v/>
      </c>
      <c r="L1442" s="11">
        <f>_xlfn.XLOOKUP(G1442,Ref!$B$3:$B$12,Ref!$C$3:$C$12,"",1)</f>
        <v>2</v>
      </c>
      <c r="M1442" s="11">
        <f>_xlfn.XLOOKUP(H1442,Ref!$B$3:$B$12,Ref!$C$3:$C$12,"",1)</f>
        <v>2</v>
      </c>
    </row>
    <row r="1443" spans="2:13" x14ac:dyDescent="0.25">
      <c r="B1443" s="15" t="s">
        <v>12</v>
      </c>
      <c r="C1443" s="9"/>
      <c r="D1443" s="9">
        <v>32.9</v>
      </c>
      <c r="E1443" s="10">
        <v>33.9</v>
      </c>
      <c r="F1443" s="9" t="str">
        <f t="shared" si="85"/>
        <v/>
      </c>
      <c r="G1443" s="9">
        <f t="shared" si="86"/>
        <v>10.472395255446713</v>
      </c>
      <c r="H1443" s="10">
        <f t="shared" si="87"/>
        <v>10.790705141630504</v>
      </c>
      <c r="K1443" s="11" t="str">
        <f>_xlfn.XLOOKUP(F1443,Ref!$B$3:$B$12,Ref!$C$3:$C$12,"",1)</f>
        <v/>
      </c>
      <c r="L1443" s="11">
        <f>_xlfn.XLOOKUP(G1443,Ref!$B$3:$B$12,Ref!$C$3:$C$12,"",1)</f>
        <v>1</v>
      </c>
      <c r="M1443" s="11">
        <f>_xlfn.XLOOKUP(H1443,Ref!$B$3:$B$12,Ref!$C$3:$C$12,"",1)</f>
        <v>1</v>
      </c>
    </row>
    <row r="1444" spans="2:13" x14ac:dyDescent="0.25">
      <c r="B1444" s="15" t="s">
        <v>11</v>
      </c>
      <c r="C1444" s="9"/>
      <c r="D1444" s="9">
        <v>31.7</v>
      </c>
      <c r="E1444" s="10">
        <v>32.4</v>
      </c>
      <c r="F1444" s="9" t="str">
        <f t="shared" si="85"/>
        <v/>
      </c>
      <c r="G1444" s="9">
        <f t="shared" si="86"/>
        <v>10.090423392026164</v>
      </c>
      <c r="H1444" s="10">
        <f t="shared" si="87"/>
        <v>10.313240312354818</v>
      </c>
      <c r="K1444" s="11" t="str">
        <f>_xlfn.XLOOKUP(F1444,Ref!$B$3:$B$12,Ref!$C$3:$C$12,"",1)</f>
        <v/>
      </c>
      <c r="L1444" s="11">
        <f>_xlfn.XLOOKUP(G1444,Ref!$B$3:$B$12,Ref!$C$3:$C$12,"",1)</f>
        <v>1</v>
      </c>
      <c r="M1444" s="11">
        <f>_xlfn.XLOOKUP(H1444,Ref!$B$3:$B$12,Ref!$C$3:$C$12,"",1)</f>
        <v>1</v>
      </c>
    </row>
    <row r="1445" spans="2:13" x14ac:dyDescent="0.25">
      <c r="B1445" s="15" t="s">
        <v>12</v>
      </c>
      <c r="C1445" s="9"/>
      <c r="D1445" s="9">
        <v>32.700000000000003</v>
      </c>
      <c r="E1445" s="10">
        <v>34.799999999999997</v>
      </c>
      <c r="F1445" s="9" t="str">
        <f t="shared" si="85"/>
        <v/>
      </c>
      <c r="G1445" s="9">
        <f t="shared" si="86"/>
        <v>10.408733278209956</v>
      </c>
      <c r="H1445" s="10">
        <f t="shared" si="87"/>
        <v>11.077184039195915</v>
      </c>
      <c r="K1445" s="11" t="str">
        <f>_xlfn.XLOOKUP(F1445,Ref!$B$3:$B$12,Ref!$C$3:$C$12,"",1)</f>
        <v/>
      </c>
      <c r="L1445" s="11">
        <f>_xlfn.XLOOKUP(G1445,Ref!$B$3:$B$12,Ref!$C$3:$C$12,"",1)</f>
        <v>1</v>
      </c>
      <c r="M1445" s="11">
        <f>_xlfn.XLOOKUP(H1445,Ref!$B$3:$B$12,Ref!$C$3:$C$12,"",1)</f>
        <v>1</v>
      </c>
    </row>
    <row r="1446" spans="2:13" x14ac:dyDescent="0.25">
      <c r="B1446" s="15" t="s">
        <v>10</v>
      </c>
      <c r="C1446" s="9"/>
      <c r="D1446" s="9"/>
      <c r="E1446" s="10">
        <v>32.5</v>
      </c>
      <c r="F1446" s="9" t="str">
        <f t="shared" si="85"/>
        <v/>
      </c>
      <c r="G1446" s="9" t="str">
        <f t="shared" si="86"/>
        <v/>
      </c>
      <c r="H1446" s="10">
        <f t="shared" si="87"/>
        <v>10.345071300973197</v>
      </c>
      <c r="K1446" s="11" t="str">
        <f>_xlfn.XLOOKUP(F1446,Ref!$B$3:$B$12,Ref!$C$3:$C$12,"",1)</f>
        <v/>
      </c>
      <c r="L1446" s="11" t="str">
        <f>_xlfn.XLOOKUP(G1446,Ref!$B$3:$B$12,Ref!$C$3:$C$12,"",1)</f>
        <v/>
      </c>
      <c r="M1446" s="11">
        <f>_xlfn.XLOOKUP(H1446,Ref!$B$3:$B$12,Ref!$C$3:$C$12,"",1)</f>
        <v>1</v>
      </c>
    </row>
    <row r="1447" spans="2:13" x14ac:dyDescent="0.25">
      <c r="B1447" s="15" t="s">
        <v>8</v>
      </c>
      <c r="C1447" s="9"/>
      <c r="D1447" s="9"/>
      <c r="E1447" s="10">
        <v>31.8</v>
      </c>
      <c r="F1447" s="9" t="str">
        <f t="shared" si="85"/>
        <v/>
      </c>
      <c r="G1447" s="9" t="str">
        <f t="shared" si="86"/>
        <v/>
      </c>
      <c r="H1447" s="10">
        <f t="shared" si="87"/>
        <v>10.122254380644543</v>
      </c>
      <c r="K1447" s="11" t="str">
        <f>_xlfn.XLOOKUP(F1447,Ref!$B$3:$B$12,Ref!$C$3:$C$12,"",1)</f>
        <v/>
      </c>
      <c r="L1447" s="11" t="str">
        <f>_xlfn.XLOOKUP(G1447,Ref!$B$3:$B$12,Ref!$C$3:$C$12,"",1)</f>
        <v/>
      </c>
      <c r="M1447" s="11">
        <f>_xlfn.XLOOKUP(H1447,Ref!$B$3:$B$12,Ref!$C$3:$C$12,"",1)</f>
        <v>1</v>
      </c>
    </row>
    <row r="1448" spans="2:13" x14ac:dyDescent="0.25">
      <c r="B1448" s="15" t="s">
        <v>12</v>
      </c>
      <c r="C1448" s="9"/>
      <c r="D1448" s="9"/>
      <c r="E1448" s="10">
        <v>32</v>
      </c>
      <c r="F1448" s="9" t="str">
        <f t="shared" si="85"/>
        <v/>
      </c>
      <c r="G1448" s="9" t="str">
        <f t="shared" si="86"/>
        <v/>
      </c>
      <c r="H1448" s="10">
        <f t="shared" si="87"/>
        <v>10.185916357881302</v>
      </c>
      <c r="K1448" s="11" t="str">
        <f>_xlfn.XLOOKUP(F1448,Ref!$B$3:$B$12,Ref!$C$3:$C$12,"",1)</f>
        <v/>
      </c>
      <c r="L1448" s="11" t="str">
        <f>_xlfn.XLOOKUP(G1448,Ref!$B$3:$B$12,Ref!$C$3:$C$12,"",1)</f>
        <v/>
      </c>
      <c r="M1448" s="11">
        <f>_xlfn.XLOOKUP(H1448,Ref!$B$3:$B$12,Ref!$C$3:$C$12,"",1)</f>
        <v>1</v>
      </c>
    </row>
    <row r="1449" spans="2:13" x14ac:dyDescent="0.25">
      <c r="B1449" s="15" t="s">
        <v>41</v>
      </c>
      <c r="C1449" s="9"/>
      <c r="D1449" s="9"/>
      <c r="E1449" s="10">
        <v>31.6</v>
      </c>
      <c r="F1449" s="9" t="str">
        <f t="shared" si="85"/>
        <v/>
      </c>
      <c r="G1449" s="9" t="str">
        <f t="shared" si="86"/>
        <v/>
      </c>
      <c r="H1449" s="10">
        <f t="shared" si="87"/>
        <v>10.058592403407786</v>
      </c>
      <c r="K1449" s="11" t="str">
        <f>_xlfn.XLOOKUP(F1449,Ref!$B$3:$B$12,Ref!$C$3:$C$12,"",1)</f>
        <v/>
      </c>
      <c r="L1449" s="11" t="str">
        <f>_xlfn.XLOOKUP(G1449,Ref!$B$3:$B$12,Ref!$C$3:$C$12,"",1)</f>
        <v/>
      </c>
      <c r="M1449" s="11">
        <f>_xlfn.XLOOKUP(H1449,Ref!$B$3:$B$12,Ref!$C$3:$C$12,"",1)</f>
        <v>1</v>
      </c>
    </row>
    <row r="1450" spans="2:13" x14ac:dyDescent="0.25">
      <c r="B1450" s="15" t="s">
        <v>12</v>
      </c>
      <c r="C1450" s="9"/>
      <c r="D1450" s="9"/>
      <c r="E1450" s="10">
        <v>33</v>
      </c>
      <c r="F1450" s="9" t="str">
        <f t="shared" si="85"/>
        <v/>
      </c>
      <c r="G1450" s="9" t="str">
        <f t="shared" si="86"/>
        <v/>
      </c>
      <c r="H1450" s="10">
        <f t="shared" si="87"/>
        <v>10.504226244065093</v>
      </c>
      <c r="K1450" s="11" t="str">
        <f>_xlfn.XLOOKUP(F1450,Ref!$B$3:$B$12,Ref!$C$3:$C$12,"",1)</f>
        <v/>
      </c>
      <c r="L1450" s="11" t="str">
        <f>_xlfn.XLOOKUP(G1450,Ref!$B$3:$B$12,Ref!$C$3:$C$12,"",1)</f>
        <v/>
      </c>
      <c r="M1450" s="11">
        <f>_xlfn.XLOOKUP(H1450,Ref!$B$3:$B$12,Ref!$C$3:$C$12,"",1)</f>
        <v>1</v>
      </c>
    </row>
    <row r="1451" spans="2:13" x14ac:dyDescent="0.25">
      <c r="B1451" s="15" t="s">
        <v>12</v>
      </c>
      <c r="C1451" s="9">
        <v>43.4</v>
      </c>
      <c r="D1451" s="9">
        <v>47.3</v>
      </c>
      <c r="E1451" s="10">
        <v>49.5</v>
      </c>
      <c r="F1451" s="9">
        <f t="shared" si="85"/>
        <v>13.814649060376516</v>
      </c>
      <c r="G1451" s="9">
        <f t="shared" si="86"/>
        <v>15.056057616493298</v>
      </c>
      <c r="H1451" s="10">
        <f t="shared" si="87"/>
        <v>15.756339366097638</v>
      </c>
      <c r="K1451" s="11">
        <f>_xlfn.XLOOKUP(F1451,Ref!$B$3:$B$12,Ref!$C$3:$C$12,"",1)</f>
        <v>1</v>
      </c>
      <c r="L1451" s="11">
        <f>_xlfn.XLOOKUP(G1451,Ref!$B$3:$B$12,Ref!$C$3:$C$12,"",1)</f>
        <v>1</v>
      </c>
      <c r="M1451" s="11">
        <f>_xlfn.XLOOKUP(H1451,Ref!$B$3:$B$12,Ref!$C$3:$C$12,"",1)</f>
        <v>1</v>
      </c>
    </row>
    <row r="1452" spans="2:13" x14ac:dyDescent="0.25">
      <c r="B1452" s="15" t="s">
        <v>65</v>
      </c>
      <c r="C1452" s="9">
        <v>77.2</v>
      </c>
      <c r="D1452" s="9">
        <v>78.8</v>
      </c>
      <c r="E1452" s="10">
        <v>83.2</v>
      </c>
      <c r="F1452" s="9">
        <f t="shared" si="85"/>
        <v>24.573523213388643</v>
      </c>
      <c r="G1452" s="9">
        <f t="shared" si="86"/>
        <v>25.082819031282703</v>
      </c>
      <c r="H1452" s="10">
        <f t="shared" si="87"/>
        <v>26.483382530491387</v>
      </c>
      <c r="K1452" s="11">
        <f>_xlfn.XLOOKUP(F1452,Ref!$B$3:$B$12,Ref!$C$3:$C$12,"",1)</f>
        <v>2</v>
      </c>
      <c r="L1452" s="11">
        <f>_xlfn.XLOOKUP(G1452,Ref!$B$3:$B$12,Ref!$C$3:$C$12,"",1)</f>
        <v>2</v>
      </c>
      <c r="M1452" s="11">
        <f>_xlfn.XLOOKUP(H1452,Ref!$B$3:$B$12,Ref!$C$3:$C$12,"",1)</f>
        <v>2</v>
      </c>
    </row>
    <row r="1453" spans="2:13" x14ac:dyDescent="0.25">
      <c r="B1453" s="15" t="s">
        <v>7</v>
      </c>
      <c r="C1453" s="9">
        <v>84.8</v>
      </c>
      <c r="D1453" s="9">
        <v>99.8</v>
      </c>
      <c r="E1453" s="10">
        <v>111.2</v>
      </c>
      <c r="F1453" s="9">
        <f t="shared" si="85"/>
        <v>26.99267834838545</v>
      </c>
      <c r="G1453" s="9">
        <f t="shared" si="86"/>
        <v>31.767326641142308</v>
      </c>
      <c r="H1453" s="10">
        <f t="shared" si="87"/>
        <v>35.396059343637525</v>
      </c>
      <c r="K1453" s="11">
        <f>_xlfn.XLOOKUP(F1453,Ref!$B$3:$B$12,Ref!$C$3:$C$12,"",1)</f>
        <v>2</v>
      </c>
      <c r="L1453" s="11">
        <f>_xlfn.XLOOKUP(G1453,Ref!$B$3:$B$12,Ref!$C$3:$C$12,"",1)</f>
        <v>3</v>
      </c>
      <c r="M1453" s="11">
        <f>_xlfn.XLOOKUP(H1453,Ref!$B$3:$B$12,Ref!$C$3:$C$12,"",1)</f>
        <v>3</v>
      </c>
    </row>
    <row r="1454" spans="2:13" x14ac:dyDescent="0.25">
      <c r="B1454" s="15" t="s">
        <v>12</v>
      </c>
      <c r="C1454" s="9">
        <v>36</v>
      </c>
      <c r="D1454" s="9">
        <v>36.6</v>
      </c>
      <c r="E1454" s="10">
        <v>36.799999999999997</v>
      </c>
      <c r="F1454" s="9">
        <f t="shared" si="85"/>
        <v>11.459155902616464</v>
      </c>
      <c r="G1454" s="9">
        <f t="shared" si="86"/>
        <v>11.650141834326739</v>
      </c>
      <c r="H1454" s="10">
        <f t="shared" si="87"/>
        <v>11.713803811563496</v>
      </c>
      <c r="K1454" s="11">
        <f>_xlfn.XLOOKUP(F1454,Ref!$B$3:$B$12,Ref!$C$3:$C$12,"",1)</f>
        <v>1</v>
      </c>
      <c r="L1454" s="11">
        <f>_xlfn.XLOOKUP(G1454,Ref!$B$3:$B$12,Ref!$C$3:$C$12,"",1)</f>
        <v>1</v>
      </c>
      <c r="M1454" s="11">
        <f>_xlfn.XLOOKUP(H1454,Ref!$B$3:$B$12,Ref!$C$3:$C$12,"",1)</f>
        <v>1</v>
      </c>
    </row>
    <row r="1455" spans="2:13" x14ac:dyDescent="0.25">
      <c r="B1455" s="15" t="s">
        <v>8</v>
      </c>
      <c r="C1455" s="9">
        <v>42.3</v>
      </c>
      <c r="D1455" s="9">
        <v>44.5</v>
      </c>
      <c r="E1455" s="10">
        <v>45</v>
      </c>
      <c r="F1455" s="9">
        <f t="shared" si="85"/>
        <v>13.464508185574346</v>
      </c>
      <c r="G1455" s="9">
        <f t="shared" si="86"/>
        <v>14.164789935178685</v>
      </c>
      <c r="H1455" s="10">
        <f t="shared" si="87"/>
        <v>14.323944878270581</v>
      </c>
      <c r="K1455" s="11">
        <f>_xlfn.XLOOKUP(F1455,Ref!$B$3:$B$12,Ref!$C$3:$C$12,"",1)</f>
        <v>1</v>
      </c>
      <c r="L1455" s="11">
        <f>_xlfn.XLOOKUP(G1455,Ref!$B$3:$B$12,Ref!$C$3:$C$12,"",1)</f>
        <v>1</v>
      </c>
      <c r="M1455" s="11">
        <f>_xlfn.XLOOKUP(H1455,Ref!$B$3:$B$12,Ref!$C$3:$C$12,"",1)</f>
        <v>1</v>
      </c>
    </row>
    <row r="1456" spans="2:13" x14ac:dyDescent="0.25">
      <c r="B1456" s="15" t="s">
        <v>12</v>
      </c>
      <c r="C1456" s="9">
        <v>33.4</v>
      </c>
      <c r="D1456" s="9">
        <v>37</v>
      </c>
      <c r="E1456" s="10">
        <v>39.5</v>
      </c>
      <c r="F1456" s="9">
        <f t="shared" si="85"/>
        <v>10.631550198538608</v>
      </c>
      <c r="G1456" s="9">
        <f t="shared" si="86"/>
        <v>11.777465788800255</v>
      </c>
      <c r="H1456" s="10">
        <f t="shared" si="87"/>
        <v>12.573240504259733</v>
      </c>
      <c r="K1456" s="11">
        <f>_xlfn.XLOOKUP(F1456,Ref!$B$3:$B$12,Ref!$C$3:$C$12,"",1)</f>
        <v>1</v>
      </c>
      <c r="L1456" s="11">
        <f>_xlfn.XLOOKUP(G1456,Ref!$B$3:$B$12,Ref!$C$3:$C$12,"",1)</f>
        <v>1</v>
      </c>
      <c r="M1456" s="11">
        <f>_xlfn.XLOOKUP(H1456,Ref!$B$3:$B$12,Ref!$C$3:$C$12,"",1)</f>
        <v>1</v>
      </c>
    </row>
    <row r="1457" spans="2:13" x14ac:dyDescent="0.25">
      <c r="B1457" s="15" t="s">
        <v>46</v>
      </c>
      <c r="C1457" s="9">
        <v>72.400000000000006</v>
      </c>
      <c r="D1457" s="9">
        <v>73.8</v>
      </c>
      <c r="E1457" s="10">
        <v>0</v>
      </c>
      <c r="F1457" s="9">
        <f t="shared" si="85"/>
        <v>23.045635759706446</v>
      </c>
      <c r="G1457" s="9">
        <f t="shared" si="86"/>
        <v>23.491269600363751</v>
      </c>
      <c r="H1457" s="10">
        <f t="shared" si="87"/>
        <v>0</v>
      </c>
      <c r="K1457" s="11">
        <f>_xlfn.XLOOKUP(F1457,Ref!$B$3:$B$12,Ref!$C$3:$C$12,"",1)</f>
        <v>2</v>
      </c>
      <c r="L1457" s="11">
        <f>_xlfn.XLOOKUP(G1457,Ref!$B$3:$B$12,Ref!$C$3:$C$12,"",1)</f>
        <v>2</v>
      </c>
      <c r="M1457" s="11" t="str">
        <f>_xlfn.XLOOKUP(H1457,Ref!$B$3:$B$12,Ref!$C$3:$C$12,"",1)</f>
        <v>Morta</v>
      </c>
    </row>
    <row r="1458" spans="2:13" x14ac:dyDescent="0.25">
      <c r="B1458" s="15" t="s">
        <v>54</v>
      </c>
      <c r="C1458" s="9">
        <v>40.799999999999997</v>
      </c>
      <c r="D1458" s="9">
        <v>42.9</v>
      </c>
      <c r="E1458" s="10">
        <v>45.1</v>
      </c>
      <c r="F1458" s="9">
        <f t="shared" si="85"/>
        <v>12.98704335629866</v>
      </c>
      <c r="G1458" s="9">
        <f t="shared" si="86"/>
        <v>13.65549411728462</v>
      </c>
      <c r="H1458" s="10">
        <f t="shared" si="87"/>
        <v>14.35577586688896</v>
      </c>
      <c r="K1458" s="11">
        <f>_xlfn.XLOOKUP(F1458,Ref!$B$3:$B$12,Ref!$C$3:$C$12,"",1)</f>
        <v>1</v>
      </c>
      <c r="L1458" s="11">
        <f>_xlfn.XLOOKUP(G1458,Ref!$B$3:$B$12,Ref!$C$3:$C$12,"",1)</f>
        <v>1</v>
      </c>
      <c r="M1458" s="11">
        <f>_xlfn.XLOOKUP(H1458,Ref!$B$3:$B$12,Ref!$C$3:$C$12,"",1)</f>
        <v>1</v>
      </c>
    </row>
    <row r="1459" spans="2:13" x14ac:dyDescent="0.25">
      <c r="B1459" s="15" t="s">
        <v>46</v>
      </c>
      <c r="C1459" s="9">
        <v>101.7</v>
      </c>
      <c r="D1459" s="9">
        <v>108.5</v>
      </c>
      <c r="E1459" s="10">
        <v>112.5</v>
      </c>
      <c r="F1459" s="9">
        <f t="shared" si="85"/>
        <v>32.372115424891511</v>
      </c>
      <c r="G1459" s="9">
        <f t="shared" si="86"/>
        <v>34.53662265094129</v>
      </c>
      <c r="H1459" s="10">
        <f t="shared" si="87"/>
        <v>35.809862195676452</v>
      </c>
      <c r="K1459" s="11">
        <f>_xlfn.XLOOKUP(F1459,Ref!$B$3:$B$12,Ref!$C$3:$C$12,"",1)</f>
        <v>3</v>
      </c>
      <c r="L1459" s="11">
        <f>_xlfn.XLOOKUP(G1459,Ref!$B$3:$B$12,Ref!$C$3:$C$12,"",1)</f>
        <v>3</v>
      </c>
      <c r="M1459" s="11">
        <f>_xlfn.XLOOKUP(H1459,Ref!$B$3:$B$12,Ref!$C$3:$C$12,"",1)</f>
        <v>3</v>
      </c>
    </row>
    <row r="1460" spans="2:13" x14ac:dyDescent="0.25">
      <c r="B1460" s="15" t="s">
        <v>85</v>
      </c>
      <c r="C1460" s="9">
        <v>52</v>
      </c>
      <c r="D1460" s="9">
        <v>55</v>
      </c>
      <c r="E1460" s="10">
        <v>56.4</v>
      </c>
      <c r="F1460" s="9">
        <f t="shared" si="85"/>
        <v>16.552114081557114</v>
      </c>
      <c r="G1460" s="9">
        <f t="shared" si="86"/>
        <v>17.507043740108486</v>
      </c>
      <c r="H1460" s="10">
        <f t="shared" si="87"/>
        <v>17.952677580765794</v>
      </c>
      <c r="K1460" s="11">
        <f>_xlfn.XLOOKUP(F1460,Ref!$B$3:$B$12,Ref!$C$3:$C$12,"",1)</f>
        <v>1</v>
      </c>
      <c r="L1460" s="11">
        <f>_xlfn.XLOOKUP(G1460,Ref!$B$3:$B$12,Ref!$C$3:$C$12,"",1)</f>
        <v>1</v>
      </c>
      <c r="M1460" s="11">
        <f>_xlfn.XLOOKUP(H1460,Ref!$B$3:$B$12,Ref!$C$3:$C$12,"",1)</f>
        <v>1</v>
      </c>
    </row>
    <row r="1461" spans="2:13" x14ac:dyDescent="0.25">
      <c r="B1461" s="15" t="s">
        <v>12</v>
      </c>
      <c r="C1461" s="9">
        <v>32.799999999999997</v>
      </c>
      <c r="D1461" s="9">
        <v>34.5</v>
      </c>
      <c r="E1461" s="10">
        <v>35.299999999999997</v>
      </c>
      <c r="F1461" s="9">
        <f t="shared" si="85"/>
        <v>10.440564266828334</v>
      </c>
      <c r="G1461" s="9">
        <f t="shared" si="86"/>
        <v>10.981691073340778</v>
      </c>
      <c r="H1461" s="10">
        <f t="shared" si="87"/>
        <v>11.23633898228781</v>
      </c>
      <c r="K1461" s="11">
        <f>_xlfn.XLOOKUP(F1461,Ref!$B$3:$B$12,Ref!$C$3:$C$12,"",1)</f>
        <v>1</v>
      </c>
      <c r="L1461" s="11">
        <f>_xlfn.XLOOKUP(G1461,Ref!$B$3:$B$12,Ref!$C$3:$C$12,"",1)</f>
        <v>1</v>
      </c>
      <c r="M1461" s="11">
        <f>_xlfn.XLOOKUP(H1461,Ref!$B$3:$B$12,Ref!$C$3:$C$12,"",1)</f>
        <v>1</v>
      </c>
    </row>
    <row r="1462" spans="2:13" x14ac:dyDescent="0.25">
      <c r="B1462" s="15" t="s">
        <v>41</v>
      </c>
      <c r="C1462" s="9">
        <v>53.9</v>
      </c>
      <c r="D1462" s="9">
        <v>56.2</v>
      </c>
      <c r="E1462" s="10">
        <v>57</v>
      </c>
      <c r="F1462" s="9">
        <f t="shared" si="85"/>
        <v>17.156902865306318</v>
      </c>
      <c r="G1462" s="9">
        <f t="shared" si="86"/>
        <v>17.889015603529039</v>
      </c>
      <c r="H1462" s="10">
        <f t="shared" si="87"/>
        <v>18.143663512476071</v>
      </c>
      <c r="K1462" s="11">
        <f>_xlfn.XLOOKUP(F1462,Ref!$B$3:$B$12,Ref!$C$3:$C$12,"",1)</f>
        <v>1</v>
      </c>
      <c r="L1462" s="11">
        <f>_xlfn.XLOOKUP(G1462,Ref!$B$3:$B$12,Ref!$C$3:$C$12,"",1)</f>
        <v>1</v>
      </c>
      <c r="M1462" s="11">
        <f>_xlfn.XLOOKUP(H1462,Ref!$B$3:$B$12,Ref!$C$3:$C$12,"",1)</f>
        <v>1</v>
      </c>
    </row>
    <row r="1463" spans="2:13" x14ac:dyDescent="0.25">
      <c r="B1463" s="15" t="s">
        <v>41</v>
      </c>
      <c r="C1463" s="9">
        <v>49.7</v>
      </c>
      <c r="D1463" s="9">
        <v>55.2</v>
      </c>
      <c r="E1463" s="10">
        <v>59.5</v>
      </c>
      <c r="F1463" s="9">
        <f t="shared" si="85"/>
        <v>15.820001343334399</v>
      </c>
      <c r="G1463" s="9">
        <f t="shared" si="86"/>
        <v>17.570705717345248</v>
      </c>
      <c r="H1463" s="10">
        <f t="shared" si="87"/>
        <v>18.939438227935547</v>
      </c>
      <c r="K1463" s="11">
        <f>_xlfn.XLOOKUP(F1463,Ref!$B$3:$B$12,Ref!$C$3:$C$12,"",1)</f>
        <v>1</v>
      </c>
      <c r="L1463" s="11">
        <f>_xlfn.XLOOKUP(G1463,Ref!$B$3:$B$12,Ref!$C$3:$C$12,"",1)</f>
        <v>1</v>
      </c>
      <c r="M1463" s="11">
        <f>_xlfn.XLOOKUP(H1463,Ref!$B$3:$B$12,Ref!$C$3:$C$12,"",1)</f>
        <v>1</v>
      </c>
    </row>
    <row r="1464" spans="2:13" x14ac:dyDescent="0.25">
      <c r="B1464" s="15" t="s">
        <v>25</v>
      </c>
      <c r="C1464" s="9">
        <v>48.8</v>
      </c>
      <c r="D1464" s="9">
        <v>51.6</v>
      </c>
      <c r="E1464" s="10">
        <v>54.3</v>
      </c>
      <c r="F1464" s="9">
        <f t="shared" si="85"/>
        <v>15.533522445768984</v>
      </c>
      <c r="G1464" s="9">
        <f t="shared" si="86"/>
        <v>16.4247901270836</v>
      </c>
      <c r="H1464" s="10">
        <f t="shared" si="87"/>
        <v>17.284226819779832</v>
      </c>
      <c r="K1464" s="11">
        <f>_xlfn.XLOOKUP(F1464,Ref!$B$3:$B$12,Ref!$C$3:$C$12,"",1)</f>
        <v>1</v>
      </c>
      <c r="L1464" s="11">
        <f>_xlfn.XLOOKUP(G1464,Ref!$B$3:$B$12,Ref!$C$3:$C$12,"",1)</f>
        <v>1</v>
      </c>
      <c r="M1464" s="11">
        <f>_xlfn.XLOOKUP(H1464,Ref!$B$3:$B$12,Ref!$C$3:$C$12,"",1)</f>
        <v>1</v>
      </c>
    </row>
    <row r="1465" spans="2:13" x14ac:dyDescent="0.25">
      <c r="B1465" s="15" t="s">
        <v>22</v>
      </c>
      <c r="C1465" s="9">
        <v>33.799999999999997</v>
      </c>
      <c r="D1465" s="9">
        <v>34.1</v>
      </c>
      <c r="E1465" s="10">
        <v>34.6</v>
      </c>
      <c r="F1465" s="9">
        <f t="shared" si="85"/>
        <v>10.758874153012124</v>
      </c>
      <c r="G1465" s="9">
        <f t="shared" si="86"/>
        <v>10.854367118867263</v>
      </c>
      <c r="H1465" s="10">
        <f t="shared" si="87"/>
        <v>11.013522061959158</v>
      </c>
      <c r="K1465" s="11">
        <f>_xlfn.XLOOKUP(F1465,Ref!$B$3:$B$12,Ref!$C$3:$C$12,"",1)</f>
        <v>1</v>
      </c>
      <c r="L1465" s="11">
        <f>_xlfn.XLOOKUP(G1465,Ref!$B$3:$B$12,Ref!$C$3:$C$12,"",1)</f>
        <v>1</v>
      </c>
      <c r="M1465" s="11">
        <f>_xlfn.XLOOKUP(H1465,Ref!$B$3:$B$12,Ref!$C$3:$C$12,"",1)</f>
        <v>1</v>
      </c>
    </row>
    <row r="1466" spans="2:13" x14ac:dyDescent="0.25">
      <c r="B1466" s="15" t="s">
        <v>27</v>
      </c>
      <c r="C1466" s="9">
        <v>36.5</v>
      </c>
      <c r="D1466" s="9">
        <v>43.4</v>
      </c>
      <c r="E1466" s="10">
        <v>48.5</v>
      </c>
      <c r="F1466" s="9">
        <f t="shared" si="85"/>
        <v>11.618310845708359</v>
      </c>
      <c r="G1466" s="9">
        <f t="shared" si="86"/>
        <v>13.814649060376516</v>
      </c>
      <c r="H1466" s="10">
        <f t="shared" si="87"/>
        <v>15.438029479913848</v>
      </c>
      <c r="K1466" s="11">
        <f>_xlfn.XLOOKUP(F1466,Ref!$B$3:$B$12,Ref!$C$3:$C$12,"",1)</f>
        <v>1</v>
      </c>
      <c r="L1466" s="11">
        <f>_xlfn.XLOOKUP(G1466,Ref!$B$3:$B$12,Ref!$C$3:$C$12,"",1)</f>
        <v>1</v>
      </c>
      <c r="M1466" s="11">
        <f>_xlfn.XLOOKUP(H1466,Ref!$B$3:$B$12,Ref!$C$3:$C$12,"",1)</f>
        <v>1</v>
      </c>
    </row>
    <row r="1467" spans="2:13" x14ac:dyDescent="0.25">
      <c r="B1467" s="15" t="s">
        <v>14</v>
      </c>
      <c r="C1467" s="9">
        <v>52.5</v>
      </c>
      <c r="D1467" s="9">
        <v>56.1</v>
      </c>
      <c r="E1467" s="10">
        <v>61.4</v>
      </c>
      <c r="F1467" s="9">
        <f t="shared" si="85"/>
        <v>16.71126902464901</v>
      </c>
      <c r="G1467" s="9">
        <f t="shared" si="86"/>
        <v>17.857184614910658</v>
      </c>
      <c r="H1467" s="10">
        <f t="shared" si="87"/>
        <v>19.544227011684747</v>
      </c>
      <c r="K1467" s="11">
        <f>_xlfn.XLOOKUP(F1467,Ref!$B$3:$B$12,Ref!$C$3:$C$12,"",1)</f>
        <v>1</v>
      </c>
      <c r="L1467" s="11">
        <f>_xlfn.XLOOKUP(G1467,Ref!$B$3:$B$12,Ref!$C$3:$C$12,"",1)</f>
        <v>1</v>
      </c>
      <c r="M1467" s="11">
        <f>_xlfn.XLOOKUP(H1467,Ref!$B$3:$B$12,Ref!$C$3:$C$12,"",1)</f>
        <v>1</v>
      </c>
    </row>
    <row r="1468" spans="2:13" x14ac:dyDescent="0.25">
      <c r="B1468" s="15" t="s">
        <v>15</v>
      </c>
      <c r="C1468" s="9">
        <v>35</v>
      </c>
      <c r="D1468" s="9">
        <v>38</v>
      </c>
      <c r="E1468" s="10">
        <v>40.4</v>
      </c>
      <c r="F1468" s="9">
        <f t="shared" si="85"/>
        <v>11.140846016432674</v>
      </c>
      <c r="G1468" s="9">
        <f t="shared" si="86"/>
        <v>12.095775674984045</v>
      </c>
      <c r="H1468" s="10">
        <f t="shared" si="87"/>
        <v>12.859719401825144</v>
      </c>
      <c r="K1468" s="11">
        <f>_xlfn.XLOOKUP(F1468,Ref!$B$3:$B$12,Ref!$C$3:$C$12,"",1)</f>
        <v>1</v>
      </c>
      <c r="L1468" s="11">
        <f>_xlfn.XLOOKUP(G1468,Ref!$B$3:$B$12,Ref!$C$3:$C$12,"",1)</f>
        <v>1</v>
      </c>
      <c r="M1468" s="11">
        <f>_xlfn.XLOOKUP(H1468,Ref!$B$3:$B$12,Ref!$C$3:$C$12,"",1)</f>
        <v>1</v>
      </c>
    </row>
    <row r="1469" spans="2:13" x14ac:dyDescent="0.25">
      <c r="B1469" s="15" t="s">
        <v>20</v>
      </c>
      <c r="C1469" s="9">
        <v>64.2</v>
      </c>
      <c r="D1469" s="9">
        <v>70.7</v>
      </c>
      <c r="E1469" s="10">
        <v>77.900000000000006</v>
      </c>
      <c r="F1469" s="9">
        <f t="shared" si="85"/>
        <v>20.435494692999363</v>
      </c>
      <c r="G1469" s="9">
        <f t="shared" si="86"/>
        <v>22.504508953194001</v>
      </c>
      <c r="H1469" s="10">
        <f t="shared" si="87"/>
        <v>24.796340133717298</v>
      </c>
      <c r="K1469" s="11">
        <f>_xlfn.XLOOKUP(F1469,Ref!$B$3:$B$12,Ref!$C$3:$C$12,"",1)</f>
        <v>2</v>
      </c>
      <c r="L1469" s="11">
        <f>_xlfn.XLOOKUP(G1469,Ref!$B$3:$B$12,Ref!$C$3:$C$12,"",1)</f>
        <v>2</v>
      </c>
      <c r="M1469" s="11">
        <f>_xlfn.XLOOKUP(H1469,Ref!$B$3:$B$12,Ref!$C$3:$C$12,"",1)</f>
        <v>2</v>
      </c>
    </row>
    <row r="1470" spans="2:13" x14ac:dyDescent="0.25">
      <c r="B1470" s="15" t="s">
        <v>12</v>
      </c>
      <c r="C1470" s="9">
        <v>51.7</v>
      </c>
      <c r="D1470" s="9">
        <v>55</v>
      </c>
      <c r="E1470" s="10">
        <v>58.9</v>
      </c>
      <c r="F1470" s="9">
        <f t="shared" si="85"/>
        <v>16.456621115701978</v>
      </c>
      <c r="G1470" s="9">
        <f t="shared" si="86"/>
        <v>17.507043740108486</v>
      </c>
      <c r="H1470" s="10">
        <f t="shared" si="87"/>
        <v>18.74845229622527</v>
      </c>
      <c r="K1470" s="11">
        <f>_xlfn.XLOOKUP(F1470,Ref!$B$3:$B$12,Ref!$C$3:$C$12,"",1)</f>
        <v>1</v>
      </c>
      <c r="L1470" s="11">
        <f>_xlfn.XLOOKUP(G1470,Ref!$B$3:$B$12,Ref!$C$3:$C$12,"",1)</f>
        <v>1</v>
      </c>
      <c r="M1470" s="11">
        <f>_xlfn.XLOOKUP(H1470,Ref!$B$3:$B$12,Ref!$C$3:$C$12,"",1)</f>
        <v>1</v>
      </c>
    </row>
    <row r="1471" spans="2:13" x14ac:dyDescent="0.25">
      <c r="B1471" s="15" t="s">
        <v>26</v>
      </c>
      <c r="C1471" s="9">
        <v>190</v>
      </c>
      <c r="D1471" s="9">
        <v>207</v>
      </c>
      <c r="E1471" s="10">
        <v>212.8</v>
      </c>
      <c r="F1471" s="9">
        <f t="shared" si="85"/>
        <v>60.478878374920228</v>
      </c>
      <c r="G1471" s="9">
        <f t="shared" si="86"/>
        <v>65.890146440044674</v>
      </c>
      <c r="H1471" s="10">
        <f t="shared" si="87"/>
        <v>67.736343779910655</v>
      </c>
      <c r="K1471" s="11">
        <f>_xlfn.XLOOKUP(F1471,Ref!$B$3:$B$12,Ref!$C$3:$C$12,"",1)</f>
        <v>6</v>
      </c>
      <c r="L1471" s="11">
        <f>_xlfn.XLOOKUP(G1471,Ref!$B$3:$B$12,Ref!$C$3:$C$12,"",1)</f>
        <v>6</v>
      </c>
      <c r="M1471" s="11">
        <f>_xlfn.XLOOKUP(H1471,Ref!$B$3:$B$12,Ref!$C$3:$C$12,"",1)</f>
        <v>6</v>
      </c>
    </row>
    <row r="1472" spans="2:13" x14ac:dyDescent="0.25">
      <c r="B1472" s="15" t="s">
        <v>51</v>
      </c>
      <c r="C1472" s="9">
        <v>36.299999999999997</v>
      </c>
      <c r="D1472" s="9">
        <v>35.5</v>
      </c>
      <c r="E1472" s="10">
        <v>36.1</v>
      </c>
      <c r="F1472" s="9">
        <f t="shared" si="85"/>
        <v>11.554648868471601</v>
      </c>
      <c r="G1472" s="9">
        <f t="shared" si="86"/>
        <v>11.300000959524569</v>
      </c>
      <c r="H1472" s="10">
        <f t="shared" si="87"/>
        <v>11.490986891234844</v>
      </c>
      <c r="K1472" s="11">
        <f>_xlfn.XLOOKUP(F1472,Ref!$B$3:$B$12,Ref!$C$3:$C$12,"",1)</f>
        <v>1</v>
      </c>
      <c r="L1472" s="11">
        <f>_xlfn.XLOOKUP(G1472,Ref!$B$3:$B$12,Ref!$C$3:$C$12,"",1)</f>
        <v>1</v>
      </c>
      <c r="M1472" s="11">
        <f>_xlfn.XLOOKUP(H1472,Ref!$B$3:$B$12,Ref!$C$3:$C$12,"",1)</f>
        <v>1</v>
      </c>
    </row>
    <row r="1473" spans="2:13" x14ac:dyDescent="0.25">
      <c r="B1473" s="15" t="s">
        <v>80</v>
      </c>
      <c r="C1473" s="9">
        <v>43.5</v>
      </c>
      <c r="D1473" s="9">
        <v>0</v>
      </c>
      <c r="E1473" s="10">
        <v>0</v>
      </c>
      <c r="F1473" s="9">
        <f t="shared" si="85"/>
        <v>13.846480048994895</v>
      </c>
      <c r="G1473" s="9">
        <f t="shared" si="86"/>
        <v>0</v>
      </c>
      <c r="H1473" s="10">
        <f t="shared" si="87"/>
        <v>0</v>
      </c>
      <c r="K1473" s="11">
        <f>_xlfn.XLOOKUP(F1473,Ref!$B$3:$B$12,Ref!$C$3:$C$12,"",1)</f>
        <v>1</v>
      </c>
      <c r="L1473" s="11" t="str">
        <f>_xlfn.XLOOKUP(G1473,Ref!$B$3:$B$12,Ref!$C$3:$C$12,"",1)</f>
        <v>Morta</v>
      </c>
      <c r="M1473" s="11" t="str">
        <f>_xlfn.XLOOKUP(H1473,Ref!$B$3:$B$12,Ref!$C$3:$C$12,"",1)</f>
        <v>Morta</v>
      </c>
    </row>
    <row r="1474" spans="2:13" x14ac:dyDescent="0.25">
      <c r="B1474" s="15" t="s">
        <v>25</v>
      </c>
      <c r="C1474" s="9">
        <v>31.9</v>
      </c>
      <c r="D1474" s="9">
        <v>33</v>
      </c>
      <c r="E1474" s="10">
        <v>33.200000000000003</v>
      </c>
      <c r="F1474" s="9">
        <f t="shared" si="85"/>
        <v>10.154085369262923</v>
      </c>
      <c r="G1474" s="9">
        <f t="shared" si="86"/>
        <v>10.504226244065093</v>
      </c>
      <c r="H1474" s="10">
        <f t="shared" si="87"/>
        <v>10.567888221301851</v>
      </c>
      <c r="K1474" s="11">
        <f>_xlfn.XLOOKUP(F1474,Ref!$B$3:$B$12,Ref!$C$3:$C$12,"",1)</f>
        <v>1</v>
      </c>
      <c r="L1474" s="11">
        <f>_xlfn.XLOOKUP(G1474,Ref!$B$3:$B$12,Ref!$C$3:$C$12,"",1)</f>
        <v>1</v>
      </c>
      <c r="M1474" s="11">
        <f>_xlfn.XLOOKUP(H1474,Ref!$B$3:$B$12,Ref!$C$3:$C$12,"",1)</f>
        <v>1</v>
      </c>
    </row>
    <row r="1475" spans="2:13" x14ac:dyDescent="0.25">
      <c r="B1475" s="15" t="s">
        <v>19</v>
      </c>
      <c r="C1475" s="9">
        <v>33.5</v>
      </c>
      <c r="D1475" s="9">
        <v>0</v>
      </c>
      <c r="E1475" s="10">
        <v>0</v>
      </c>
      <c r="F1475" s="9">
        <f t="shared" si="85"/>
        <v>10.663381187156988</v>
      </c>
      <c r="G1475" s="9">
        <f t="shared" si="86"/>
        <v>0</v>
      </c>
      <c r="H1475" s="10">
        <f t="shared" si="87"/>
        <v>0</v>
      </c>
      <c r="K1475" s="11">
        <f>_xlfn.XLOOKUP(F1475,Ref!$B$3:$B$12,Ref!$C$3:$C$12,"",1)</f>
        <v>1</v>
      </c>
      <c r="L1475" s="11" t="str">
        <f>_xlfn.XLOOKUP(G1475,Ref!$B$3:$B$12,Ref!$C$3:$C$12,"",1)</f>
        <v>Morta</v>
      </c>
      <c r="M1475" s="11" t="str">
        <f>_xlfn.XLOOKUP(H1475,Ref!$B$3:$B$12,Ref!$C$3:$C$12,"",1)</f>
        <v>Morta</v>
      </c>
    </row>
    <row r="1476" spans="2:13" x14ac:dyDescent="0.25">
      <c r="B1476" s="15" t="s">
        <v>27</v>
      </c>
      <c r="C1476" s="9">
        <v>33.299999999999997</v>
      </c>
      <c r="D1476" s="9">
        <v>37</v>
      </c>
      <c r="E1476" s="10">
        <v>38.799999999999997</v>
      </c>
      <c r="F1476" s="9">
        <f t="shared" si="85"/>
        <v>10.599719209920229</v>
      </c>
      <c r="G1476" s="9">
        <f t="shared" si="86"/>
        <v>11.777465788800255</v>
      </c>
      <c r="H1476" s="10">
        <f t="shared" si="87"/>
        <v>12.350423583931077</v>
      </c>
      <c r="K1476" s="11">
        <f>_xlfn.XLOOKUP(F1476,Ref!$B$3:$B$12,Ref!$C$3:$C$12,"",1)</f>
        <v>1</v>
      </c>
      <c r="L1476" s="11">
        <f>_xlfn.XLOOKUP(G1476,Ref!$B$3:$B$12,Ref!$C$3:$C$12,"",1)</f>
        <v>1</v>
      </c>
      <c r="M1476" s="11">
        <f>_xlfn.XLOOKUP(H1476,Ref!$B$3:$B$12,Ref!$C$3:$C$12,"",1)</f>
        <v>1</v>
      </c>
    </row>
    <row r="1477" spans="2:13" x14ac:dyDescent="0.25">
      <c r="B1477" s="15" t="s">
        <v>15</v>
      </c>
      <c r="C1477" s="9">
        <v>42</v>
      </c>
      <c r="D1477" s="9">
        <v>43.7</v>
      </c>
      <c r="E1477" s="10">
        <v>44.4</v>
      </c>
      <c r="F1477" s="9">
        <f t="shared" si="85"/>
        <v>13.369015219719209</v>
      </c>
      <c r="G1477" s="9">
        <f t="shared" si="86"/>
        <v>13.910142026231654</v>
      </c>
      <c r="H1477" s="10">
        <f t="shared" si="87"/>
        <v>14.132958946560306</v>
      </c>
      <c r="K1477" s="11">
        <f>_xlfn.XLOOKUP(F1477,Ref!$B$3:$B$12,Ref!$C$3:$C$12,"",1)</f>
        <v>1</v>
      </c>
      <c r="L1477" s="11">
        <f>_xlfn.XLOOKUP(G1477,Ref!$B$3:$B$12,Ref!$C$3:$C$12,"",1)</f>
        <v>1</v>
      </c>
      <c r="M1477" s="11">
        <f>_xlfn.XLOOKUP(H1477,Ref!$B$3:$B$12,Ref!$C$3:$C$12,"",1)</f>
        <v>1</v>
      </c>
    </row>
    <row r="1478" spans="2:13" x14ac:dyDescent="0.25">
      <c r="B1478" s="15" t="s">
        <v>8</v>
      </c>
      <c r="C1478" s="9">
        <v>45.9</v>
      </c>
      <c r="D1478" s="9">
        <v>50.3</v>
      </c>
      <c r="E1478" s="10">
        <v>52.8</v>
      </c>
      <c r="F1478" s="9">
        <f t="shared" si="85"/>
        <v>14.610423775835992</v>
      </c>
      <c r="G1478" s="9">
        <f t="shared" si="86"/>
        <v>16.01098727504467</v>
      </c>
      <c r="H1478" s="10">
        <f t="shared" si="87"/>
        <v>16.806761990504146</v>
      </c>
      <c r="K1478" s="11">
        <f>_xlfn.XLOOKUP(F1478,Ref!$B$3:$B$12,Ref!$C$3:$C$12,"",1)</f>
        <v>1</v>
      </c>
      <c r="L1478" s="11">
        <f>_xlfn.XLOOKUP(G1478,Ref!$B$3:$B$12,Ref!$C$3:$C$12,"",1)</f>
        <v>1</v>
      </c>
      <c r="M1478" s="11">
        <f>_xlfn.XLOOKUP(H1478,Ref!$B$3:$B$12,Ref!$C$3:$C$12,"",1)</f>
        <v>1</v>
      </c>
    </row>
    <row r="1479" spans="2:13" x14ac:dyDescent="0.25">
      <c r="B1479" s="15" t="s">
        <v>8</v>
      </c>
      <c r="C1479" s="9">
        <v>42.3</v>
      </c>
      <c r="D1479" s="9">
        <v>44.8</v>
      </c>
      <c r="E1479" s="10">
        <v>45.4</v>
      </c>
      <c r="F1479" s="9">
        <f t="shared" si="85"/>
        <v>13.464508185574346</v>
      </c>
      <c r="G1479" s="9">
        <f t="shared" si="86"/>
        <v>14.260282901033822</v>
      </c>
      <c r="H1479" s="10">
        <f t="shared" si="87"/>
        <v>14.451268832744097</v>
      </c>
      <c r="K1479" s="11">
        <f>_xlfn.XLOOKUP(F1479,Ref!$B$3:$B$12,Ref!$C$3:$C$12,"",1)</f>
        <v>1</v>
      </c>
      <c r="L1479" s="11">
        <f>_xlfn.XLOOKUP(G1479,Ref!$B$3:$B$12,Ref!$C$3:$C$12,"",1)</f>
        <v>1</v>
      </c>
      <c r="M1479" s="11">
        <f>_xlfn.XLOOKUP(H1479,Ref!$B$3:$B$12,Ref!$C$3:$C$12,"",1)</f>
        <v>1</v>
      </c>
    </row>
    <row r="1480" spans="2:13" x14ac:dyDescent="0.25">
      <c r="B1480" s="15" t="s">
        <v>14</v>
      </c>
      <c r="C1480" s="9">
        <v>34.5</v>
      </c>
      <c r="D1480" s="9">
        <v>38</v>
      </c>
      <c r="E1480" s="10">
        <v>44.3</v>
      </c>
      <c r="F1480" s="9">
        <f t="shared" si="85"/>
        <v>10.981691073340778</v>
      </c>
      <c r="G1480" s="9">
        <f t="shared" si="86"/>
        <v>12.095775674984045</v>
      </c>
      <c r="H1480" s="10">
        <f t="shared" si="87"/>
        <v>14.101127957941927</v>
      </c>
      <c r="K1480" s="11">
        <f>_xlfn.XLOOKUP(F1480,Ref!$B$3:$B$12,Ref!$C$3:$C$12,"",1)</f>
        <v>1</v>
      </c>
      <c r="L1480" s="11">
        <f>_xlfn.XLOOKUP(G1480,Ref!$B$3:$B$12,Ref!$C$3:$C$12,"",1)</f>
        <v>1</v>
      </c>
      <c r="M1480" s="11">
        <f>_xlfn.XLOOKUP(H1480,Ref!$B$3:$B$12,Ref!$C$3:$C$12,"",1)</f>
        <v>1</v>
      </c>
    </row>
    <row r="1481" spans="2:13" x14ac:dyDescent="0.25">
      <c r="B1481" s="15" t="s">
        <v>75</v>
      </c>
      <c r="C1481" s="9">
        <v>106</v>
      </c>
      <c r="D1481" s="9">
        <v>108.8</v>
      </c>
      <c r="E1481" s="10">
        <v>110.8</v>
      </c>
      <c r="F1481" s="9">
        <f t="shared" si="85"/>
        <v>33.74084793548181</v>
      </c>
      <c r="G1481" s="9">
        <f t="shared" si="86"/>
        <v>34.632115616796426</v>
      </c>
      <c r="H1481" s="10">
        <f t="shared" si="87"/>
        <v>35.268735389164007</v>
      </c>
      <c r="K1481" s="11">
        <f>_xlfn.XLOOKUP(F1481,Ref!$B$3:$B$12,Ref!$C$3:$C$12,"",1)</f>
        <v>3</v>
      </c>
      <c r="L1481" s="11">
        <f>_xlfn.XLOOKUP(G1481,Ref!$B$3:$B$12,Ref!$C$3:$C$12,"",1)</f>
        <v>3</v>
      </c>
      <c r="M1481" s="11">
        <f>_xlfn.XLOOKUP(H1481,Ref!$B$3:$B$12,Ref!$C$3:$C$12,"",1)</f>
        <v>3</v>
      </c>
    </row>
    <row r="1482" spans="2:13" x14ac:dyDescent="0.25">
      <c r="B1482" s="15" t="s">
        <v>75</v>
      </c>
      <c r="C1482" s="9">
        <v>68.5</v>
      </c>
      <c r="D1482" s="9">
        <v>69.599999999999994</v>
      </c>
      <c r="E1482" s="10">
        <v>69.599999999999994</v>
      </c>
      <c r="F1482" s="9">
        <f t="shared" si="85"/>
        <v>21.804227203589662</v>
      </c>
      <c r="G1482" s="9">
        <f t="shared" si="86"/>
        <v>22.15436807839183</v>
      </c>
      <c r="H1482" s="10">
        <f t="shared" si="87"/>
        <v>22.15436807839183</v>
      </c>
      <c r="K1482" s="11">
        <f>_xlfn.XLOOKUP(F1482,Ref!$B$3:$B$12,Ref!$C$3:$C$12,"",1)</f>
        <v>2</v>
      </c>
      <c r="L1482" s="11">
        <f>_xlfn.XLOOKUP(G1482,Ref!$B$3:$B$12,Ref!$C$3:$C$12,"",1)</f>
        <v>2</v>
      </c>
      <c r="M1482" s="11">
        <f>_xlfn.XLOOKUP(H1482,Ref!$B$3:$B$12,Ref!$C$3:$C$12,"",1)</f>
        <v>2</v>
      </c>
    </row>
    <row r="1483" spans="2:13" x14ac:dyDescent="0.25">
      <c r="B1483" s="15" t="s">
        <v>44</v>
      </c>
      <c r="C1483" s="9">
        <v>35.6</v>
      </c>
      <c r="D1483" s="9">
        <v>38.200000000000003</v>
      </c>
      <c r="E1483" s="10">
        <v>38.299999999999997</v>
      </c>
      <c r="F1483" s="9">
        <f t="shared" ref="F1483:F1544" si="88">IF(C1483="", "", C1483/PI())</f>
        <v>11.331831948142948</v>
      </c>
      <c r="G1483" s="9">
        <f t="shared" ref="G1483:G1544" si="89">IF(D1483="", "", D1483/PI())</f>
        <v>12.159437652220806</v>
      </c>
      <c r="H1483" s="10">
        <f t="shared" ref="H1483:H1544" si="90">IF(E1483="", "", E1483/PI())</f>
        <v>12.191268640839182</v>
      </c>
      <c r="K1483" s="11">
        <f>_xlfn.XLOOKUP(F1483,Ref!$B$3:$B$12,Ref!$C$3:$C$12,"",1)</f>
        <v>1</v>
      </c>
      <c r="L1483" s="11">
        <f>_xlfn.XLOOKUP(G1483,Ref!$B$3:$B$12,Ref!$C$3:$C$12,"",1)</f>
        <v>1</v>
      </c>
      <c r="M1483" s="11">
        <f>_xlfn.XLOOKUP(H1483,Ref!$B$3:$B$12,Ref!$C$3:$C$12,"",1)</f>
        <v>1</v>
      </c>
    </row>
    <row r="1484" spans="2:13" x14ac:dyDescent="0.25">
      <c r="B1484" s="15" t="s">
        <v>25</v>
      </c>
      <c r="C1484" s="9">
        <v>73.3</v>
      </c>
      <c r="D1484" s="9">
        <v>64.5</v>
      </c>
      <c r="E1484" s="10">
        <v>65.7</v>
      </c>
      <c r="F1484" s="9">
        <f t="shared" si="88"/>
        <v>23.332114657271855</v>
      </c>
      <c r="G1484" s="9">
        <f t="shared" si="89"/>
        <v>20.5309876588545</v>
      </c>
      <c r="H1484" s="10">
        <f t="shared" si="90"/>
        <v>20.912959522275049</v>
      </c>
      <c r="K1484" s="11">
        <f>_xlfn.XLOOKUP(F1484,Ref!$B$3:$B$12,Ref!$C$3:$C$12,"",1)</f>
        <v>2</v>
      </c>
      <c r="L1484" s="11">
        <f>_xlfn.XLOOKUP(G1484,Ref!$B$3:$B$12,Ref!$C$3:$C$12,"",1)</f>
        <v>2</v>
      </c>
      <c r="M1484" s="11">
        <f>_xlfn.XLOOKUP(H1484,Ref!$B$3:$B$12,Ref!$C$3:$C$12,"",1)</f>
        <v>2</v>
      </c>
    </row>
    <row r="1485" spans="2:13" x14ac:dyDescent="0.25">
      <c r="B1485" s="15" t="s">
        <v>27</v>
      </c>
      <c r="C1485" s="9">
        <v>51</v>
      </c>
      <c r="D1485" s="9">
        <v>0</v>
      </c>
      <c r="E1485" s="10">
        <v>0</v>
      </c>
      <c r="F1485" s="9">
        <f t="shared" si="88"/>
        <v>16.233804195373324</v>
      </c>
      <c r="G1485" s="9">
        <f t="shared" si="89"/>
        <v>0</v>
      </c>
      <c r="H1485" s="10">
        <f t="shared" si="90"/>
        <v>0</v>
      </c>
      <c r="K1485" s="11">
        <f>_xlfn.XLOOKUP(F1485,Ref!$B$3:$B$12,Ref!$C$3:$C$12,"",1)</f>
        <v>1</v>
      </c>
      <c r="L1485" s="11" t="str">
        <f>_xlfn.XLOOKUP(G1485,Ref!$B$3:$B$12,Ref!$C$3:$C$12,"",1)</f>
        <v>Morta</v>
      </c>
      <c r="M1485" s="11" t="str">
        <f>_xlfn.XLOOKUP(H1485,Ref!$B$3:$B$12,Ref!$C$3:$C$12,"",1)</f>
        <v>Morta</v>
      </c>
    </row>
    <row r="1486" spans="2:13" x14ac:dyDescent="0.25">
      <c r="B1486" s="15" t="s">
        <v>8</v>
      </c>
      <c r="C1486" s="9">
        <v>38.200000000000003</v>
      </c>
      <c r="D1486" s="9">
        <v>40</v>
      </c>
      <c r="E1486" s="10">
        <v>40.4</v>
      </c>
      <c r="F1486" s="9">
        <f t="shared" si="88"/>
        <v>12.159437652220806</v>
      </c>
      <c r="G1486" s="9">
        <f t="shared" si="89"/>
        <v>12.732395447351628</v>
      </c>
      <c r="H1486" s="10">
        <f t="shared" si="90"/>
        <v>12.859719401825144</v>
      </c>
      <c r="K1486" s="11">
        <f>_xlfn.XLOOKUP(F1486,Ref!$B$3:$B$12,Ref!$C$3:$C$12,"",1)</f>
        <v>1</v>
      </c>
      <c r="L1486" s="11">
        <f>_xlfn.XLOOKUP(G1486,Ref!$B$3:$B$12,Ref!$C$3:$C$12,"",1)</f>
        <v>1</v>
      </c>
      <c r="M1486" s="11">
        <f>_xlfn.XLOOKUP(H1486,Ref!$B$3:$B$12,Ref!$C$3:$C$12,"",1)</f>
        <v>1</v>
      </c>
    </row>
    <row r="1487" spans="2:13" x14ac:dyDescent="0.25">
      <c r="B1487" s="15" t="s">
        <v>10</v>
      </c>
      <c r="C1487" s="9">
        <v>33.700000000000003</v>
      </c>
      <c r="D1487" s="9">
        <v>36.200000000000003</v>
      </c>
      <c r="E1487" s="10">
        <v>36.9</v>
      </c>
      <c r="F1487" s="9">
        <f t="shared" si="88"/>
        <v>10.727043164393747</v>
      </c>
      <c r="G1487" s="9">
        <f t="shared" si="89"/>
        <v>11.522817879853223</v>
      </c>
      <c r="H1487" s="10">
        <f t="shared" si="90"/>
        <v>11.745634800181875</v>
      </c>
      <c r="K1487" s="11">
        <f>_xlfn.XLOOKUP(F1487,Ref!$B$3:$B$12,Ref!$C$3:$C$12,"",1)</f>
        <v>1</v>
      </c>
      <c r="L1487" s="11">
        <f>_xlfn.XLOOKUP(G1487,Ref!$B$3:$B$12,Ref!$C$3:$C$12,"",1)</f>
        <v>1</v>
      </c>
      <c r="M1487" s="11">
        <f>_xlfn.XLOOKUP(H1487,Ref!$B$3:$B$12,Ref!$C$3:$C$12,"",1)</f>
        <v>1</v>
      </c>
    </row>
    <row r="1488" spans="2:13" x14ac:dyDescent="0.25">
      <c r="B1488" s="15" t="s">
        <v>41</v>
      </c>
      <c r="C1488" s="9">
        <v>45.5</v>
      </c>
      <c r="D1488" s="9">
        <v>48.7</v>
      </c>
      <c r="E1488" s="10">
        <v>52.9</v>
      </c>
      <c r="F1488" s="9">
        <f t="shared" si="88"/>
        <v>14.483099821362476</v>
      </c>
      <c r="G1488" s="9">
        <f t="shared" si="89"/>
        <v>15.501691457150606</v>
      </c>
      <c r="H1488" s="10">
        <f t="shared" si="90"/>
        <v>16.838592979122527</v>
      </c>
      <c r="K1488" s="11">
        <f>_xlfn.XLOOKUP(F1488,Ref!$B$3:$B$12,Ref!$C$3:$C$12,"",1)</f>
        <v>1</v>
      </c>
      <c r="L1488" s="11">
        <f>_xlfn.XLOOKUP(G1488,Ref!$B$3:$B$12,Ref!$C$3:$C$12,"",1)</f>
        <v>1</v>
      </c>
      <c r="M1488" s="11">
        <f>_xlfn.XLOOKUP(H1488,Ref!$B$3:$B$12,Ref!$C$3:$C$12,"",1)</f>
        <v>1</v>
      </c>
    </row>
    <row r="1489" spans="2:13" x14ac:dyDescent="0.25">
      <c r="B1489" s="15" t="s">
        <v>57</v>
      </c>
      <c r="C1489" s="9">
        <v>50.9</v>
      </c>
      <c r="D1489" s="9">
        <v>57.4</v>
      </c>
      <c r="E1489" s="10">
        <v>74.099999999999994</v>
      </c>
      <c r="F1489" s="9">
        <f t="shared" si="88"/>
        <v>16.201973206754946</v>
      </c>
      <c r="G1489" s="9">
        <f t="shared" si="89"/>
        <v>18.270987466949585</v>
      </c>
      <c r="H1489" s="10">
        <f t="shared" si="90"/>
        <v>23.586762566218887</v>
      </c>
      <c r="K1489" s="11">
        <f>_xlfn.XLOOKUP(F1489,Ref!$B$3:$B$12,Ref!$C$3:$C$12,"",1)</f>
        <v>1</v>
      </c>
      <c r="L1489" s="11">
        <f>_xlfn.XLOOKUP(G1489,Ref!$B$3:$B$12,Ref!$C$3:$C$12,"",1)</f>
        <v>1</v>
      </c>
      <c r="M1489" s="11">
        <f>_xlfn.XLOOKUP(H1489,Ref!$B$3:$B$12,Ref!$C$3:$C$12,"",1)</f>
        <v>2</v>
      </c>
    </row>
    <row r="1490" spans="2:13" x14ac:dyDescent="0.25">
      <c r="B1490" s="15" t="s">
        <v>15</v>
      </c>
      <c r="C1490" s="9">
        <v>40</v>
      </c>
      <c r="D1490" s="9">
        <v>40.6</v>
      </c>
      <c r="E1490" s="10">
        <v>0</v>
      </c>
      <c r="F1490" s="9">
        <f t="shared" si="88"/>
        <v>12.732395447351628</v>
      </c>
      <c r="G1490" s="9">
        <f t="shared" si="89"/>
        <v>12.923381379061903</v>
      </c>
      <c r="H1490" s="10">
        <f t="shared" si="90"/>
        <v>0</v>
      </c>
      <c r="K1490" s="11">
        <f>_xlfn.XLOOKUP(F1490,Ref!$B$3:$B$12,Ref!$C$3:$C$12,"",1)</f>
        <v>1</v>
      </c>
      <c r="L1490" s="11">
        <f>_xlfn.XLOOKUP(G1490,Ref!$B$3:$B$12,Ref!$C$3:$C$12,"",1)</f>
        <v>1</v>
      </c>
      <c r="M1490" s="11" t="str">
        <f>_xlfn.XLOOKUP(H1490,Ref!$B$3:$B$12,Ref!$C$3:$C$12,"",1)</f>
        <v>Morta</v>
      </c>
    </row>
    <row r="1491" spans="2:13" x14ac:dyDescent="0.25">
      <c r="B1491" s="15" t="s">
        <v>8</v>
      </c>
      <c r="C1491" s="9">
        <v>60.5</v>
      </c>
      <c r="D1491" s="9">
        <v>65.7</v>
      </c>
      <c r="E1491" s="10">
        <v>69</v>
      </c>
      <c r="F1491" s="9">
        <f t="shared" si="88"/>
        <v>19.257748114119337</v>
      </c>
      <c r="G1491" s="9">
        <f t="shared" si="89"/>
        <v>20.912959522275049</v>
      </c>
      <c r="H1491" s="10">
        <f t="shared" si="90"/>
        <v>21.963382146681557</v>
      </c>
      <c r="K1491" s="11">
        <f>_xlfn.XLOOKUP(F1491,Ref!$B$3:$B$12,Ref!$C$3:$C$12,"",1)</f>
        <v>1</v>
      </c>
      <c r="L1491" s="11">
        <f>_xlfn.XLOOKUP(G1491,Ref!$B$3:$B$12,Ref!$C$3:$C$12,"",1)</f>
        <v>2</v>
      </c>
      <c r="M1491" s="11">
        <f>_xlfn.XLOOKUP(H1491,Ref!$B$3:$B$12,Ref!$C$3:$C$12,"",1)</f>
        <v>2</v>
      </c>
    </row>
    <row r="1492" spans="2:13" x14ac:dyDescent="0.25">
      <c r="B1492" s="15" t="s">
        <v>6</v>
      </c>
      <c r="C1492" s="9">
        <v>40</v>
      </c>
      <c r="D1492" s="9">
        <v>40.4</v>
      </c>
      <c r="E1492" s="10">
        <v>40.299999999999997</v>
      </c>
      <c r="F1492" s="9">
        <f t="shared" si="88"/>
        <v>12.732395447351628</v>
      </c>
      <c r="G1492" s="9">
        <f t="shared" si="89"/>
        <v>12.859719401825144</v>
      </c>
      <c r="H1492" s="10">
        <f t="shared" si="90"/>
        <v>12.827888413206765</v>
      </c>
      <c r="K1492" s="11">
        <f>_xlfn.XLOOKUP(F1492,Ref!$B$3:$B$12,Ref!$C$3:$C$12,"",1)</f>
        <v>1</v>
      </c>
      <c r="L1492" s="11">
        <f>_xlfn.XLOOKUP(G1492,Ref!$B$3:$B$12,Ref!$C$3:$C$12,"",1)</f>
        <v>1</v>
      </c>
      <c r="M1492" s="11">
        <f>_xlfn.XLOOKUP(H1492,Ref!$B$3:$B$12,Ref!$C$3:$C$12,"",1)</f>
        <v>1</v>
      </c>
    </row>
    <row r="1493" spans="2:13" x14ac:dyDescent="0.25">
      <c r="B1493" s="15" t="s">
        <v>25</v>
      </c>
      <c r="C1493" s="9">
        <v>54.3</v>
      </c>
      <c r="D1493" s="9">
        <v>56.5</v>
      </c>
      <c r="E1493" s="10">
        <v>57.3</v>
      </c>
      <c r="F1493" s="9">
        <f t="shared" si="88"/>
        <v>17.284226819779832</v>
      </c>
      <c r="G1493" s="9">
        <f t="shared" si="89"/>
        <v>17.984508569384175</v>
      </c>
      <c r="H1493" s="10">
        <f t="shared" si="90"/>
        <v>18.239156478331207</v>
      </c>
      <c r="K1493" s="11">
        <f>_xlfn.XLOOKUP(F1493,Ref!$B$3:$B$12,Ref!$C$3:$C$12,"",1)</f>
        <v>1</v>
      </c>
      <c r="L1493" s="11">
        <f>_xlfn.XLOOKUP(G1493,Ref!$B$3:$B$12,Ref!$C$3:$C$12,"",1)</f>
        <v>1</v>
      </c>
      <c r="M1493" s="11">
        <f>_xlfn.XLOOKUP(H1493,Ref!$B$3:$B$12,Ref!$C$3:$C$12,"",1)</f>
        <v>1</v>
      </c>
    </row>
    <row r="1494" spans="2:13" x14ac:dyDescent="0.25">
      <c r="B1494" s="15" t="s">
        <v>25</v>
      </c>
      <c r="C1494" s="9">
        <v>48</v>
      </c>
      <c r="D1494" s="9">
        <v>48.5</v>
      </c>
      <c r="E1494" s="10">
        <v>48.3</v>
      </c>
      <c r="F1494" s="9">
        <f t="shared" si="88"/>
        <v>15.278874536821952</v>
      </c>
      <c r="G1494" s="9">
        <f t="shared" si="89"/>
        <v>15.438029479913848</v>
      </c>
      <c r="H1494" s="10">
        <f t="shared" si="90"/>
        <v>15.374367502677089</v>
      </c>
      <c r="K1494" s="11">
        <f>_xlfn.XLOOKUP(F1494,Ref!$B$3:$B$12,Ref!$C$3:$C$12,"",1)</f>
        <v>1</v>
      </c>
      <c r="L1494" s="11">
        <f>_xlfn.XLOOKUP(G1494,Ref!$B$3:$B$12,Ref!$C$3:$C$12,"",1)</f>
        <v>1</v>
      </c>
      <c r="M1494" s="11">
        <f>_xlfn.XLOOKUP(H1494,Ref!$B$3:$B$12,Ref!$C$3:$C$12,"",1)</f>
        <v>1</v>
      </c>
    </row>
    <row r="1495" spans="2:13" x14ac:dyDescent="0.25">
      <c r="B1495" s="15" t="s">
        <v>25</v>
      </c>
      <c r="C1495" s="9">
        <v>49</v>
      </c>
      <c r="D1495" s="9">
        <v>52</v>
      </c>
      <c r="E1495" s="10">
        <v>54</v>
      </c>
      <c r="F1495" s="9">
        <f t="shared" si="88"/>
        <v>15.597184423005743</v>
      </c>
      <c r="G1495" s="9">
        <f t="shared" si="89"/>
        <v>16.552114081557114</v>
      </c>
      <c r="H1495" s="10">
        <f t="shared" si="90"/>
        <v>17.188733853924695</v>
      </c>
      <c r="K1495" s="11">
        <f>_xlfn.XLOOKUP(F1495,Ref!$B$3:$B$12,Ref!$C$3:$C$12,"",1)</f>
        <v>1</v>
      </c>
      <c r="L1495" s="11">
        <f>_xlfn.XLOOKUP(G1495,Ref!$B$3:$B$12,Ref!$C$3:$C$12,"",1)</f>
        <v>1</v>
      </c>
      <c r="M1495" s="11">
        <f>_xlfn.XLOOKUP(H1495,Ref!$B$3:$B$12,Ref!$C$3:$C$12,"",1)</f>
        <v>1</v>
      </c>
    </row>
    <row r="1496" spans="2:13" x14ac:dyDescent="0.25">
      <c r="B1496" s="15" t="s">
        <v>12</v>
      </c>
      <c r="C1496" s="9"/>
      <c r="D1496" s="9">
        <v>33.799999999999997</v>
      </c>
      <c r="E1496" s="10">
        <v>35.700000000000003</v>
      </c>
      <c r="F1496" s="9" t="str">
        <f t="shared" si="88"/>
        <v/>
      </c>
      <c r="G1496" s="9">
        <f t="shared" si="89"/>
        <v>10.758874153012124</v>
      </c>
      <c r="H1496" s="10">
        <f t="shared" si="90"/>
        <v>11.363662936761328</v>
      </c>
      <c r="K1496" s="11" t="str">
        <f>_xlfn.XLOOKUP(F1496,Ref!$B$3:$B$12,Ref!$C$3:$C$12,"",1)</f>
        <v/>
      </c>
      <c r="L1496" s="11">
        <f>_xlfn.XLOOKUP(G1496,Ref!$B$3:$B$12,Ref!$C$3:$C$12,"",1)</f>
        <v>1</v>
      </c>
      <c r="M1496" s="11">
        <f>_xlfn.XLOOKUP(H1496,Ref!$B$3:$B$12,Ref!$C$3:$C$12,"",1)</f>
        <v>1</v>
      </c>
    </row>
    <row r="1497" spans="2:13" x14ac:dyDescent="0.25">
      <c r="B1497" s="15" t="s">
        <v>41</v>
      </c>
      <c r="C1497" s="9"/>
      <c r="D1497" s="9">
        <v>33</v>
      </c>
      <c r="E1497" s="10">
        <v>0</v>
      </c>
      <c r="F1497" s="9" t="str">
        <f t="shared" si="88"/>
        <v/>
      </c>
      <c r="G1497" s="9">
        <f t="shared" si="89"/>
        <v>10.504226244065093</v>
      </c>
      <c r="H1497" s="10">
        <f t="shared" si="90"/>
        <v>0</v>
      </c>
      <c r="K1497" s="11" t="str">
        <f>_xlfn.XLOOKUP(F1497,Ref!$B$3:$B$12,Ref!$C$3:$C$12,"",1)</f>
        <v/>
      </c>
      <c r="L1497" s="11">
        <f>_xlfn.XLOOKUP(G1497,Ref!$B$3:$B$12,Ref!$C$3:$C$12,"",1)</f>
        <v>1</v>
      </c>
      <c r="M1497" s="11" t="str">
        <f>_xlfn.XLOOKUP(H1497,Ref!$B$3:$B$12,Ref!$C$3:$C$12,"",1)</f>
        <v>Morta</v>
      </c>
    </row>
    <row r="1498" spans="2:13" x14ac:dyDescent="0.25">
      <c r="B1498" s="15" t="s">
        <v>24</v>
      </c>
      <c r="C1498" s="9">
        <v>69.7</v>
      </c>
      <c r="D1498" s="9">
        <v>76.5</v>
      </c>
      <c r="E1498" s="10">
        <v>86.6</v>
      </c>
      <c r="F1498" s="9">
        <f t="shared" si="88"/>
        <v>22.186199067010211</v>
      </c>
      <c r="G1498" s="9">
        <f t="shared" si="89"/>
        <v>24.350706293059986</v>
      </c>
      <c r="H1498" s="10">
        <f t="shared" si="90"/>
        <v>27.565636143516272</v>
      </c>
      <c r="K1498" s="11">
        <f>_xlfn.XLOOKUP(F1498,Ref!$B$3:$B$12,Ref!$C$3:$C$12,"",1)</f>
        <v>2</v>
      </c>
      <c r="L1498" s="11">
        <f>_xlfn.XLOOKUP(G1498,Ref!$B$3:$B$12,Ref!$C$3:$C$12,"",1)</f>
        <v>2</v>
      </c>
      <c r="M1498" s="11">
        <f>_xlfn.XLOOKUP(H1498,Ref!$B$3:$B$12,Ref!$C$3:$C$12,"",1)</f>
        <v>2</v>
      </c>
    </row>
    <row r="1499" spans="2:13" x14ac:dyDescent="0.25">
      <c r="B1499" s="15" t="s">
        <v>12</v>
      </c>
      <c r="C1499" s="9"/>
      <c r="D1499" s="9">
        <v>34.1</v>
      </c>
      <c r="E1499" s="10">
        <v>36.4</v>
      </c>
      <c r="F1499" s="9" t="str">
        <f t="shared" si="88"/>
        <v/>
      </c>
      <c r="G1499" s="9">
        <f t="shared" si="89"/>
        <v>10.854367118867263</v>
      </c>
      <c r="H1499" s="10">
        <f t="shared" si="90"/>
        <v>11.58647985708998</v>
      </c>
      <c r="K1499" s="11" t="str">
        <f>_xlfn.XLOOKUP(F1499,Ref!$B$3:$B$12,Ref!$C$3:$C$12,"",1)</f>
        <v/>
      </c>
      <c r="L1499" s="11">
        <f>_xlfn.XLOOKUP(G1499,Ref!$B$3:$B$12,Ref!$C$3:$C$12,"",1)</f>
        <v>1</v>
      </c>
      <c r="M1499" s="11">
        <f>_xlfn.XLOOKUP(H1499,Ref!$B$3:$B$12,Ref!$C$3:$C$12,"",1)</f>
        <v>1</v>
      </c>
    </row>
    <row r="1500" spans="2:13" x14ac:dyDescent="0.25">
      <c r="B1500" s="15" t="s">
        <v>41</v>
      </c>
      <c r="C1500" s="9"/>
      <c r="D1500" s="9"/>
      <c r="E1500" s="10">
        <v>34.5</v>
      </c>
      <c r="F1500" s="9" t="str">
        <f t="shared" si="88"/>
        <v/>
      </c>
      <c r="G1500" s="9" t="str">
        <f t="shared" si="89"/>
        <v/>
      </c>
      <c r="H1500" s="10">
        <f t="shared" si="90"/>
        <v>10.981691073340778</v>
      </c>
      <c r="K1500" s="11" t="str">
        <f>_xlfn.XLOOKUP(F1500,Ref!$B$3:$B$12,Ref!$C$3:$C$12,"",1)</f>
        <v/>
      </c>
      <c r="L1500" s="11" t="str">
        <f>_xlfn.XLOOKUP(G1500,Ref!$B$3:$B$12,Ref!$C$3:$C$12,"",1)</f>
        <v/>
      </c>
      <c r="M1500" s="11">
        <f>_xlfn.XLOOKUP(H1500,Ref!$B$3:$B$12,Ref!$C$3:$C$12,"",1)</f>
        <v>1</v>
      </c>
    </row>
    <row r="1501" spans="2:13" x14ac:dyDescent="0.25">
      <c r="B1501" s="15" t="s">
        <v>54</v>
      </c>
      <c r="C1501" s="9">
        <v>46.5</v>
      </c>
      <c r="D1501" s="9">
        <v>49.6</v>
      </c>
      <c r="E1501" s="10">
        <v>52.1</v>
      </c>
      <c r="F1501" s="9">
        <f t="shared" si="88"/>
        <v>14.801409707546267</v>
      </c>
      <c r="G1501" s="9">
        <f t="shared" si="89"/>
        <v>15.788170354716019</v>
      </c>
      <c r="H1501" s="10">
        <f t="shared" si="90"/>
        <v>16.583945070175496</v>
      </c>
      <c r="K1501" s="11">
        <f>_xlfn.XLOOKUP(F1501,Ref!$B$3:$B$12,Ref!$C$3:$C$12,"",1)</f>
        <v>1</v>
      </c>
      <c r="L1501" s="11">
        <f>_xlfn.XLOOKUP(G1501,Ref!$B$3:$B$12,Ref!$C$3:$C$12,"",1)</f>
        <v>1</v>
      </c>
      <c r="M1501" s="11">
        <f>_xlfn.XLOOKUP(H1501,Ref!$B$3:$B$12,Ref!$C$3:$C$12,"",1)</f>
        <v>1</v>
      </c>
    </row>
    <row r="1502" spans="2:13" x14ac:dyDescent="0.25">
      <c r="B1502" s="15" t="s">
        <v>44</v>
      </c>
      <c r="C1502" s="9">
        <v>33.6</v>
      </c>
      <c r="D1502" s="9">
        <v>33.9</v>
      </c>
      <c r="E1502" s="10">
        <v>34.6</v>
      </c>
      <c r="F1502" s="9">
        <f t="shared" si="88"/>
        <v>10.695212175775367</v>
      </c>
      <c r="G1502" s="9">
        <f t="shared" si="89"/>
        <v>10.790705141630504</v>
      </c>
      <c r="H1502" s="10">
        <f t="shared" si="90"/>
        <v>11.013522061959158</v>
      </c>
      <c r="K1502" s="11">
        <f>_xlfn.XLOOKUP(F1502,Ref!$B$3:$B$12,Ref!$C$3:$C$12,"",1)</f>
        <v>1</v>
      </c>
      <c r="L1502" s="11">
        <f>_xlfn.XLOOKUP(G1502,Ref!$B$3:$B$12,Ref!$C$3:$C$12,"",1)</f>
        <v>1</v>
      </c>
      <c r="M1502" s="11">
        <f>_xlfn.XLOOKUP(H1502,Ref!$B$3:$B$12,Ref!$C$3:$C$12,"",1)</f>
        <v>1</v>
      </c>
    </row>
    <row r="1503" spans="2:13" x14ac:dyDescent="0.25">
      <c r="B1503" s="15" t="s">
        <v>8</v>
      </c>
      <c r="C1503" s="9">
        <v>47</v>
      </c>
      <c r="D1503" s="9">
        <v>50.8</v>
      </c>
      <c r="E1503" s="10">
        <v>52.2</v>
      </c>
      <c r="F1503" s="9">
        <f t="shared" si="88"/>
        <v>14.960564650638162</v>
      </c>
      <c r="G1503" s="9">
        <f t="shared" si="89"/>
        <v>16.170142218136565</v>
      </c>
      <c r="H1503" s="10">
        <f t="shared" si="90"/>
        <v>16.615776058793873</v>
      </c>
      <c r="K1503" s="11">
        <f>_xlfn.XLOOKUP(F1503,Ref!$B$3:$B$12,Ref!$C$3:$C$12,"",1)</f>
        <v>1</v>
      </c>
      <c r="L1503" s="11">
        <f>_xlfn.XLOOKUP(G1503,Ref!$B$3:$B$12,Ref!$C$3:$C$12,"",1)</f>
        <v>1</v>
      </c>
      <c r="M1503" s="11">
        <f>_xlfn.XLOOKUP(H1503,Ref!$B$3:$B$12,Ref!$C$3:$C$12,"",1)</f>
        <v>1</v>
      </c>
    </row>
    <row r="1504" spans="2:13" x14ac:dyDescent="0.25">
      <c r="B1504" s="15" t="s">
        <v>6</v>
      </c>
      <c r="C1504" s="9">
        <v>34.9</v>
      </c>
      <c r="D1504" s="9">
        <v>35.9</v>
      </c>
      <c r="E1504" s="10">
        <v>36.5</v>
      </c>
      <c r="F1504" s="9">
        <f t="shared" si="88"/>
        <v>11.109015027814294</v>
      </c>
      <c r="G1504" s="9">
        <f t="shared" si="89"/>
        <v>11.427324913998085</v>
      </c>
      <c r="H1504" s="10">
        <f t="shared" si="90"/>
        <v>11.618310845708359</v>
      </c>
      <c r="K1504" s="11">
        <f>_xlfn.XLOOKUP(F1504,Ref!$B$3:$B$12,Ref!$C$3:$C$12,"",1)</f>
        <v>1</v>
      </c>
      <c r="L1504" s="11">
        <f>_xlfn.XLOOKUP(G1504,Ref!$B$3:$B$12,Ref!$C$3:$C$12,"",1)</f>
        <v>1</v>
      </c>
      <c r="M1504" s="11">
        <f>_xlfn.XLOOKUP(H1504,Ref!$B$3:$B$12,Ref!$C$3:$C$12,"",1)</f>
        <v>1</v>
      </c>
    </row>
    <row r="1505" spans="2:13" x14ac:dyDescent="0.25">
      <c r="B1505" s="15" t="s">
        <v>2</v>
      </c>
      <c r="C1505" s="9">
        <v>38</v>
      </c>
      <c r="D1505" s="9">
        <v>38</v>
      </c>
      <c r="E1505" s="10">
        <v>38</v>
      </c>
      <c r="F1505" s="9">
        <f t="shared" si="88"/>
        <v>12.095775674984045</v>
      </c>
      <c r="G1505" s="9">
        <f t="shared" si="89"/>
        <v>12.095775674984045</v>
      </c>
      <c r="H1505" s="10">
        <f t="shared" si="90"/>
        <v>12.095775674984045</v>
      </c>
      <c r="K1505" s="11">
        <f>_xlfn.XLOOKUP(F1505,Ref!$B$3:$B$12,Ref!$C$3:$C$12,"",1)</f>
        <v>1</v>
      </c>
      <c r="L1505" s="11">
        <f>_xlfn.XLOOKUP(G1505,Ref!$B$3:$B$12,Ref!$C$3:$C$12,"",1)</f>
        <v>1</v>
      </c>
      <c r="M1505" s="11">
        <f>_xlfn.XLOOKUP(H1505,Ref!$B$3:$B$12,Ref!$C$3:$C$12,"",1)</f>
        <v>1</v>
      </c>
    </row>
    <row r="1506" spans="2:13" x14ac:dyDescent="0.25">
      <c r="B1506" s="15" t="s">
        <v>7</v>
      </c>
      <c r="C1506" s="9">
        <v>90</v>
      </c>
      <c r="D1506" s="9">
        <v>110.8</v>
      </c>
      <c r="E1506" s="10">
        <v>117.8</v>
      </c>
      <c r="F1506" s="9">
        <f t="shared" si="88"/>
        <v>28.647889756541161</v>
      </c>
      <c r="G1506" s="9">
        <f t="shared" si="89"/>
        <v>35.268735389164007</v>
      </c>
      <c r="H1506" s="10">
        <f t="shared" si="90"/>
        <v>37.496904592450541</v>
      </c>
      <c r="K1506" s="11">
        <f>_xlfn.XLOOKUP(F1506,Ref!$B$3:$B$12,Ref!$C$3:$C$12,"",1)</f>
        <v>2</v>
      </c>
      <c r="L1506" s="11">
        <f>_xlfn.XLOOKUP(G1506,Ref!$B$3:$B$12,Ref!$C$3:$C$12,"",1)</f>
        <v>3</v>
      </c>
      <c r="M1506" s="11">
        <f>_xlfn.XLOOKUP(H1506,Ref!$B$3:$B$12,Ref!$C$3:$C$12,"",1)</f>
        <v>3</v>
      </c>
    </row>
    <row r="1507" spans="2:13" x14ac:dyDescent="0.25">
      <c r="B1507" s="15" t="s">
        <v>12</v>
      </c>
      <c r="C1507" s="9">
        <v>37</v>
      </c>
      <c r="D1507" s="9">
        <v>40.5</v>
      </c>
      <c r="E1507" s="10">
        <v>43.2</v>
      </c>
      <c r="F1507" s="9">
        <f t="shared" si="88"/>
        <v>11.777465788800255</v>
      </c>
      <c r="G1507" s="9">
        <f t="shared" si="89"/>
        <v>12.891550390443523</v>
      </c>
      <c r="H1507" s="10">
        <f t="shared" si="90"/>
        <v>13.750987083139758</v>
      </c>
      <c r="K1507" s="11">
        <f>_xlfn.XLOOKUP(F1507,Ref!$B$3:$B$12,Ref!$C$3:$C$12,"",1)</f>
        <v>1</v>
      </c>
      <c r="L1507" s="11">
        <f>_xlfn.XLOOKUP(G1507,Ref!$B$3:$B$12,Ref!$C$3:$C$12,"",1)</f>
        <v>1</v>
      </c>
      <c r="M1507" s="11">
        <f>_xlfn.XLOOKUP(H1507,Ref!$B$3:$B$12,Ref!$C$3:$C$12,"",1)</f>
        <v>1</v>
      </c>
    </row>
    <row r="1508" spans="2:13" x14ac:dyDescent="0.25">
      <c r="B1508" s="15" t="s">
        <v>51</v>
      </c>
      <c r="C1508" s="9">
        <v>34.700000000000003</v>
      </c>
      <c r="D1508" s="9">
        <v>35.9</v>
      </c>
      <c r="E1508" s="10">
        <v>0</v>
      </c>
      <c r="F1508" s="9">
        <f t="shared" si="88"/>
        <v>11.045353050577537</v>
      </c>
      <c r="G1508" s="9">
        <f t="shared" si="89"/>
        <v>11.427324913998085</v>
      </c>
      <c r="H1508" s="10">
        <f t="shared" si="90"/>
        <v>0</v>
      </c>
      <c r="K1508" s="11">
        <f>_xlfn.XLOOKUP(F1508,Ref!$B$3:$B$12,Ref!$C$3:$C$12,"",1)</f>
        <v>1</v>
      </c>
      <c r="L1508" s="11">
        <f>_xlfn.XLOOKUP(G1508,Ref!$B$3:$B$12,Ref!$C$3:$C$12,"",1)</f>
        <v>1</v>
      </c>
      <c r="M1508" s="11" t="str">
        <f>_xlfn.XLOOKUP(H1508,Ref!$B$3:$B$12,Ref!$C$3:$C$12,"",1)</f>
        <v>Morta</v>
      </c>
    </row>
    <row r="1509" spans="2:13" x14ac:dyDescent="0.25">
      <c r="B1509" s="15" t="s">
        <v>12</v>
      </c>
      <c r="C1509" s="9">
        <v>32.6</v>
      </c>
      <c r="D1509" s="9">
        <v>33.9</v>
      </c>
      <c r="E1509" s="10">
        <v>34.1</v>
      </c>
      <c r="F1509" s="9">
        <f t="shared" si="88"/>
        <v>10.376902289591577</v>
      </c>
      <c r="G1509" s="9">
        <f t="shared" si="89"/>
        <v>10.790705141630504</v>
      </c>
      <c r="H1509" s="10">
        <f t="shared" si="90"/>
        <v>10.854367118867263</v>
      </c>
      <c r="K1509" s="11">
        <f>_xlfn.XLOOKUP(F1509,Ref!$B$3:$B$12,Ref!$C$3:$C$12,"",1)</f>
        <v>1</v>
      </c>
      <c r="L1509" s="11">
        <f>_xlfn.XLOOKUP(G1509,Ref!$B$3:$B$12,Ref!$C$3:$C$12,"",1)</f>
        <v>1</v>
      </c>
      <c r="M1509" s="11">
        <f>_xlfn.XLOOKUP(H1509,Ref!$B$3:$B$12,Ref!$C$3:$C$12,"",1)</f>
        <v>1</v>
      </c>
    </row>
    <row r="1510" spans="2:13" x14ac:dyDescent="0.25">
      <c r="B1510" s="15" t="s">
        <v>58</v>
      </c>
      <c r="C1510" s="9">
        <v>40.799999999999997</v>
      </c>
      <c r="D1510" s="9">
        <v>44.3</v>
      </c>
      <c r="E1510" s="10">
        <v>46.8</v>
      </c>
      <c r="F1510" s="9">
        <f t="shared" si="88"/>
        <v>12.98704335629866</v>
      </c>
      <c r="G1510" s="9">
        <f t="shared" si="89"/>
        <v>14.101127957941927</v>
      </c>
      <c r="H1510" s="10">
        <f t="shared" si="90"/>
        <v>14.896902673401403</v>
      </c>
      <c r="K1510" s="11">
        <f>_xlfn.XLOOKUP(F1510,Ref!$B$3:$B$12,Ref!$C$3:$C$12,"",1)</f>
        <v>1</v>
      </c>
      <c r="L1510" s="11">
        <f>_xlfn.XLOOKUP(G1510,Ref!$B$3:$B$12,Ref!$C$3:$C$12,"",1)</f>
        <v>1</v>
      </c>
      <c r="M1510" s="11">
        <f>_xlfn.XLOOKUP(H1510,Ref!$B$3:$B$12,Ref!$C$3:$C$12,"",1)</f>
        <v>1</v>
      </c>
    </row>
    <row r="1511" spans="2:13" x14ac:dyDescent="0.25">
      <c r="B1511" s="15" t="s">
        <v>25</v>
      </c>
      <c r="C1511" s="9">
        <v>61</v>
      </c>
      <c r="D1511" s="9">
        <v>62</v>
      </c>
      <c r="E1511" s="10">
        <v>62.3</v>
      </c>
      <c r="F1511" s="9">
        <f t="shared" si="88"/>
        <v>19.416903057211233</v>
      </c>
      <c r="G1511" s="9">
        <f t="shared" si="89"/>
        <v>19.735212943395023</v>
      </c>
      <c r="H1511" s="10">
        <f t="shared" si="90"/>
        <v>19.83070590925016</v>
      </c>
      <c r="K1511" s="11">
        <f>_xlfn.XLOOKUP(F1511,Ref!$B$3:$B$12,Ref!$C$3:$C$12,"",1)</f>
        <v>1</v>
      </c>
      <c r="L1511" s="11">
        <f>_xlfn.XLOOKUP(G1511,Ref!$B$3:$B$12,Ref!$C$3:$C$12,"",1)</f>
        <v>1</v>
      </c>
      <c r="M1511" s="11">
        <f>_xlfn.XLOOKUP(H1511,Ref!$B$3:$B$12,Ref!$C$3:$C$12,"",1)</f>
        <v>1</v>
      </c>
    </row>
    <row r="1512" spans="2:13" x14ac:dyDescent="0.25">
      <c r="B1512" s="15" t="s">
        <v>25</v>
      </c>
      <c r="C1512" s="9">
        <v>32.4</v>
      </c>
      <c r="D1512" s="9">
        <v>33.1</v>
      </c>
      <c r="E1512" s="10">
        <v>33</v>
      </c>
      <c r="F1512" s="9">
        <f t="shared" si="88"/>
        <v>10.313240312354818</v>
      </c>
      <c r="G1512" s="9">
        <f t="shared" si="89"/>
        <v>10.536057232683472</v>
      </c>
      <c r="H1512" s="10">
        <f t="shared" si="90"/>
        <v>10.504226244065093</v>
      </c>
      <c r="K1512" s="11">
        <f>_xlfn.XLOOKUP(F1512,Ref!$B$3:$B$12,Ref!$C$3:$C$12,"",1)</f>
        <v>1</v>
      </c>
      <c r="L1512" s="11">
        <f>_xlfn.XLOOKUP(G1512,Ref!$B$3:$B$12,Ref!$C$3:$C$12,"",1)</f>
        <v>1</v>
      </c>
      <c r="M1512" s="11">
        <f>_xlfn.XLOOKUP(H1512,Ref!$B$3:$B$12,Ref!$C$3:$C$12,"",1)</f>
        <v>1</v>
      </c>
    </row>
    <row r="1513" spans="2:13" x14ac:dyDescent="0.25">
      <c r="B1513" s="15" t="s">
        <v>44</v>
      </c>
      <c r="C1513" s="9">
        <v>36.200000000000003</v>
      </c>
      <c r="D1513" s="9">
        <v>37.6</v>
      </c>
      <c r="E1513" s="10">
        <v>37.799999999999997</v>
      </c>
      <c r="F1513" s="9">
        <f t="shared" si="88"/>
        <v>11.522817879853223</v>
      </c>
      <c r="G1513" s="9">
        <f t="shared" si="89"/>
        <v>11.968451720510529</v>
      </c>
      <c r="H1513" s="10">
        <f t="shared" si="90"/>
        <v>12.032113697747286</v>
      </c>
      <c r="K1513" s="11">
        <f>_xlfn.XLOOKUP(F1513,Ref!$B$3:$B$12,Ref!$C$3:$C$12,"",1)</f>
        <v>1</v>
      </c>
      <c r="L1513" s="11">
        <f>_xlfn.XLOOKUP(G1513,Ref!$B$3:$B$12,Ref!$C$3:$C$12,"",1)</f>
        <v>1</v>
      </c>
      <c r="M1513" s="11">
        <f>_xlfn.XLOOKUP(H1513,Ref!$B$3:$B$12,Ref!$C$3:$C$12,"",1)</f>
        <v>1</v>
      </c>
    </row>
    <row r="1514" spans="2:13" x14ac:dyDescent="0.25">
      <c r="B1514" s="15" t="s">
        <v>22</v>
      </c>
      <c r="C1514" s="9">
        <v>45.5</v>
      </c>
      <c r="D1514" s="9">
        <v>46</v>
      </c>
      <c r="E1514" s="10">
        <v>46.1</v>
      </c>
      <c r="F1514" s="9">
        <f t="shared" si="88"/>
        <v>14.483099821362476</v>
      </c>
      <c r="G1514" s="9">
        <f t="shared" si="89"/>
        <v>14.642254764454371</v>
      </c>
      <c r="H1514" s="10">
        <f t="shared" si="90"/>
        <v>14.674085753072751</v>
      </c>
      <c r="K1514" s="11">
        <f>_xlfn.XLOOKUP(F1514,Ref!$B$3:$B$12,Ref!$C$3:$C$12,"",1)</f>
        <v>1</v>
      </c>
      <c r="L1514" s="11">
        <f>_xlfn.XLOOKUP(G1514,Ref!$B$3:$B$12,Ref!$C$3:$C$12,"",1)</f>
        <v>1</v>
      </c>
      <c r="M1514" s="11">
        <f>_xlfn.XLOOKUP(H1514,Ref!$B$3:$B$12,Ref!$C$3:$C$12,"",1)</f>
        <v>1</v>
      </c>
    </row>
    <row r="1515" spans="2:13" x14ac:dyDescent="0.25">
      <c r="B1515" s="15" t="s">
        <v>12</v>
      </c>
      <c r="C1515" s="9">
        <v>35.299999999999997</v>
      </c>
      <c r="D1515" s="9">
        <v>38.700000000000003</v>
      </c>
      <c r="E1515" s="10">
        <v>42.3</v>
      </c>
      <c r="F1515" s="9">
        <f t="shared" si="88"/>
        <v>11.23633898228781</v>
      </c>
      <c r="G1515" s="9">
        <f t="shared" si="89"/>
        <v>12.318592595312701</v>
      </c>
      <c r="H1515" s="10">
        <f t="shared" si="90"/>
        <v>13.464508185574346</v>
      </c>
      <c r="K1515" s="11">
        <f>_xlfn.XLOOKUP(F1515,Ref!$B$3:$B$12,Ref!$C$3:$C$12,"",1)</f>
        <v>1</v>
      </c>
      <c r="L1515" s="11">
        <f>_xlfn.XLOOKUP(G1515,Ref!$B$3:$B$12,Ref!$C$3:$C$12,"",1)</f>
        <v>1</v>
      </c>
      <c r="M1515" s="11">
        <f>_xlfn.XLOOKUP(H1515,Ref!$B$3:$B$12,Ref!$C$3:$C$12,"",1)</f>
        <v>1</v>
      </c>
    </row>
    <row r="1516" spans="2:13" x14ac:dyDescent="0.25">
      <c r="B1516" s="15" t="s">
        <v>28</v>
      </c>
      <c r="C1516" s="9">
        <v>32.4</v>
      </c>
      <c r="D1516" s="9">
        <v>33.6</v>
      </c>
      <c r="E1516" s="10">
        <v>34.5</v>
      </c>
      <c r="F1516" s="9">
        <f t="shared" si="88"/>
        <v>10.313240312354818</v>
      </c>
      <c r="G1516" s="9">
        <f t="shared" si="89"/>
        <v>10.695212175775367</v>
      </c>
      <c r="H1516" s="10">
        <f t="shared" si="90"/>
        <v>10.981691073340778</v>
      </c>
      <c r="K1516" s="11">
        <f>_xlfn.XLOOKUP(F1516,Ref!$B$3:$B$12,Ref!$C$3:$C$12,"",1)</f>
        <v>1</v>
      </c>
      <c r="L1516" s="11">
        <f>_xlfn.XLOOKUP(G1516,Ref!$B$3:$B$12,Ref!$C$3:$C$12,"",1)</f>
        <v>1</v>
      </c>
      <c r="M1516" s="11">
        <f>_xlfn.XLOOKUP(H1516,Ref!$B$3:$B$12,Ref!$C$3:$C$12,"",1)</f>
        <v>1</v>
      </c>
    </row>
    <row r="1517" spans="2:13" x14ac:dyDescent="0.25">
      <c r="B1517" s="15" t="s">
        <v>28</v>
      </c>
      <c r="C1517" s="9">
        <v>31.7</v>
      </c>
      <c r="D1517" s="9">
        <v>32.5</v>
      </c>
      <c r="E1517" s="10">
        <v>33.9</v>
      </c>
      <c r="F1517" s="9">
        <f t="shared" si="88"/>
        <v>10.090423392026164</v>
      </c>
      <c r="G1517" s="9">
        <f t="shared" si="89"/>
        <v>10.345071300973197</v>
      </c>
      <c r="H1517" s="10">
        <f t="shared" si="90"/>
        <v>10.790705141630504</v>
      </c>
      <c r="K1517" s="11">
        <f>_xlfn.XLOOKUP(F1517,Ref!$B$3:$B$12,Ref!$C$3:$C$12,"",1)</f>
        <v>1</v>
      </c>
      <c r="L1517" s="11">
        <f>_xlfn.XLOOKUP(G1517,Ref!$B$3:$B$12,Ref!$C$3:$C$12,"",1)</f>
        <v>1</v>
      </c>
      <c r="M1517" s="11">
        <f>_xlfn.XLOOKUP(H1517,Ref!$B$3:$B$12,Ref!$C$3:$C$12,"",1)</f>
        <v>1</v>
      </c>
    </row>
    <row r="1518" spans="2:13" x14ac:dyDescent="0.25">
      <c r="B1518" s="15" t="s">
        <v>28</v>
      </c>
      <c r="C1518" s="9">
        <v>32.9</v>
      </c>
      <c r="D1518" s="9">
        <v>34.200000000000003</v>
      </c>
      <c r="E1518" s="10">
        <v>32.6</v>
      </c>
      <c r="F1518" s="9">
        <f t="shared" si="88"/>
        <v>10.472395255446713</v>
      </c>
      <c r="G1518" s="9">
        <f t="shared" si="89"/>
        <v>10.886198107485642</v>
      </c>
      <c r="H1518" s="10">
        <f t="shared" si="90"/>
        <v>10.376902289591577</v>
      </c>
      <c r="K1518" s="11">
        <f>_xlfn.XLOOKUP(F1518,Ref!$B$3:$B$12,Ref!$C$3:$C$12,"",1)</f>
        <v>1</v>
      </c>
      <c r="L1518" s="11">
        <f>_xlfn.XLOOKUP(G1518,Ref!$B$3:$B$12,Ref!$C$3:$C$12,"",1)</f>
        <v>1</v>
      </c>
      <c r="M1518" s="11">
        <f>_xlfn.XLOOKUP(H1518,Ref!$B$3:$B$12,Ref!$C$3:$C$12,"",1)</f>
        <v>1</v>
      </c>
    </row>
    <row r="1519" spans="2:13" x14ac:dyDescent="0.25">
      <c r="B1519" s="15" t="s">
        <v>41</v>
      </c>
      <c r="C1519" s="9">
        <v>49.4</v>
      </c>
      <c r="D1519" s="9">
        <v>53.8</v>
      </c>
      <c r="E1519" s="10">
        <v>58.1</v>
      </c>
      <c r="F1519" s="9">
        <f t="shared" si="88"/>
        <v>15.724508377479259</v>
      </c>
      <c r="G1519" s="9">
        <f t="shared" si="89"/>
        <v>17.125071876687937</v>
      </c>
      <c r="H1519" s="10">
        <f t="shared" si="90"/>
        <v>18.493804387278239</v>
      </c>
      <c r="K1519" s="11">
        <f>_xlfn.XLOOKUP(F1519,Ref!$B$3:$B$12,Ref!$C$3:$C$12,"",1)</f>
        <v>1</v>
      </c>
      <c r="L1519" s="11">
        <f>_xlfn.XLOOKUP(G1519,Ref!$B$3:$B$12,Ref!$C$3:$C$12,"",1)</f>
        <v>1</v>
      </c>
      <c r="M1519" s="11">
        <f>_xlfn.XLOOKUP(H1519,Ref!$B$3:$B$12,Ref!$C$3:$C$12,"",1)</f>
        <v>1</v>
      </c>
    </row>
    <row r="1520" spans="2:13" x14ac:dyDescent="0.25">
      <c r="B1520" s="15" t="s">
        <v>25</v>
      </c>
      <c r="C1520" s="9">
        <v>44.8</v>
      </c>
      <c r="D1520" s="9">
        <v>47.3</v>
      </c>
      <c r="E1520" s="10">
        <v>48</v>
      </c>
      <c r="F1520" s="9">
        <f t="shared" si="88"/>
        <v>14.260282901033822</v>
      </c>
      <c r="G1520" s="9">
        <f t="shared" si="89"/>
        <v>15.056057616493298</v>
      </c>
      <c r="H1520" s="10">
        <f t="shared" si="90"/>
        <v>15.278874536821952</v>
      </c>
      <c r="K1520" s="11">
        <f>_xlfn.XLOOKUP(F1520,Ref!$B$3:$B$12,Ref!$C$3:$C$12,"",1)</f>
        <v>1</v>
      </c>
      <c r="L1520" s="11">
        <f>_xlfn.XLOOKUP(G1520,Ref!$B$3:$B$12,Ref!$C$3:$C$12,"",1)</f>
        <v>1</v>
      </c>
      <c r="M1520" s="11">
        <f>_xlfn.XLOOKUP(H1520,Ref!$B$3:$B$12,Ref!$C$3:$C$12,"",1)</f>
        <v>1</v>
      </c>
    </row>
    <row r="1521" spans="2:13" x14ac:dyDescent="0.25">
      <c r="B1521" s="15" t="s">
        <v>80</v>
      </c>
      <c r="C1521" s="9">
        <v>60.5</v>
      </c>
      <c r="D1521" s="9">
        <v>0</v>
      </c>
      <c r="E1521" s="10">
        <v>0</v>
      </c>
      <c r="F1521" s="9">
        <f t="shared" si="88"/>
        <v>19.257748114119337</v>
      </c>
      <c r="G1521" s="9">
        <f t="shared" si="89"/>
        <v>0</v>
      </c>
      <c r="H1521" s="10">
        <f t="shared" si="90"/>
        <v>0</v>
      </c>
      <c r="K1521" s="11">
        <f>_xlfn.XLOOKUP(F1521,Ref!$B$3:$B$12,Ref!$C$3:$C$12,"",1)</f>
        <v>1</v>
      </c>
      <c r="L1521" s="11" t="str">
        <f>_xlfn.XLOOKUP(G1521,Ref!$B$3:$B$12,Ref!$C$3:$C$12,"",1)</f>
        <v>Morta</v>
      </c>
      <c r="M1521" s="11" t="str">
        <f>_xlfn.XLOOKUP(H1521,Ref!$B$3:$B$12,Ref!$C$3:$C$12,"",1)</f>
        <v>Morta</v>
      </c>
    </row>
    <row r="1522" spans="2:13" x14ac:dyDescent="0.25">
      <c r="B1522" s="15" t="s">
        <v>25</v>
      </c>
      <c r="C1522" s="9">
        <v>36.5</v>
      </c>
      <c r="D1522" s="9">
        <v>36.6</v>
      </c>
      <c r="E1522" s="10">
        <v>34</v>
      </c>
      <c r="F1522" s="9">
        <f t="shared" si="88"/>
        <v>11.618310845708359</v>
      </c>
      <c r="G1522" s="9">
        <f t="shared" si="89"/>
        <v>11.650141834326739</v>
      </c>
      <c r="H1522" s="10">
        <f t="shared" si="90"/>
        <v>10.822536130248883</v>
      </c>
      <c r="K1522" s="11">
        <f>_xlfn.XLOOKUP(F1522,Ref!$B$3:$B$12,Ref!$C$3:$C$12,"",1)</f>
        <v>1</v>
      </c>
      <c r="L1522" s="11">
        <f>_xlfn.XLOOKUP(G1522,Ref!$B$3:$B$12,Ref!$C$3:$C$12,"",1)</f>
        <v>1</v>
      </c>
      <c r="M1522" s="11">
        <f>_xlfn.XLOOKUP(H1522,Ref!$B$3:$B$12,Ref!$C$3:$C$12,"",1)</f>
        <v>1</v>
      </c>
    </row>
    <row r="1523" spans="2:13" x14ac:dyDescent="0.25">
      <c r="B1523" s="15" t="s">
        <v>6</v>
      </c>
      <c r="C1523" s="9">
        <v>36.4</v>
      </c>
      <c r="D1523" s="9">
        <v>37.200000000000003</v>
      </c>
      <c r="E1523" s="10">
        <v>39.5</v>
      </c>
      <c r="F1523" s="9">
        <f t="shared" si="88"/>
        <v>11.58647985708998</v>
      </c>
      <c r="G1523" s="9">
        <f t="shared" si="89"/>
        <v>11.841127766037014</v>
      </c>
      <c r="H1523" s="10">
        <f t="shared" si="90"/>
        <v>12.573240504259733</v>
      </c>
      <c r="K1523" s="11">
        <f>_xlfn.XLOOKUP(F1523,Ref!$B$3:$B$12,Ref!$C$3:$C$12,"",1)</f>
        <v>1</v>
      </c>
      <c r="L1523" s="11">
        <f>_xlfn.XLOOKUP(G1523,Ref!$B$3:$B$12,Ref!$C$3:$C$12,"",1)</f>
        <v>1</v>
      </c>
      <c r="M1523" s="11">
        <f>_xlfn.XLOOKUP(H1523,Ref!$B$3:$B$12,Ref!$C$3:$C$12,"",1)</f>
        <v>1</v>
      </c>
    </row>
    <row r="1524" spans="2:13" x14ac:dyDescent="0.25">
      <c r="B1524" s="15" t="s">
        <v>12</v>
      </c>
      <c r="C1524" s="9">
        <v>39.299999999999997</v>
      </c>
      <c r="D1524" s="9">
        <v>41.2</v>
      </c>
      <c r="E1524" s="10">
        <v>43.3</v>
      </c>
      <c r="F1524" s="9">
        <f t="shared" si="88"/>
        <v>12.509578527022972</v>
      </c>
      <c r="G1524" s="9">
        <f t="shared" si="89"/>
        <v>13.114367310772177</v>
      </c>
      <c r="H1524" s="10">
        <f t="shared" si="90"/>
        <v>13.782818071758136</v>
      </c>
      <c r="K1524" s="11">
        <f>_xlfn.XLOOKUP(F1524,Ref!$B$3:$B$12,Ref!$C$3:$C$12,"",1)</f>
        <v>1</v>
      </c>
      <c r="L1524" s="11">
        <f>_xlfn.XLOOKUP(G1524,Ref!$B$3:$B$12,Ref!$C$3:$C$12,"",1)</f>
        <v>1</v>
      </c>
      <c r="M1524" s="11">
        <f>_xlfn.XLOOKUP(H1524,Ref!$B$3:$B$12,Ref!$C$3:$C$12,"",1)</f>
        <v>1</v>
      </c>
    </row>
    <row r="1525" spans="2:13" x14ac:dyDescent="0.25">
      <c r="B1525" s="15" t="s">
        <v>8</v>
      </c>
      <c r="C1525" s="9">
        <v>51.6</v>
      </c>
      <c r="D1525" s="9">
        <v>52</v>
      </c>
      <c r="E1525" s="10">
        <v>53.5</v>
      </c>
      <c r="F1525" s="9">
        <f t="shared" si="88"/>
        <v>16.4247901270836</v>
      </c>
      <c r="G1525" s="9">
        <f t="shared" si="89"/>
        <v>16.552114081557114</v>
      </c>
      <c r="H1525" s="10">
        <f t="shared" si="90"/>
        <v>17.0295789108328</v>
      </c>
      <c r="K1525" s="11">
        <f>_xlfn.XLOOKUP(F1525,Ref!$B$3:$B$12,Ref!$C$3:$C$12,"",1)</f>
        <v>1</v>
      </c>
      <c r="L1525" s="11">
        <f>_xlfn.XLOOKUP(G1525,Ref!$B$3:$B$12,Ref!$C$3:$C$12,"",1)</f>
        <v>1</v>
      </c>
      <c r="M1525" s="11">
        <f>_xlfn.XLOOKUP(H1525,Ref!$B$3:$B$12,Ref!$C$3:$C$12,"",1)</f>
        <v>1</v>
      </c>
    </row>
    <row r="1526" spans="2:13" x14ac:dyDescent="0.25">
      <c r="B1526" s="15" t="s">
        <v>23</v>
      </c>
      <c r="C1526" s="9">
        <v>63.3</v>
      </c>
      <c r="D1526" s="9">
        <v>71</v>
      </c>
      <c r="E1526" s="10">
        <v>79.099999999999994</v>
      </c>
      <c r="F1526" s="9">
        <f t="shared" si="88"/>
        <v>20.14901579543395</v>
      </c>
      <c r="G1526" s="9">
        <f t="shared" si="89"/>
        <v>22.600001919049138</v>
      </c>
      <c r="H1526" s="10">
        <f t="shared" si="90"/>
        <v>25.17831199713784</v>
      </c>
      <c r="K1526" s="11">
        <f>_xlfn.XLOOKUP(F1526,Ref!$B$3:$B$12,Ref!$C$3:$C$12,"",1)</f>
        <v>2</v>
      </c>
      <c r="L1526" s="11">
        <f>_xlfn.XLOOKUP(G1526,Ref!$B$3:$B$12,Ref!$C$3:$C$12,"",1)</f>
        <v>2</v>
      </c>
      <c r="M1526" s="11">
        <f>_xlfn.XLOOKUP(H1526,Ref!$B$3:$B$12,Ref!$C$3:$C$12,"",1)</f>
        <v>2</v>
      </c>
    </row>
    <row r="1527" spans="2:13" x14ac:dyDescent="0.25">
      <c r="B1527" s="15" t="s">
        <v>44</v>
      </c>
      <c r="C1527" s="9">
        <v>53.5</v>
      </c>
      <c r="D1527" s="9">
        <v>59.1</v>
      </c>
      <c r="E1527" s="10">
        <v>62.4</v>
      </c>
      <c r="F1527" s="9">
        <f t="shared" si="88"/>
        <v>17.0295789108328</v>
      </c>
      <c r="G1527" s="9">
        <f t="shared" si="89"/>
        <v>18.812114273462029</v>
      </c>
      <c r="H1527" s="10">
        <f t="shared" si="90"/>
        <v>19.862536897868537</v>
      </c>
      <c r="K1527" s="11">
        <f>_xlfn.XLOOKUP(F1527,Ref!$B$3:$B$12,Ref!$C$3:$C$12,"",1)</f>
        <v>1</v>
      </c>
      <c r="L1527" s="11">
        <f>_xlfn.XLOOKUP(G1527,Ref!$B$3:$B$12,Ref!$C$3:$C$12,"",1)</f>
        <v>1</v>
      </c>
      <c r="M1527" s="11">
        <f>_xlfn.XLOOKUP(H1527,Ref!$B$3:$B$12,Ref!$C$3:$C$12,"",1)</f>
        <v>1</v>
      </c>
    </row>
    <row r="1528" spans="2:13" x14ac:dyDescent="0.25">
      <c r="B1528" s="15" t="s">
        <v>8</v>
      </c>
      <c r="C1528" s="9">
        <v>51.7</v>
      </c>
      <c r="D1528" s="9">
        <v>52.9</v>
      </c>
      <c r="E1528" s="10">
        <v>55.5</v>
      </c>
      <c r="F1528" s="9">
        <f t="shared" si="88"/>
        <v>16.456621115701978</v>
      </c>
      <c r="G1528" s="9">
        <f t="shared" si="89"/>
        <v>16.838592979122527</v>
      </c>
      <c r="H1528" s="10">
        <f t="shared" si="90"/>
        <v>17.666198683200381</v>
      </c>
      <c r="K1528" s="11">
        <f>_xlfn.XLOOKUP(F1528,Ref!$B$3:$B$12,Ref!$C$3:$C$12,"",1)</f>
        <v>1</v>
      </c>
      <c r="L1528" s="11">
        <f>_xlfn.XLOOKUP(G1528,Ref!$B$3:$B$12,Ref!$C$3:$C$12,"",1)</f>
        <v>1</v>
      </c>
      <c r="M1528" s="11">
        <f>_xlfn.XLOOKUP(H1528,Ref!$B$3:$B$12,Ref!$C$3:$C$12,"",1)</f>
        <v>1</v>
      </c>
    </row>
    <row r="1529" spans="2:13" x14ac:dyDescent="0.25">
      <c r="B1529" s="15" t="s">
        <v>23</v>
      </c>
      <c r="C1529" s="9">
        <v>34.5</v>
      </c>
      <c r="D1529" s="9">
        <v>35</v>
      </c>
      <c r="E1529" s="10">
        <v>35.5</v>
      </c>
      <c r="F1529" s="9">
        <f t="shared" si="88"/>
        <v>10.981691073340778</v>
      </c>
      <c r="G1529" s="9">
        <f t="shared" si="89"/>
        <v>11.140846016432674</v>
      </c>
      <c r="H1529" s="10">
        <f t="shared" si="90"/>
        <v>11.300000959524569</v>
      </c>
      <c r="K1529" s="11">
        <f>_xlfn.XLOOKUP(F1529,Ref!$B$3:$B$12,Ref!$C$3:$C$12,"",1)</f>
        <v>1</v>
      </c>
      <c r="L1529" s="11">
        <f>_xlfn.XLOOKUP(G1529,Ref!$B$3:$B$12,Ref!$C$3:$C$12,"",1)</f>
        <v>1</v>
      </c>
      <c r="M1529" s="11">
        <f>_xlfn.XLOOKUP(H1529,Ref!$B$3:$B$12,Ref!$C$3:$C$12,"",1)</f>
        <v>1</v>
      </c>
    </row>
    <row r="1530" spans="2:13" x14ac:dyDescent="0.25">
      <c r="B1530" s="15" t="s">
        <v>8</v>
      </c>
      <c r="C1530" s="9">
        <v>61.3</v>
      </c>
      <c r="D1530" s="9">
        <v>67</v>
      </c>
      <c r="E1530" s="10">
        <v>69.099999999999994</v>
      </c>
      <c r="F1530" s="9">
        <f t="shared" si="88"/>
        <v>19.512396023066369</v>
      </c>
      <c r="G1530" s="9">
        <f t="shared" si="89"/>
        <v>21.326762374313976</v>
      </c>
      <c r="H1530" s="10">
        <f t="shared" si="90"/>
        <v>21.995213135299934</v>
      </c>
      <c r="K1530" s="11">
        <f>_xlfn.XLOOKUP(F1530,Ref!$B$3:$B$12,Ref!$C$3:$C$12,"",1)</f>
        <v>1</v>
      </c>
      <c r="L1530" s="11">
        <f>_xlfn.XLOOKUP(G1530,Ref!$B$3:$B$12,Ref!$C$3:$C$12,"",1)</f>
        <v>2</v>
      </c>
      <c r="M1530" s="11">
        <f>_xlfn.XLOOKUP(H1530,Ref!$B$3:$B$12,Ref!$C$3:$C$12,"",1)</f>
        <v>2</v>
      </c>
    </row>
    <row r="1531" spans="2:13" x14ac:dyDescent="0.25">
      <c r="B1531" s="15" t="s">
        <v>60</v>
      </c>
      <c r="C1531" s="9">
        <v>67</v>
      </c>
      <c r="D1531" s="9">
        <v>72</v>
      </c>
      <c r="E1531" s="10">
        <v>76.5</v>
      </c>
      <c r="F1531" s="9">
        <f t="shared" si="88"/>
        <v>21.326762374313976</v>
      </c>
      <c r="G1531" s="9">
        <f t="shared" si="89"/>
        <v>22.918311805232928</v>
      </c>
      <c r="H1531" s="10">
        <f t="shared" si="90"/>
        <v>24.350706293059986</v>
      </c>
      <c r="K1531" s="11">
        <f>_xlfn.XLOOKUP(F1531,Ref!$B$3:$B$12,Ref!$C$3:$C$12,"",1)</f>
        <v>2</v>
      </c>
      <c r="L1531" s="11">
        <f>_xlfn.XLOOKUP(G1531,Ref!$B$3:$B$12,Ref!$C$3:$C$12,"",1)</f>
        <v>2</v>
      </c>
      <c r="M1531" s="11">
        <f>_xlfn.XLOOKUP(H1531,Ref!$B$3:$B$12,Ref!$C$3:$C$12,"",1)</f>
        <v>2</v>
      </c>
    </row>
    <row r="1532" spans="2:13" x14ac:dyDescent="0.25">
      <c r="B1532" s="15" t="s">
        <v>8</v>
      </c>
      <c r="C1532" s="9">
        <v>46.2</v>
      </c>
      <c r="D1532" s="9">
        <v>50.6</v>
      </c>
      <c r="E1532" s="10">
        <v>52.8</v>
      </c>
      <c r="F1532" s="9">
        <f t="shared" si="88"/>
        <v>14.70591674169113</v>
      </c>
      <c r="G1532" s="9">
        <f t="shared" si="89"/>
        <v>16.10648024089981</v>
      </c>
      <c r="H1532" s="10">
        <f t="shared" si="90"/>
        <v>16.806761990504146</v>
      </c>
      <c r="K1532" s="11">
        <f>_xlfn.XLOOKUP(F1532,Ref!$B$3:$B$12,Ref!$C$3:$C$12,"",1)</f>
        <v>1</v>
      </c>
      <c r="L1532" s="11">
        <f>_xlfn.XLOOKUP(G1532,Ref!$B$3:$B$12,Ref!$C$3:$C$12,"",1)</f>
        <v>1</v>
      </c>
      <c r="M1532" s="11">
        <f>_xlfn.XLOOKUP(H1532,Ref!$B$3:$B$12,Ref!$C$3:$C$12,"",1)</f>
        <v>1</v>
      </c>
    </row>
    <row r="1533" spans="2:13" x14ac:dyDescent="0.25">
      <c r="B1533" s="15" t="s">
        <v>27</v>
      </c>
      <c r="C1533" s="9">
        <v>35.700000000000003</v>
      </c>
      <c r="D1533" s="9">
        <v>36.700000000000003</v>
      </c>
      <c r="E1533" s="10">
        <v>37.799999999999997</v>
      </c>
      <c r="F1533" s="9">
        <f t="shared" si="88"/>
        <v>11.363662936761328</v>
      </c>
      <c r="G1533" s="9">
        <f t="shared" si="89"/>
        <v>11.681972822945118</v>
      </c>
      <c r="H1533" s="10">
        <f t="shared" si="90"/>
        <v>12.032113697747286</v>
      </c>
      <c r="K1533" s="11">
        <f>_xlfn.XLOOKUP(F1533,Ref!$B$3:$B$12,Ref!$C$3:$C$12,"",1)</f>
        <v>1</v>
      </c>
      <c r="L1533" s="11">
        <f>_xlfn.XLOOKUP(G1533,Ref!$B$3:$B$12,Ref!$C$3:$C$12,"",1)</f>
        <v>1</v>
      </c>
      <c r="M1533" s="11">
        <f>_xlfn.XLOOKUP(H1533,Ref!$B$3:$B$12,Ref!$C$3:$C$12,"",1)</f>
        <v>1</v>
      </c>
    </row>
    <row r="1534" spans="2:13" x14ac:dyDescent="0.25">
      <c r="B1534" s="15" t="s">
        <v>13</v>
      </c>
      <c r="C1534" s="9">
        <v>32.5</v>
      </c>
      <c r="D1534" s="9">
        <v>38.200000000000003</v>
      </c>
      <c r="E1534" s="10">
        <v>41.3</v>
      </c>
      <c r="F1534" s="9">
        <f t="shared" si="88"/>
        <v>10.345071300973197</v>
      </c>
      <c r="G1534" s="9">
        <f t="shared" si="89"/>
        <v>12.159437652220806</v>
      </c>
      <c r="H1534" s="10">
        <f t="shared" si="90"/>
        <v>13.146198299390555</v>
      </c>
      <c r="K1534" s="11">
        <f>_xlfn.XLOOKUP(F1534,Ref!$B$3:$B$12,Ref!$C$3:$C$12,"",1)</f>
        <v>1</v>
      </c>
      <c r="L1534" s="11">
        <f>_xlfn.XLOOKUP(G1534,Ref!$B$3:$B$12,Ref!$C$3:$C$12,"",1)</f>
        <v>1</v>
      </c>
      <c r="M1534" s="11">
        <f>_xlfn.XLOOKUP(H1534,Ref!$B$3:$B$12,Ref!$C$3:$C$12,"",1)</f>
        <v>1</v>
      </c>
    </row>
    <row r="1535" spans="2:13" x14ac:dyDescent="0.25">
      <c r="B1535" s="15" t="s">
        <v>11</v>
      </c>
      <c r="C1535" s="9">
        <v>40.200000000000003</v>
      </c>
      <c r="D1535" s="9">
        <v>42.9</v>
      </c>
      <c r="E1535" s="10">
        <v>42.7</v>
      </c>
      <c r="F1535" s="9">
        <f t="shared" si="88"/>
        <v>12.796057424588387</v>
      </c>
      <c r="G1535" s="9">
        <f t="shared" si="89"/>
        <v>13.65549411728462</v>
      </c>
      <c r="H1535" s="10">
        <f t="shared" si="90"/>
        <v>13.591832140047863</v>
      </c>
      <c r="K1535" s="11">
        <f>_xlfn.XLOOKUP(F1535,Ref!$B$3:$B$12,Ref!$C$3:$C$12,"",1)</f>
        <v>1</v>
      </c>
      <c r="L1535" s="11">
        <f>_xlfn.XLOOKUP(G1535,Ref!$B$3:$B$12,Ref!$C$3:$C$12,"",1)</f>
        <v>1</v>
      </c>
      <c r="M1535" s="11">
        <f>_xlfn.XLOOKUP(H1535,Ref!$B$3:$B$12,Ref!$C$3:$C$12,"",1)</f>
        <v>1</v>
      </c>
    </row>
    <row r="1536" spans="2:13" x14ac:dyDescent="0.25">
      <c r="B1536" s="15" t="s">
        <v>60</v>
      </c>
      <c r="C1536" s="9">
        <v>33.6</v>
      </c>
      <c r="D1536" s="9">
        <v>34.799999999999997</v>
      </c>
      <c r="E1536" s="10">
        <v>34.6</v>
      </c>
      <c r="F1536" s="9">
        <f t="shared" si="88"/>
        <v>10.695212175775367</v>
      </c>
      <c r="G1536" s="9">
        <f t="shared" si="89"/>
        <v>11.077184039195915</v>
      </c>
      <c r="H1536" s="10">
        <f t="shared" si="90"/>
        <v>11.013522061959158</v>
      </c>
      <c r="K1536" s="11">
        <f>_xlfn.XLOOKUP(F1536,Ref!$B$3:$B$12,Ref!$C$3:$C$12,"",1)</f>
        <v>1</v>
      </c>
      <c r="L1536" s="11">
        <f>_xlfn.XLOOKUP(G1536,Ref!$B$3:$B$12,Ref!$C$3:$C$12,"",1)</f>
        <v>1</v>
      </c>
      <c r="M1536" s="11">
        <f>_xlfn.XLOOKUP(H1536,Ref!$B$3:$B$12,Ref!$C$3:$C$12,"",1)</f>
        <v>1</v>
      </c>
    </row>
    <row r="1537" spans="2:13" x14ac:dyDescent="0.25">
      <c r="B1537" s="15" t="s">
        <v>26</v>
      </c>
      <c r="C1537" s="9">
        <v>134.30000000000001</v>
      </c>
      <c r="D1537" s="9">
        <v>144.9</v>
      </c>
      <c r="E1537" s="10">
        <v>154</v>
      </c>
      <c r="F1537" s="9">
        <f t="shared" si="88"/>
        <v>42.749017714483095</v>
      </c>
      <c r="G1537" s="9">
        <f t="shared" si="89"/>
        <v>46.123102508031273</v>
      </c>
      <c r="H1537" s="10">
        <f t="shared" si="90"/>
        <v>49.019722472303762</v>
      </c>
      <c r="K1537" s="11">
        <f>_xlfn.XLOOKUP(F1537,Ref!$B$3:$B$12,Ref!$C$3:$C$12,"",1)</f>
        <v>4</v>
      </c>
      <c r="L1537" s="11">
        <f>_xlfn.XLOOKUP(G1537,Ref!$B$3:$B$12,Ref!$C$3:$C$12,"",1)</f>
        <v>4</v>
      </c>
      <c r="M1537" s="11">
        <f>_xlfn.XLOOKUP(H1537,Ref!$B$3:$B$12,Ref!$C$3:$C$12,"",1)</f>
        <v>4</v>
      </c>
    </row>
    <row r="1538" spans="2:13" x14ac:dyDescent="0.25">
      <c r="B1538" s="15" t="s">
        <v>27</v>
      </c>
      <c r="C1538" s="9">
        <v>34</v>
      </c>
      <c r="D1538" s="9">
        <v>35.799999999999997</v>
      </c>
      <c r="E1538" s="10">
        <v>36.5</v>
      </c>
      <c r="F1538" s="9">
        <f t="shared" si="88"/>
        <v>10.822536130248883</v>
      </c>
      <c r="G1538" s="9">
        <f t="shared" si="89"/>
        <v>11.395493925379705</v>
      </c>
      <c r="H1538" s="10">
        <f t="shared" si="90"/>
        <v>11.618310845708359</v>
      </c>
      <c r="K1538" s="11">
        <f>_xlfn.XLOOKUP(F1538,Ref!$B$3:$B$12,Ref!$C$3:$C$12,"",1)</f>
        <v>1</v>
      </c>
      <c r="L1538" s="11">
        <f>_xlfn.XLOOKUP(G1538,Ref!$B$3:$B$12,Ref!$C$3:$C$12,"",1)</f>
        <v>1</v>
      </c>
      <c r="M1538" s="11">
        <f>_xlfn.XLOOKUP(H1538,Ref!$B$3:$B$12,Ref!$C$3:$C$12,"",1)</f>
        <v>1</v>
      </c>
    </row>
    <row r="1539" spans="2:13" x14ac:dyDescent="0.25">
      <c r="B1539" s="15" t="s">
        <v>41</v>
      </c>
      <c r="C1539" s="9">
        <v>43.3</v>
      </c>
      <c r="D1539" s="9">
        <v>49.6</v>
      </c>
      <c r="E1539" s="10">
        <v>52.7</v>
      </c>
      <c r="F1539" s="9">
        <f t="shared" si="88"/>
        <v>13.782818071758136</v>
      </c>
      <c r="G1539" s="9">
        <f t="shared" si="89"/>
        <v>15.788170354716019</v>
      </c>
      <c r="H1539" s="10">
        <f t="shared" si="90"/>
        <v>16.774931001885768</v>
      </c>
      <c r="K1539" s="11">
        <f>_xlfn.XLOOKUP(F1539,Ref!$B$3:$B$12,Ref!$C$3:$C$12,"",1)</f>
        <v>1</v>
      </c>
      <c r="L1539" s="11">
        <f>_xlfn.XLOOKUP(G1539,Ref!$B$3:$B$12,Ref!$C$3:$C$12,"",1)</f>
        <v>1</v>
      </c>
      <c r="M1539" s="11">
        <f>_xlfn.XLOOKUP(H1539,Ref!$B$3:$B$12,Ref!$C$3:$C$12,"",1)</f>
        <v>1</v>
      </c>
    </row>
    <row r="1540" spans="2:13" x14ac:dyDescent="0.25">
      <c r="B1540" s="15" t="s">
        <v>65</v>
      </c>
      <c r="C1540" s="9">
        <v>50.5</v>
      </c>
      <c r="D1540" s="9">
        <v>54.4</v>
      </c>
      <c r="E1540" s="10">
        <v>55.2</v>
      </c>
      <c r="F1540" s="9">
        <f t="shared" si="88"/>
        <v>16.074649252281429</v>
      </c>
      <c r="G1540" s="9">
        <f t="shared" si="89"/>
        <v>17.316057808398213</v>
      </c>
      <c r="H1540" s="10">
        <f t="shared" si="90"/>
        <v>17.570705717345248</v>
      </c>
      <c r="K1540" s="11">
        <f>_xlfn.XLOOKUP(F1540,Ref!$B$3:$B$12,Ref!$C$3:$C$12,"",1)</f>
        <v>1</v>
      </c>
      <c r="L1540" s="11">
        <f>_xlfn.XLOOKUP(G1540,Ref!$B$3:$B$12,Ref!$C$3:$C$12,"",1)</f>
        <v>1</v>
      </c>
      <c r="M1540" s="11">
        <f>_xlfn.XLOOKUP(H1540,Ref!$B$3:$B$12,Ref!$C$3:$C$12,"",1)</f>
        <v>1</v>
      </c>
    </row>
    <row r="1541" spans="2:13" x14ac:dyDescent="0.25">
      <c r="B1541" s="15" t="s">
        <v>12</v>
      </c>
      <c r="C1541" s="9">
        <v>43</v>
      </c>
      <c r="D1541" s="9">
        <v>47.2</v>
      </c>
      <c r="E1541" s="10">
        <v>51.6</v>
      </c>
      <c r="F1541" s="9">
        <f t="shared" si="88"/>
        <v>13.687325105903</v>
      </c>
      <c r="G1541" s="9">
        <f t="shared" si="89"/>
        <v>15.024226627874921</v>
      </c>
      <c r="H1541" s="10">
        <f t="shared" si="90"/>
        <v>16.4247901270836</v>
      </c>
      <c r="K1541" s="11">
        <f>_xlfn.XLOOKUP(F1541,Ref!$B$3:$B$12,Ref!$C$3:$C$12,"",1)</f>
        <v>1</v>
      </c>
      <c r="L1541" s="11">
        <f>_xlfn.XLOOKUP(G1541,Ref!$B$3:$B$12,Ref!$C$3:$C$12,"",1)</f>
        <v>1</v>
      </c>
      <c r="M1541" s="11">
        <f>_xlfn.XLOOKUP(H1541,Ref!$B$3:$B$12,Ref!$C$3:$C$12,"",1)</f>
        <v>1</v>
      </c>
    </row>
    <row r="1542" spans="2:13" x14ac:dyDescent="0.25">
      <c r="B1542" s="15" t="s">
        <v>46</v>
      </c>
      <c r="C1542" s="9">
        <v>96</v>
      </c>
      <c r="D1542" s="9">
        <v>0</v>
      </c>
      <c r="E1542" s="10">
        <v>0</v>
      </c>
      <c r="F1542" s="9">
        <f t="shared" si="88"/>
        <v>30.557749073643905</v>
      </c>
      <c r="G1542" s="9">
        <f t="shared" si="89"/>
        <v>0</v>
      </c>
      <c r="H1542" s="10">
        <f t="shared" si="90"/>
        <v>0</v>
      </c>
      <c r="K1542" s="11">
        <f>_xlfn.XLOOKUP(F1542,Ref!$B$3:$B$12,Ref!$C$3:$C$12,"",1)</f>
        <v>3</v>
      </c>
      <c r="L1542" s="11" t="str">
        <f>_xlfn.XLOOKUP(G1542,Ref!$B$3:$B$12,Ref!$C$3:$C$12,"",1)</f>
        <v>Morta</v>
      </c>
      <c r="M1542" s="11" t="str">
        <f>_xlfn.XLOOKUP(H1542,Ref!$B$3:$B$12,Ref!$C$3:$C$12,"",1)</f>
        <v>Morta</v>
      </c>
    </row>
    <row r="1543" spans="2:13" x14ac:dyDescent="0.25">
      <c r="B1543" s="15" t="s">
        <v>12</v>
      </c>
      <c r="C1543" s="9"/>
      <c r="D1543" s="9">
        <v>33.1</v>
      </c>
      <c r="E1543" s="10">
        <v>35.5</v>
      </c>
      <c r="F1543" s="9" t="str">
        <f t="shared" si="88"/>
        <v/>
      </c>
      <c r="G1543" s="9">
        <f t="shared" si="89"/>
        <v>10.536057232683472</v>
      </c>
      <c r="H1543" s="10">
        <f t="shared" si="90"/>
        <v>11.300000959524569</v>
      </c>
      <c r="K1543" s="11" t="str">
        <f>_xlfn.XLOOKUP(F1543,Ref!$B$3:$B$12,Ref!$C$3:$C$12,"",1)</f>
        <v/>
      </c>
      <c r="L1543" s="11">
        <f>_xlfn.XLOOKUP(G1543,Ref!$B$3:$B$12,Ref!$C$3:$C$12,"",1)</f>
        <v>1</v>
      </c>
      <c r="M1543" s="11">
        <f>_xlfn.XLOOKUP(H1543,Ref!$B$3:$B$12,Ref!$C$3:$C$12,"",1)</f>
        <v>1</v>
      </c>
    </row>
    <row r="1544" spans="2:13" x14ac:dyDescent="0.25">
      <c r="B1544" s="15" t="s">
        <v>8</v>
      </c>
      <c r="C1544" s="9">
        <v>39</v>
      </c>
      <c r="D1544" s="9">
        <v>42.1</v>
      </c>
      <c r="E1544" s="10">
        <v>46.3</v>
      </c>
      <c r="F1544" s="9">
        <f t="shared" si="88"/>
        <v>12.414085561167836</v>
      </c>
      <c r="G1544" s="9">
        <f t="shared" si="89"/>
        <v>13.400846208337589</v>
      </c>
      <c r="H1544" s="10">
        <f t="shared" si="90"/>
        <v>14.737747730309508</v>
      </c>
      <c r="K1544" s="11">
        <f>_xlfn.XLOOKUP(F1544,Ref!$B$3:$B$12,Ref!$C$3:$C$12,"",1)</f>
        <v>1</v>
      </c>
      <c r="L1544" s="11">
        <f>_xlfn.XLOOKUP(G1544,Ref!$B$3:$B$12,Ref!$C$3:$C$12,"",1)</f>
        <v>1</v>
      </c>
      <c r="M1544" s="11">
        <f>_xlfn.XLOOKUP(H1544,Ref!$B$3:$B$12,Ref!$C$3:$C$12,"",1)</f>
        <v>1</v>
      </c>
    </row>
    <row r="1545" spans="2:13" x14ac:dyDescent="0.25">
      <c r="B1545" s="15" t="s">
        <v>44</v>
      </c>
      <c r="C1545" s="9">
        <v>32.299999999999997</v>
      </c>
      <c r="D1545" s="9">
        <v>32.6</v>
      </c>
      <c r="E1545" s="10">
        <v>33</v>
      </c>
      <c r="F1545" s="9">
        <f t="shared" ref="F1545:F1604" si="91">IF(C1545="", "", C1545/PI())</f>
        <v>10.281409323736439</v>
      </c>
      <c r="G1545" s="9">
        <f t="shared" ref="G1545:G1604" si="92">IF(D1545="", "", D1545/PI())</f>
        <v>10.376902289591577</v>
      </c>
      <c r="H1545" s="10">
        <f t="shared" ref="H1545:H1604" si="93">IF(E1545="", "", E1545/PI())</f>
        <v>10.504226244065093</v>
      </c>
      <c r="K1545" s="11">
        <f>_xlfn.XLOOKUP(F1545,Ref!$B$3:$B$12,Ref!$C$3:$C$12,"",1)</f>
        <v>1</v>
      </c>
      <c r="L1545" s="11">
        <f>_xlfn.XLOOKUP(G1545,Ref!$B$3:$B$12,Ref!$C$3:$C$12,"",1)</f>
        <v>1</v>
      </c>
      <c r="M1545" s="11">
        <f>_xlfn.XLOOKUP(H1545,Ref!$B$3:$B$12,Ref!$C$3:$C$12,"",1)</f>
        <v>1</v>
      </c>
    </row>
    <row r="1546" spans="2:13" x14ac:dyDescent="0.25">
      <c r="B1546" s="15" t="s">
        <v>80</v>
      </c>
      <c r="C1546" s="9">
        <v>60.2</v>
      </c>
      <c r="D1546" s="9">
        <v>62.3</v>
      </c>
      <c r="E1546" s="10">
        <v>0</v>
      </c>
      <c r="F1546" s="9">
        <f t="shared" si="91"/>
        <v>19.162255148264201</v>
      </c>
      <c r="G1546" s="9">
        <f t="shared" si="92"/>
        <v>19.83070590925016</v>
      </c>
      <c r="H1546" s="10">
        <f t="shared" si="93"/>
        <v>0</v>
      </c>
      <c r="K1546" s="11">
        <f>_xlfn.XLOOKUP(F1546,Ref!$B$3:$B$12,Ref!$C$3:$C$12,"",1)</f>
        <v>1</v>
      </c>
      <c r="L1546" s="11">
        <f>_xlfn.XLOOKUP(G1546,Ref!$B$3:$B$12,Ref!$C$3:$C$12,"",1)</f>
        <v>1</v>
      </c>
      <c r="M1546" s="11" t="str">
        <f>_xlfn.XLOOKUP(H1546,Ref!$B$3:$B$12,Ref!$C$3:$C$12,"",1)</f>
        <v>Morta</v>
      </c>
    </row>
    <row r="1547" spans="2:13" x14ac:dyDescent="0.25">
      <c r="B1547" s="15" t="s">
        <v>41</v>
      </c>
      <c r="C1547" s="9">
        <v>86</v>
      </c>
      <c r="D1547" s="9">
        <v>92.8</v>
      </c>
      <c r="E1547" s="10">
        <v>99</v>
      </c>
      <c r="F1547" s="9">
        <f t="shared" si="91"/>
        <v>27.374650211805999</v>
      </c>
      <c r="G1547" s="9">
        <f t="shared" si="92"/>
        <v>29.539157437855774</v>
      </c>
      <c r="H1547" s="10">
        <f t="shared" si="93"/>
        <v>31.512678732195276</v>
      </c>
      <c r="K1547" s="11">
        <f>_xlfn.XLOOKUP(F1547,Ref!$B$3:$B$12,Ref!$C$3:$C$12,"",1)</f>
        <v>2</v>
      </c>
      <c r="L1547" s="11">
        <f>_xlfn.XLOOKUP(G1547,Ref!$B$3:$B$12,Ref!$C$3:$C$12,"",1)</f>
        <v>2</v>
      </c>
      <c r="M1547" s="11">
        <f>_xlfn.XLOOKUP(H1547,Ref!$B$3:$B$12,Ref!$C$3:$C$12,"",1)</f>
        <v>3</v>
      </c>
    </row>
    <row r="1548" spans="2:13" x14ac:dyDescent="0.25">
      <c r="B1548" s="15" t="s">
        <v>11</v>
      </c>
      <c r="C1548" s="9">
        <v>33.5</v>
      </c>
      <c r="D1548" s="9">
        <v>35.4</v>
      </c>
      <c r="E1548" s="10">
        <v>35.5</v>
      </c>
      <c r="F1548" s="9">
        <f t="shared" si="91"/>
        <v>10.663381187156988</v>
      </c>
      <c r="G1548" s="9">
        <f t="shared" si="92"/>
        <v>11.26816997090619</v>
      </c>
      <c r="H1548" s="10">
        <f t="shared" si="93"/>
        <v>11.300000959524569</v>
      </c>
      <c r="K1548" s="11">
        <f>_xlfn.XLOOKUP(F1548,Ref!$B$3:$B$12,Ref!$C$3:$C$12,"",1)</f>
        <v>1</v>
      </c>
      <c r="L1548" s="11">
        <f>_xlfn.XLOOKUP(G1548,Ref!$B$3:$B$12,Ref!$C$3:$C$12,"",1)</f>
        <v>1</v>
      </c>
      <c r="M1548" s="11">
        <f>_xlfn.XLOOKUP(H1548,Ref!$B$3:$B$12,Ref!$C$3:$C$12,"",1)</f>
        <v>1</v>
      </c>
    </row>
    <row r="1549" spans="2:13" x14ac:dyDescent="0.25">
      <c r="B1549" s="15" t="s">
        <v>6</v>
      </c>
      <c r="C1549" s="9"/>
      <c r="D1549" s="9"/>
      <c r="E1549" s="10">
        <v>31.6</v>
      </c>
      <c r="F1549" s="9" t="str">
        <f t="shared" si="91"/>
        <v/>
      </c>
      <c r="G1549" s="9" t="str">
        <f t="shared" si="92"/>
        <v/>
      </c>
      <c r="H1549" s="10">
        <f t="shared" si="93"/>
        <v>10.058592403407786</v>
      </c>
      <c r="K1549" s="11" t="str">
        <f>_xlfn.XLOOKUP(F1549,Ref!$B$3:$B$12,Ref!$C$3:$C$12,"",1)</f>
        <v/>
      </c>
      <c r="L1549" s="11" t="str">
        <f>_xlfn.XLOOKUP(G1549,Ref!$B$3:$B$12,Ref!$C$3:$C$12,"",1)</f>
        <v/>
      </c>
      <c r="M1549" s="11">
        <f>_xlfn.XLOOKUP(H1549,Ref!$B$3:$B$12,Ref!$C$3:$C$12,"",1)</f>
        <v>1</v>
      </c>
    </row>
    <row r="1550" spans="2:13" x14ac:dyDescent="0.25">
      <c r="B1550" s="15" t="s">
        <v>10</v>
      </c>
      <c r="C1550" s="9"/>
      <c r="D1550" s="9"/>
      <c r="E1550" s="10">
        <v>35.5</v>
      </c>
      <c r="F1550" s="9" t="str">
        <f t="shared" si="91"/>
        <v/>
      </c>
      <c r="G1550" s="9" t="str">
        <f t="shared" si="92"/>
        <v/>
      </c>
      <c r="H1550" s="10">
        <f t="shared" si="93"/>
        <v>11.300000959524569</v>
      </c>
      <c r="K1550" s="11" t="str">
        <f>_xlfn.XLOOKUP(F1550,Ref!$B$3:$B$12,Ref!$C$3:$C$12,"",1)</f>
        <v/>
      </c>
      <c r="L1550" s="11" t="str">
        <f>_xlfn.XLOOKUP(G1550,Ref!$B$3:$B$12,Ref!$C$3:$C$12,"",1)</f>
        <v/>
      </c>
      <c r="M1550" s="11">
        <f>_xlfn.XLOOKUP(H1550,Ref!$B$3:$B$12,Ref!$C$3:$C$12,"",1)</f>
        <v>1</v>
      </c>
    </row>
    <row r="1551" spans="2:13" x14ac:dyDescent="0.25">
      <c r="B1551" s="15" t="s">
        <v>82</v>
      </c>
      <c r="C1551" s="9"/>
      <c r="D1551" s="9">
        <v>32.200000000000003</v>
      </c>
      <c r="E1551" s="10">
        <v>32.700000000000003</v>
      </c>
      <c r="F1551" s="9" t="str">
        <f t="shared" si="91"/>
        <v/>
      </c>
      <c r="G1551" s="9">
        <f t="shared" si="92"/>
        <v>10.249578335118061</v>
      </c>
      <c r="H1551" s="10">
        <f t="shared" si="93"/>
        <v>10.408733278209956</v>
      </c>
      <c r="K1551" s="11" t="str">
        <f>_xlfn.XLOOKUP(F1551,Ref!$B$3:$B$12,Ref!$C$3:$C$12,"",1)</f>
        <v/>
      </c>
      <c r="L1551" s="11">
        <f>_xlfn.XLOOKUP(G1551,Ref!$B$3:$B$12,Ref!$C$3:$C$12,"",1)</f>
        <v>1</v>
      </c>
      <c r="M1551" s="11">
        <f>_xlfn.XLOOKUP(H1551,Ref!$B$3:$B$12,Ref!$C$3:$C$12,"",1)</f>
        <v>1</v>
      </c>
    </row>
    <row r="1552" spans="2:13" x14ac:dyDescent="0.25">
      <c r="B1552" s="15" t="s">
        <v>75</v>
      </c>
      <c r="C1552" s="9">
        <v>82.7</v>
      </c>
      <c r="D1552" s="9">
        <v>87.6</v>
      </c>
      <c r="E1552" s="10">
        <v>90.7</v>
      </c>
      <c r="F1552" s="9">
        <f t="shared" si="91"/>
        <v>26.324227587399491</v>
      </c>
      <c r="G1552" s="9">
        <f t="shared" si="92"/>
        <v>27.883946029700063</v>
      </c>
      <c r="H1552" s="10">
        <f t="shared" si="93"/>
        <v>28.870706676869816</v>
      </c>
      <c r="K1552" s="11">
        <f>_xlfn.XLOOKUP(F1552,Ref!$B$3:$B$12,Ref!$C$3:$C$12,"",1)</f>
        <v>2</v>
      </c>
      <c r="L1552" s="11">
        <f>_xlfn.XLOOKUP(G1552,Ref!$B$3:$B$12,Ref!$C$3:$C$12,"",1)</f>
        <v>2</v>
      </c>
      <c r="M1552" s="11">
        <f>_xlfn.XLOOKUP(H1552,Ref!$B$3:$B$12,Ref!$C$3:$C$12,"",1)</f>
        <v>2</v>
      </c>
    </row>
    <row r="1553" spans="2:13" x14ac:dyDescent="0.25">
      <c r="B1553" s="15" t="s">
        <v>14</v>
      </c>
      <c r="C1553" s="9">
        <v>60.7</v>
      </c>
      <c r="D1553" s="9">
        <v>75.2</v>
      </c>
      <c r="E1553" s="10">
        <v>85.7</v>
      </c>
      <c r="F1553" s="9">
        <f t="shared" si="91"/>
        <v>19.321410091356096</v>
      </c>
      <c r="G1553" s="9">
        <f t="shared" si="92"/>
        <v>23.936903441021059</v>
      </c>
      <c r="H1553" s="10">
        <f t="shared" si="93"/>
        <v>27.279157245950863</v>
      </c>
      <c r="K1553" s="11">
        <f>_xlfn.XLOOKUP(F1553,Ref!$B$3:$B$12,Ref!$C$3:$C$12,"",1)</f>
        <v>1</v>
      </c>
      <c r="L1553" s="11">
        <f>_xlfn.XLOOKUP(G1553,Ref!$B$3:$B$12,Ref!$C$3:$C$12,"",1)</f>
        <v>2</v>
      </c>
      <c r="M1553" s="11">
        <f>_xlfn.XLOOKUP(H1553,Ref!$B$3:$B$12,Ref!$C$3:$C$12,"",1)</f>
        <v>2</v>
      </c>
    </row>
    <row r="1554" spans="2:13" x14ac:dyDescent="0.25">
      <c r="B1554" s="15" t="s">
        <v>8</v>
      </c>
      <c r="C1554" s="9">
        <v>38.6</v>
      </c>
      <c r="D1554" s="9">
        <v>40.4</v>
      </c>
      <c r="E1554" s="10">
        <v>44.2</v>
      </c>
      <c r="F1554" s="9">
        <f t="shared" si="91"/>
        <v>12.286761606694322</v>
      </c>
      <c r="G1554" s="9">
        <f t="shared" si="92"/>
        <v>12.859719401825144</v>
      </c>
      <c r="H1554" s="10">
        <f t="shared" si="93"/>
        <v>14.069296969323549</v>
      </c>
      <c r="K1554" s="11">
        <f>_xlfn.XLOOKUP(F1554,Ref!$B$3:$B$12,Ref!$C$3:$C$12,"",1)</f>
        <v>1</v>
      </c>
      <c r="L1554" s="11">
        <f>_xlfn.XLOOKUP(G1554,Ref!$B$3:$B$12,Ref!$C$3:$C$12,"",1)</f>
        <v>1</v>
      </c>
      <c r="M1554" s="11">
        <f>_xlfn.XLOOKUP(H1554,Ref!$B$3:$B$12,Ref!$C$3:$C$12,"",1)</f>
        <v>1</v>
      </c>
    </row>
    <row r="1555" spans="2:13" x14ac:dyDescent="0.25">
      <c r="B1555" s="15" t="s">
        <v>44</v>
      </c>
      <c r="C1555" s="9">
        <v>34.200000000000003</v>
      </c>
      <c r="D1555" s="9">
        <v>35.1</v>
      </c>
      <c r="E1555" s="10">
        <v>35.299999999999997</v>
      </c>
      <c r="F1555" s="9">
        <f t="shared" si="91"/>
        <v>10.886198107485642</v>
      </c>
      <c r="G1555" s="9">
        <f t="shared" si="92"/>
        <v>11.172677005051053</v>
      </c>
      <c r="H1555" s="10">
        <f t="shared" si="93"/>
        <v>11.23633898228781</v>
      </c>
      <c r="K1555" s="11">
        <f>_xlfn.XLOOKUP(F1555,Ref!$B$3:$B$12,Ref!$C$3:$C$12,"",1)</f>
        <v>1</v>
      </c>
      <c r="L1555" s="11">
        <f>_xlfn.XLOOKUP(G1555,Ref!$B$3:$B$12,Ref!$C$3:$C$12,"",1)</f>
        <v>1</v>
      </c>
      <c r="M1555" s="11">
        <f>_xlfn.XLOOKUP(H1555,Ref!$B$3:$B$12,Ref!$C$3:$C$12,"",1)</f>
        <v>1</v>
      </c>
    </row>
    <row r="1556" spans="2:13" x14ac:dyDescent="0.25">
      <c r="B1556" s="15" t="s">
        <v>57</v>
      </c>
      <c r="C1556" s="9">
        <v>53.1</v>
      </c>
      <c r="D1556" s="9">
        <v>57.9</v>
      </c>
      <c r="E1556" s="10">
        <v>62.6</v>
      </c>
      <c r="F1556" s="9">
        <f t="shared" si="91"/>
        <v>16.902254956359286</v>
      </c>
      <c r="G1556" s="9">
        <f t="shared" si="92"/>
        <v>18.43014241004148</v>
      </c>
      <c r="H1556" s="10">
        <f t="shared" si="93"/>
        <v>19.926198875105296</v>
      </c>
      <c r="K1556" s="11">
        <f>_xlfn.XLOOKUP(F1556,Ref!$B$3:$B$12,Ref!$C$3:$C$12,"",1)</f>
        <v>1</v>
      </c>
      <c r="L1556" s="11">
        <f>_xlfn.XLOOKUP(G1556,Ref!$B$3:$B$12,Ref!$C$3:$C$12,"",1)</f>
        <v>1</v>
      </c>
      <c r="M1556" s="11">
        <f>_xlfn.XLOOKUP(H1556,Ref!$B$3:$B$12,Ref!$C$3:$C$12,"",1)</f>
        <v>1</v>
      </c>
    </row>
    <row r="1557" spans="2:13" x14ac:dyDescent="0.25">
      <c r="B1557" s="15" t="s">
        <v>75</v>
      </c>
      <c r="C1557" s="9">
        <v>102.8</v>
      </c>
      <c r="D1557" s="9">
        <v>109.5</v>
      </c>
      <c r="E1557" s="10">
        <v>101.8</v>
      </c>
      <c r="F1557" s="9">
        <f t="shared" si="91"/>
        <v>32.722256299693683</v>
      </c>
      <c r="G1557" s="9">
        <f t="shared" si="92"/>
        <v>34.85493253712508</v>
      </c>
      <c r="H1557" s="10">
        <f t="shared" si="93"/>
        <v>32.403946413509892</v>
      </c>
      <c r="K1557" s="11">
        <f>_xlfn.XLOOKUP(F1557,Ref!$B$3:$B$12,Ref!$C$3:$C$12,"",1)</f>
        <v>3</v>
      </c>
      <c r="L1557" s="11">
        <f>_xlfn.XLOOKUP(G1557,Ref!$B$3:$B$12,Ref!$C$3:$C$12,"",1)</f>
        <v>3</v>
      </c>
      <c r="M1557" s="11">
        <f>_xlfn.XLOOKUP(H1557,Ref!$B$3:$B$12,Ref!$C$3:$C$12,"",1)</f>
        <v>3</v>
      </c>
    </row>
    <row r="1558" spans="2:13" x14ac:dyDescent="0.25">
      <c r="B1558" s="15" t="s">
        <v>75</v>
      </c>
      <c r="C1558" s="9">
        <v>88.2</v>
      </c>
      <c r="D1558" s="9">
        <v>98.1</v>
      </c>
      <c r="E1558" s="10">
        <v>89</v>
      </c>
      <c r="F1558" s="9">
        <f t="shared" si="91"/>
        <v>28.074931961410339</v>
      </c>
      <c r="G1558" s="9">
        <f t="shared" si="92"/>
        <v>31.226199834629863</v>
      </c>
      <c r="H1558" s="10">
        <f t="shared" si="93"/>
        <v>28.329579870357371</v>
      </c>
      <c r="K1558" s="11">
        <f>_xlfn.XLOOKUP(F1558,Ref!$B$3:$B$12,Ref!$C$3:$C$12,"",1)</f>
        <v>2</v>
      </c>
      <c r="L1558" s="11">
        <f>_xlfn.XLOOKUP(G1558,Ref!$B$3:$B$12,Ref!$C$3:$C$12,"",1)</f>
        <v>3</v>
      </c>
      <c r="M1558" s="11">
        <f>_xlfn.XLOOKUP(H1558,Ref!$B$3:$B$12,Ref!$C$3:$C$12,"",1)</f>
        <v>2</v>
      </c>
    </row>
    <row r="1559" spans="2:13" x14ac:dyDescent="0.25">
      <c r="B1559" s="15" t="s">
        <v>75</v>
      </c>
      <c r="C1559" s="9">
        <v>80.2</v>
      </c>
      <c r="D1559" s="9">
        <v>82.6</v>
      </c>
      <c r="E1559" s="10">
        <v>81.900000000000006</v>
      </c>
      <c r="F1559" s="9">
        <f t="shared" si="91"/>
        <v>25.528452871940015</v>
      </c>
      <c r="G1559" s="9">
        <f t="shared" si="92"/>
        <v>26.29239659878111</v>
      </c>
      <c r="H1559" s="10">
        <f t="shared" si="93"/>
        <v>26.06957967845246</v>
      </c>
      <c r="K1559" s="11">
        <f>_xlfn.XLOOKUP(F1559,Ref!$B$3:$B$12,Ref!$C$3:$C$12,"",1)</f>
        <v>2</v>
      </c>
      <c r="L1559" s="11">
        <f>_xlfn.XLOOKUP(G1559,Ref!$B$3:$B$12,Ref!$C$3:$C$12,"",1)</f>
        <v>2</v>
      </c>
      <c r="M1559" s="11">
        <f>_xlfn.XLOOKUP(H1559,Ref!$B$3:$B$12,Ref!$C$3:$C$12,"",1)</f>
        <v>2</v>
      </c>
    </row>
    <row r="1560" spans="2:13" x14ac:dyDescent="0.25">
      <c r="B1560" s="15" t="s">
        <v>12</v>
      </c>
      <c r="C1560" s="9">
        <v>32.799999999999997</v>
      </c>
      <c r="D1560" s="9">
        <v>36</v>
      </c>
      <c r="E1560" s="10">
        <v>38.299999999999997</v>
      </c>
      <c r="F1560" s="9">
        <f t="shared" si="91"/>
        <v>10.440564266828334</v>
      </c>
      <c r="G1560" s="9">
        <f t="shared" si="92"/>
        <v>11.459155902616464</v>
      </c>
      <c r="H1560" s="10">
        <f t="shared" si="93"/>
        <v>12.191268640839182</v>
      </c>
      <c r="K1560" s="11">
        <f>_xlfn.XLOOKUP(F1560,Ref!$B$3:$B$12,Ref!$C$3:$C$12,"",1)</f>
        <v>1</v>
      </c>
      <c r="L1560" s="11">
        <f>_xlfn.XLOOKUP(G1560,Ref!$B$3:$B$12,Ref!$C$3:$C$12,"",1)</f>
        <v>1</v>
      </c>
      <c r="M1560" s="11">
        <f>_xlfn.XLOOKUP(H1560,Ref!$B$3:$B$12,Ref!$C$3:$C$12,"",1)</f>
        <v>1</v>
      </c>
    </row>
    <row r="1561" spans="2:13" x14ac:dyDescent="0.25">
      <c r="B1561" s="15" t="s">
        <v>12</v>
      </c>
      <c r="C1561" s="9">
        <v>47.8</v>
      </c>
      <c r="D1561" s="9">
        <v>49.5</v>
      </c>
      <c r="E1561" s="10">
        <v>50.3</v>
      </c>
      <c r="F1561" s="9">
        <f t="shared" si="91"/>
        <v>15.215212559585193</v>
      </c>
      <c r="G1561" s="9">
        <f t="shared" si="92"/>
        <v>15.756339366097638</v>
      </c>
      <c r="H1561" s="10">
        <f t="shared" si="93"/>
        <v>16.01098727504467</v>
      </c>
      <c r="K1561" s="11">
        <f>_xlfn.XLOOKUP(F1561,Ref!$B$3:$B$12,Ref!$C$3:$C$12,"",1)</f>
        <v>1</v>
      </c>
      <c r="L1561" s="11">
        <f>_xlfn.XLOOKUP(G1561,Ref!$B$3:$B$12,Ref!$C$3:$C$12,"",1)</f>
        <v>1</v>
      </c>
      <c r="M1561" s="11">
        <f>_xlfn.XLOOKUP(H1561,Ref!$B$3:$B$12,Ref!$C$3:$C$12,"",1)</f>
        <v>1</v>
      </c>
    </row>
    <row r="1562" spans="2:13" x14ac:dyDescent="0.25">
      <c r="B1562" s="15" t="s">
        <v>60</v>
      </c>
      <c r="C1562" s="9">
        <v>40.799999999999997</v>
      </c>
      <c r="D1562" s="9">
        <v>47</v>
      </c>
      <c r="E1562" s="10">
        <v>50.5</v>
      </c>
      <c r="F1562" s="9">
        <f t="shared" si="91"/>
        <v>12.98704335629866</v>
      </c>
      <c r="G1562" s="9">
        <f t="shared" si="92"/>
        <v>14.960564650638162</v>
      </c>
      <c r="H1562" s="10">
        <f t="shared" si="93"/>
        <v>16.074649252281429</v>
      </c>
      <c r="K1562" s="11">
        <f>_xlfn.XLOOKUP(F1562,Ref!$B$3:$B$12,Ref!$C$3:$C$12,"",1)</f>
        <v>1</v>
      </c>
      <c r="L1562" s="11">
        <f>_xlfn.XLOOKUP(G1562,Ref!$B$3:$B$12,Ref!$C$3:$C$12,"",1)</f>
        <v>1</v>
      </c>
      <c r="M1562" s="11">
        <f>_xlfn.XLOOKUP(H1562,Ref!$B$3:$B$12,Ref!$C$3:$C$12,"",1)</f>
        <v>1</v>
      </c>
    </row>
    <row r="1563" spans="2:13" x14ac:dyDescent="0.25">
      <c r="B1563" s="15" t="s">
        <v>57</v>
      </c>
      <c r="C1563" s="9">
        <v>40.200000000000003</v>
      </c>
      <c r="D1563" s="9">
        <v>46.2</v>
      </c>
      <c r="E1563" s="10">
        <v>53.9</v>
      </c>
      <c r="F1563" s="9">
        <f t="shared" si="91"/>
        <v>12.796057424588387</v>
      </c>
      <c r="G1563" s="9">
        <f t="shared" si="92"/>
        <v>14.70591674169113</v>
      </c>
      <c r="H1563" s="10">
        <f t="shared" si="93"/>
        <v>17.156902865306318</v>
      </c>
      <c r="K1563" s="11">
        <f>_xlfn.XLOOKUP(F1563,Ref!$B$3:$B$12,Ref!$C$3:$C$12,"",1)</f>
        <v>1</v>
      </c>
      <c r="L1563" s="11">
        <f>_xlfn.XLOOKUP(G1563,Ref!$B$3:$B$12,Ref!$C$3:$C$12,"",1)</f>
        <v>1</v>
      </c>
      <c r="M1563" s="11">
        <f>_xlfn.XLOOKUP(H1563,Ref!$B$3:$B$12,Ref!$C$3:$C$12,"",1)</f>
        <v>1</v>
      </c>
    </row>
    <row r="1564" spans="2:13" x14ac:dyDescent="0.25">
      <c r="B1564" s="15" t="s">
        <v>7</v>
      </c>
      <c r="C1564" s="9">
        <v>56.3</v>
      </c>
      <c r="D1564" s="9">
        <v>61.3</v>
      </c>
      <c r="E1564" s="10">
        <v>62</v>
      </c>
      <c r="F1564" s="9">
        <f t="shared" si="91"/>
        <v>17.920846592147413</v>
      </c>
      <c r="G1564" s="9">
        <f t="shared" si="92"/>
        <v>19.512396023066369</v>
      </c>
      <c r="H1564" s="10">
        <f t="shared" si="93"/>
        <v>19.735212943395023</v>
      </c>
      <c r="K1564" s="11">
        <f>_xlfn.XLOOKUP(F1564,Ref!$B$3:$B$12,Ref!$C$3:$C$12,"",1)</f>
        <v>1</v>
      </c>
      <c r="L1564" s="11">
        <f>_xlfn.XLOOKUP(G1564,Ref!$B$3:$B$12,Ref!$C$3:$C$12,"",1)</f>
        <v>1</v>
      </c>
      <c r="M1564" s="11">
        <f>_xlfn.XLOOKUP(H1564,Ref!$B$3:$B$12,Ref!$C$3:$C$12,"",1)</f>
        <v>1</v>
      </c>
    </row>
    <row r="1565" spans="2:13" x14ac:dyDescent="0.25">
      <c r="B1565" s="15" t="s">
        <v>44</v>
      </c>
      <c r="C1565" s="9">
        <v>34.6</v>
      </c>
      <c r="D1565" s="9">
        <v>35.799999999999997</v>
      </c>
      <c r="E1565" s="10">
        <v>36.5</v>
      </c>
      <c r="F1565" s="9">
        <f t="shared" si="91"/>
        <v>11.013522061959158</v>
      </c>
      <c r="G1565" s="9">
        <f t="shared" si="92"/>
        <v>11.395493925379705</v>
      </c>
      <c r="H1565" s="10">
        <f t="shared" si="93"/>
        <v>11.618310845708359</v>
      </c>
      <c r="K1565" s="11">
        <f>_xlfn.XLOOKUP(F1565,Ref!$B$3:$B$12,Ref!$C$3:$C$12,"",1)</f>
        <v>1</v>
      </c>
      <c r="L1565" s="11">
        <f>_xlfn.XLOOKUP(G1565,Ref!$B$3:$B$12,Ref!$C$3:$C$12,"",1)</f>
        <v>1</v>
      </c>
      <c r="M1565" s="11">
        <f>_xlfn.XLOOKUP(H1565,Ref!$B$3:$B$12,Ref!$C$3:$C$12,"",1)</f>
        <v>1</v>
      </c>
    </row>
    <row r="1566" spans="2:13" x14ac:dyDescent="0.25">
      <c r="B1566" s="15" t="s">
        <v>25</v>
      </c>
      <c r="C1566" s="9">
        <v>51.1</v>
      </c>
      <c r="D1566" s="9">
        <v>53.4</v>
      </c>
      <c r="E1566" s="10">
        <v>53.6</v>
      </c>
      <c r="F1566" s="9">
        <f t="shared" si="91"/>
        <v>16.265635183991705</v>
      </c>
      <c r="G1566" s="9">
        <f t="shared" si="92"/>
        <v>16.997747922214423</v>
      </c>
      <c r="H1566" s="10">
        <f t="shared" si="93"/>
        <v>17.061409899451181</v>
      </c>
      <c r="K1566" s="11">
        <f>_xlfn.XLOOKUP(F1566,Ref!$B$3:$B$12,Ref!$C$3:$C$12,"",1)</f>
        <v>1</v>
      </c>
      <c r="L1566" s="11">
        <f>_xlfn.XLOOKUP(G1566,Ref!$B$3:$B$12,Ref!$C$3:$C$12,"",1)</f>
        <v>1</v>
      </c>
      <c r="M1566" s="11">
        <f>_xlfn.XLOOKUP(H1566,Ref!$B$3:$B$12,Ref!$C$3:$C$12,"",1)</f>
        <v>1</v>
      </c>
    </row>
    <row r="1567" spans="2:13" x14ac:dyDescent="0.25">
      <c r="B1567" s="15" t="s">
        <v>44</v>
      </c>
      <c r="C1567" s="9">
        <v>53.4</v>
      </c>
      <c r="D1567" s="9">
        <v>54.5</v>
      </c>
      <c r="E1567" s="10">
        <v>54.9</v>
      </c>
      <c r="F1567" s="9">
        <f t="shared" si="91"/>
        <v>16.997747922214423</v>
      </c>
      <c r="G1567" s="9">
        <f t="shared" si="92"/>
        <v>17.347888797016591</v>
      </c>
      <c r="H1567" s="10">
        <f t="shared" si="93"/>
        <v>17.475212751490108</v>
      </c>
      <c r="K1567" s="11">
        <f>_xlfn.XLOOKUP(F1567,Ref!$B$3:$B$12,Ref!$C$3:$C$12,"",1)</f>
        <v>1</v>
      </c>
      <c r="L1567" s="11">
        <f>_xlfn.XLOOKUP(G1567,Ref!$B$3:$B$12,Ref!$C$3:$C$12,"",1)</f>
        <v>1</v>
      </c>
      <c r="M1567" s="11">
        <f>_xlfn.XLOOKUP(H1567,Ref!$B$3:$B$12,Ref!$C$3:$C$12,"",1)</f>
        <v>1</v>
      </c>
    </row>
    <row r="1568" spans="2:13" x14ac:dyDescent="0.25">
      <c r="B1568" s="15" t="s">
        <v>57</v>
      </c>
      <c r="C1568" s="9">
        <v>32.799999999999997</v>
      </c>
      <c r="D1568" s="9">
        <v>34.200000000000003</v>
      </c>
      <c r="E1568" s="10">
        <v>36.4</v>
      </c>
      <c r="F1568" s="9">
        <f t="shared" si="91"/>
        <v>10.440564266828334</v>
      </c>
      <c r="G1568" s="9">
        <f t="shared" si="92"/>
        <v>10.886198107485642</v>
      </c>
      <c r="H1568" s="10">
        <f t="shared" si="93"/>
        <v>11.58647985708998</v>
      </c>
      <c r="K1568" s="11">
        <f>_xlfn.XLOOKUP(F1568,Ref!$B$3:$B$12,Ref!$C$3:$C$12,"",1)</f>
        <v>1</v>
      </c>
      <c r="L1568" s="11">
        <f>_xlfn.XLOOKUP(G1568,Ref!$B$3:$B$12,Ref!$C$3:$C$12,"",1)</f>
        <v>1</v>
      </c>
      <c r="M1568" s="11">
        <f>_xlfn.XLOOKUP(H1568,Ref!$B$3:$B$12,Ref!$C$3:$C$12,"",1)</f>
        <v>1</v>
      </c>
    </row>
    <row r="1569" spans="2:13" x14ac:dyDescent="0.25">
      <c r="B1569" s="15" t="s">
        <v>57</v>
      </c>
      <c r="C1569" s="9">
        <v>40.9</v>
      </c>
      <c r="D1569" s="9">
        <v>44.7</v>
      </c>
      <c r="E1569" s="10">
        <v>47.6</v>
      </c>
      <c r="F1569" s="9">
        <f t="shared" si="91"/>
        <v>13.018874344917039</v>
      </c>
      <c r="G1569" s="9">
        <f t="shared" si="92"/>
        <v>14.228451912415444</v>
      </c>
      <c r="H1569" s="10">
        <f t="shared" si="93"/>
        <v>15.151550582348436</v>
      </c>
      <c r="K1569" s="11">
        <f>_xlfn.XLOOKUP(F1569,Ref!$B$3:$B$12,Ref!$C$3:$C$12,"",1)</f>
        <v>1</v>
      </c>
      <c r="L1569" s="11">
        <f>_xlfn.XLOOKUP(G1569,Ref!$B$3:$B$12,Ref!$C$3:$C$12,"",1)</f>
        <v>1</v>
      </c>
      <c r="M1569" s="11">
        <f>_xlfn.XLOOKUP(H1569,Ref!$B$3:$B$12,Ref!$C$3:$C$12,"",1)</f>
        <v>1</v>
      </c>
    </row>
    <row r="1570" spans="2:13" x14ac:dyDescent="0.25">
      <c r="B1570" s="15" t="s">
        <v>74</v>
      </c>
      <c r="C1570" s="9">
        <v>32.1</v>
      </c>
      <c r="D1570" s="9">
        <v>34.4</v>
      </c>
      <c r="E1570" s="10">
        <v>34.799999999999997</v>
      </c>
      <c r="F1570" s="9">
        <f t="shared" si="91"/>
        <v>10.217747346499682</v>
      </c>
      <c r="G1570" s="9">
        <f t="shared" si="92"/>
        <v>10.949860084722399</v>
      </c>
      <c r="H1570" s="10">
        <f t="shared" si="93"/>
        <v>11.077184039195915</v>
      </c>
      <c r="K1570" s="11">
        <f>_xlfn.XLOOKUP(F1570,Ref!$B$3:$B$12,Ref!$C$3:$C$12,"",1)</f>
        <v>1</v>
      </c>
      <c r="L1570" s="11">
        <f>_xlfn.XLOOKUP(G1570,Ref!$B$3:$B$12,Ref!$C$3:$C$12,"",1)</f>
        <v>1</v>
      </c>
      <c r="M1570" s="11">
        <f>_xlfn.XLOOKUP(H1570,Ref!$B$3:$B$12,Ref!$C$3:$C$12,"",1)</f>
        <v>1</v>
      </c>
    </row>
    <row r="1571" spans="2:13" x14ac:dyDescent="0.25">
      <c r="B1571" s="15" t="s">
        <v>12</v>
      </c>
      <c r="C1571" s="9">
        <v>34.5</v>
      </c>
      <c r="D1571" s="9">
        <v>35.200000000000003</v>
      </c>
      <c r="E1571" s="10">
        <v>35.4</v>
      </c>
      <c r="F1571" s="9">
        <f t="shared" si="91"/>
        <v>10.981691073340778</v>
      </c>
      <c r="G1571" s="9">
        <f t="shared" si="92"/>
        <v>11.204507993669433</v>
      </c>
      <c r="H1571" s="10">
        <f t="shared" si="93"/>
        <v>11.26816997090619</v>
      </c>
      <c r="K1571" s="11">
        <f>_xlfn.XLOOKUP(F1571,Ref!$B$3:$B$12,Ref!$C$3:$C$12,"",1)</f>
        <v>1</v>
      </c>
      <c r="L1571" s="11">
        <f>_xlfn.XLOOKUP(G1571,Ref!$B$3:$B$12,Ref!$C$3:$C$12,"",1)</f>
        <v>1</v>
      </c>
      <c r="M1571" s="11">
        <f>_xlfn.XLOOKUP(H1571,Ref!$B$3:$B$12,Ref!$C$3:$C$12,"",1)</f>
        <v>1</v>
      </c>
    </row>
    <row r="1572" spans="2:13" x14ac:dyDescent="0.25">
      <c r="B1572" s="15" t="s">
        <v>26</v>
      </c>
      <c r="C1572" s="9">
        <v>144.69999999999999</v>
      </c>
      <c r="D1572" s="9">
        <v>149.9</v>
      </c>
      <c r="E1572" s="10">
        <v>158.5</v>
      </c>
      <c r="F1572" s="9">
        <f t="shared" si="91"/>
        <v>46.059440530794511</v>
      </c>
      <c r="G1572" s="9">
        <f t="shared" si="92"/>
        <v>47.714651938950226</v>
      </c>
      <c r="H1572" s="10">
        <f t="shared" si="93"/>
        <v>50.452116960130823</v>
      </c>
      <c r="K1572" s="11">
        <f>_xlfn.XLOOKUP(F1572,Ref!$B$3:$B$12,Ref!$C$3:$C$12,"",1)</f>
        <v>4</v>
      </c>
      <c r="L1572" s="11">
        <f>_xlfn.XLOOKUP(G1572,Ref!$B$3:$B$12,Ref!$C$3:$C$12,"",1)</f>
        <v>4</v>
      </c>
      <c r="M1572" s="11">
        <f>_xlfn.XLOOKUP(H1572,Ref!$B$3:$B$12,Ref!$C$3:$C$12,"",1)</f>
        <v>5</v>
      </c>
    </row>
    <row r="1573" spans="2:13" x14ac:dyDescent="0.25">
      <c r="B1573" s="15" t="s">
        <v>57</v>
      </c>
      <c r="C1573" s="9">
        <v>36.200000000000003</v>
      </c>
      <c r="D1573" s="9">
        <v>38.799999999999997</v>
      </c>
      <c r="E1573" s="10">
        <v>42.3</v>
      </c>
      <c r="F1573" s="9">
        <f t="shared" si="91"/>
        <v>11.522817879853223</v>
      </c>
      <c r="G1573" s="9">
        <f t="shared" si="92"/>
        <v>12.350423583931077</v>
      </c>
      <c r="H1573" s="10">
        <f t="shared" si="93"/>
        <v>13.464508185574346</v>
      </c>
      <c r="K1573" s="11">
        <f>_xlfn.XLOOKUP(F1573,Ref!$B$3:$B$12,Ref!$C$3:$C$12,"",1)</f>
        <v>1</v>
      </c>
      <c r="L1573" s="11">
        <f>_xlfn.XLOOKUP(G1573,Ref!$B$3:$B$12,Ref!$C$3:$C$12,"",1)</f>
        <v>1</v>
      </c>
      <c r="M1573" s="11">
        <f>_xlfn.XLOOKUP(H1573,Ref!$B$3:$B$12,Ref!$C$3:$C$12,"",1)</f>
        <v>1</v>
      </c>
    </row>
    <row r="1574" spans="2:13" x14ac:dyDescent="0.25">
      <c r="B1574" s="15" t="s">
        <v>57</v>
      </c>
      <c r="C1574" s="9">
        <v>37.9</v>
      </c>
      <c r="D1574" s="9">
        <v>38.799999999999997</v>
      </c>
      <c r="E1574" s="10">
        <v>40.700000000000003</v>
      </c>
      <c r="F1574" s="9">
        <f t="shared" si="91"/>
        <v>12.063944686365666</v>
      </c>
      <c r="G1574" s="9">
        <f t="shared" si="92"/>
        <v>12.350423583931077</v>
      </c>
      <c r="H1574" s="10">
        <f t="shared" si="93"/>
        <v>12.955212367680282</v>
      </c>
      <c r="K1574" s="11">
        <f>_xlfn.XLOOKUP(F1574,Ref!$B$3:$B$12,Ref!$C$3:$C$12,"",1)</f>
        <v>1</v>
      </c>
      <c r="L1574" s="11">
        <f>_xlfn.XLOOKUP(G1574,Ref!$B$3:$B$12,Ref!$C$3:$C$12,"",1)</f>
        <v>1</v>
      </c>
      <c r="M1574" s="11">
        <f>_xlfn.XLOOKUP(H1574,Ref!$B$3:$B$12,Ref!$C$3:$C$12,"",1)</f>
        <v>1</v>
      </c>
    </row>
    <row r="1575" spans="2:13" x14ac:dyDescent="0.25">
      <c r="B1575" s="15" t="s">
        <v>12</v>
      </c>
      <c r="C1575" s="9">
        <v>40.1</v>
      </c>
      <c r="D1575" s="9">
        <v>44.6</v>
      </c>
      <c r="E1575" s="10">
        <v>49</v>
      </c>
      <c r="F1575" s="9">
        <f t="shared" si="91"/>
        <v>12.764226435970008</v>
      </c>
      <c r="G1575" s="9">
        <f t="shared" si="92"/>
        <v>14.196620923797065</v>
      </c>
      <c r="H1575" s="10">
        <f t="shared" si="93"/>
        <v>15.597184423005743</v>
      </c>
      <c r="K1575" s="11">
        <f>_xlfn.XLOOKUP(F1575,Ref!$B$3:$B$12,Ref!$C$3:$C$12,"",1)</f>
        <v>1</v>
      </c>
      <c r="L1575" s="11">
        <f>_xlfn.XLOOKUP(G1575,Ref!$B$3:$B$12,Ref!$C$3:$C$12,"",1)</f>
        <v>1</v>
      </c>
      <c r="M1575" s="11">
        <f>_xlfn.XLOOKUP(H1575,Ref!$B$3:$B$12,Ref!$C$3:$C$12,"",1)</f>
        <v>1</v>
      </c>
    </row>
    <row r="1576" spans="2:13" x14ac:dyDescent="0.25">
      <c r="B1576" s="15" t="s">
        <v>12</v>
      </c>
      <c r="C1576" s="9">
        <v>38.1</v>
      </c>
      <c r="D1576" s="9">
        <v>40.200000000000003</v>
      </c>
      <c r="E1576" s="10">
        <v>41.2</v>
      </c>
      <c r="F1576" s="9">
        <f t="shared" si="91"/>
        <v>12.127606663602425</v>
      </c>
      <c r="G1576" s="9">
        <f t="shared" si="92"/>
        <v>12.796057424588387</v>
      </c>
      <c r="H1576" s="10">
        <f t="shared" si="93"/>
        <v>13.114367310772177</v>
      </c>
      <c r="K1576" s="11">
        <f>_xlfn.XLOOKUP(F1576,Ref!$B$3:$B$12,Ref!$C$3:$C$12,"",1)</f>
        <v>1</v>
      </c>
      <c r="L1576" s="11">
        <f>_xlfn.XLOOKUP(G1576,Ref!$B$3:$B$12,Ref!$C$3:$C$12,"",1)</f>
        <v>1</v>
      </c>
      <c r="M1576" s="11">
        <f>_xlfn.XLOOKUP(H1576,Ref!$B$3:$B$12,Ref!$C$3:$C$12,"",1)</f>
        <v>1</v>
      </c>
    </row>
    <row r="1577" spans="2:13" x14ac:dyDescent="0.25">
      <c r="B1577" s="15" t="s">
        <v>25</v>
      </c>
      <c r="C1577" s="9">
        <v>44.3</v>
      </c>
      <c r="D1577" s="9">
        <v>46.8</v>
      </c>
      <c r="E1577" s="10">
        <v>47.9</v>
      </c>
      <c r="F1577" s="9">
        <f t="shared" si="91"/>
        <v>14.101127957941927</v>
      </c>
      <c r="G1577" s="9">
        <f t="shared" si="92"/>
        <v>14.896902673401403</v>
      </c>
      <c r="H1577" s="10">
        <f t="shared" si="93"/>
        <v>15.247043548203573</v>
      </c>
      <c r="K1577" s="11">
        <f>_xlfn.XLOOKUP(F1577,Ref!$B$3:$B$12,Ref!$C$3:$C$12,"",1)</f>
        <v>1</v>
      </c>
      <c r="L1577" s="11">
        <f>_xlfn.XLOOKUP(G1577,Ref!$B$3:$B$12,Ref!$C$3:$C$12,"",1)</f>
        <v>1</v>
      </c>
      <c r="M1577" s="11">
        <f>_xlfn.XLOOKUP(H1577,Ref!$B$3:$B$12,Ref!$C$3:$C$12,"",1)</f>
        <v>1</v>
      </c>
    </row>
    <row r="1578" spans="2:13" x14ac:dyDescent="0.25">
      <c r="B1578" s="15" t="s">
        <v>25</v>
      </c>
      <c r="C1578" s="9"/>
      <c r="D1578" s="9">
        <v>42</v>
      </c>
      <c r="E1578" s="10">
        <v>42.8</v>
      </c>
      <c r="F1578" s="9" t="str">
        <f t="shared" si="91"/>
        <v/>
      </c>
      <c r="G1578" s="9">
        <f t="shared" si="92"/>
        <v>13.369015219719209</v>
      </c>
      <c r="H1578" s="10">
        <f t="shared" si="93"/>
        <v>13.623663128666241</v>
      </c>
      <c r="K1578" s="11" t="str">
        <f>_xlfn.XLOOKUP(F1578,Ref!$B$3:$B$12,Ref!$C$3:$C$12,"",1)</f>
        <v/>
      </c>
      <c r="L1578" s="11">
        <f>_xlfn.XLOOKUP(G1578,Ref!$B$3:$B$12,Ref!$C$3:$C$12,"",1)</f>
        <v>1</v>
      </c>
      <c r="M1578" s="11">
        <f>_xlfn.XLOOKUP(H1578,Ref!$B$3:$B$12,Ref!$C$3:$C$12,"",1)</f>
        <v>1</v>
      </c>
    </row>
    <row r="1579" spans="2:13" x14ac:dyDescent="0.25">
      <c r="B1579" s="15" t="s">
        <v>57</v>
      </c>
      <c r="C1579" s="9">
        <v>40.700000000000003</v>
      </c>
      <c r="D1579" s="9">
        <v>44.4</v>
      </c>
      <c r="E1579" s="10">
        <v>48.3</v>
      </c>
      <c r="F1579" s="9">
        <f t="shared" si="91"/>
        <v>12.955212367680282</v>
      </c>
      <c r="G1579" s="9">
        <f t="shared" si="92"/>
        <v>14.132958946560306</v>
      </c>
      <c r="H1579" s="10">
        <f t="shared" si="93"/>
        <v>15.374367502677089</v>
      </c>
      <c r="K1579" s="11">
        <f>_xlfn.XLOOKUP(F1579,Ref!$B$3:$B$12,Ref!$C$3:$C$12,"",1)</f>
        <v>1</v>
      </c>
      <c r="L1579" s="11">
        <f>_xlfn.XLOOKUP(G1579,Ref!$B$3:$B$12,Ref!$C$3:$C$12,"",1)</f>
        <v>1</v>
      </c>
      <c r="M1579" s="11">
        <f>_xlfn.XLOOKUP(H1579,Ref!$B$3:$B$12,Ref!$C$3:$C$12,"",1)</f>
        <v>1</v>
      </c>
    </row>
    <row r="1580" spans="2:13" x14ac:dyDescent="0.25">
      <c r="B1580" s="15" t="s">
        <v>26</v>
      </c>
      <c r="C1580" s="9">
        <v>121.8</v>
      </c>
      <c r="D1580" s="9">
        <v>121.3</v>
      </c>
      <c r="E1580" s="10">
        <v>124.9</v>
      </c>
      <c r="F1580" s="9">
        <f t="shared" si="91"/>
        <v>38.770144137185703</v>
      </c>
      <c r="G1580" s="9">
        <f t="shared" si="92"/>
        <v>38.610989194093811</v>
      </c>
      <c r="H1580" s="10">
        <f t="shared" si="93"/>
        <v>39.756904784355456</v>
      </c>
      <c r="K1580" s="11">
        <f>_xlfn.XLOOKUP(F1580,Ref!$B$3:$B$12,Ref!$C$3:$C$12,"",1)</f>
        <v>3</v>
      </c>
      <c r="L1580" s="11">
        <f>_xlfn.XLOOKUP(G1580,Ref!$B$3:$B$12,Ref!$C$3:$C$12,"",1)</f>
        <v>3</v>
      </c>
      <c r="M1580" s="11">
        <f>_xlfn.XLOOKUP(H1580,Ref!$B$3:$B$12,Ref!$C$3:$C$12,"",1)</f>
        <v>3</v>
      </c>
    </row>
    <row r="1581" spans="2:13" x14ac:dyDescent="0.25">
      <c r="B1581" s="15" t="s">
        <v>82</v>
      </c>
      <c r="C1581" s="9">
        <v>60.4</v>
      </c>
      <c r="D1581" s="9">
        <v>63.9</v>
      </c>
      <c r="E1581" s="10">
        <v>69.8</v>
      </c>
      <c r="F1581" s="9">
        <f t="shared" si="91"/>
        <v>19.225917125500956</v>
      </c>
      <c r="G1581" s="9">
        <f t="shared" si="92"/>
        <v>20.340001727144223</v>
      </c>
      <c r="H1581" s="10">
        <f t="shared" si="93"/>
        <v>22.218030055628589</v>
      </c>
      <c r="K1581" s="11">
        <f>_xlfn.XLOOKUP(F1581,Ref!$B$3:$B$12,Ref!$C$3:$C$12,"",1)</f>
        <v>1</v>
      </c>
      <c r="L1581" s="11">
        <f>_xlfn.XLOOKUP(G1581,Ref!$B$3:$B$12,Ref!$C$3:$C$12,"",1)</f>
        <v>2</v>
      </c>
      <c r="M1581" s="11">
        <f>_xlfn.XLOOKUP(H1581,Ref!$B$3:$B$12,Ref!$C$3:$C$12,"",1)</f>
        <v>2</v>
      </c>
    </row>
    <row r="1582" spans="2:13" x14ac:dyDescent="0.25">
      <c r="B1582" s="15" t="s">
        <v>12</v>
      </c>
      <c r="C1582" s="9">
        <v>40.6</v>
      </c>
      <c r="D1582" s="9">
        <v>42.6</v>
      </c>
      <c r="E1582" s="10">
        <v>42.5</v>
      </c>
      <c r="F1582" s="9">
        <f t="shared" si="91"/>
        <v>12.923381379061903</v>
      </c>
      <c r="G1582" s="9">
        <f t="shared" si="92"/>
        <v>13.560001151429484</v>
      </c>
      <c r="H1582" s="10">
        <f t="shared" si="93"/>
        <v>13.528170162811104</v>
      </c>
      <c r="K1582" s="11">
        <f>_xlfn.XLOOKUP(F1582,Ref!$B$3:$B$12,Ref!$C$3:$C$12,"",1)</f>
        <v>1</v>
      </c>
      <c r="L1582" s="11">
        <f>_xlfn.XLOOKUP(G1582,Ref!$B$3:$B$12,Ref!$C$3:$C$12,"",1)</f>
        <v>1</v>
      </c>
      <c r="M1582" s="11">
        <f>_xlfn.XLOOKUP(H1582,Ref!$B$3:$B$12,Ref!$C$3:$C$12,"",1)</f>
        <v>1</v>
      </c>
    </row>
    <row r="1583" spans="2:13" x14ac:dyDescent="0.25">
      <c r="B1583" s="15" t="s">
        <v>2</v>
      </c>
      <c r="C1583" s="9">
        <v>43.5</v>
      </c>
      <c r="D1583" s="9">
        <v>45.7</v>
      </c>
      <c r="E1583" s="10">
        <v>44.9</v>
      </c>
      <c r="F1583" s="9">
        <f t="shared" si="91"/>
        <v>13.846480048994895</v>
      </c>
      <c r="G1583" s="9">
        <f t="shared" si="92"/>
        <v>14.546761798599235</v>
      </c>
      <c r="H1583" s="10">
        <f t="shared" si="93"/>
        <v>14.292113889652201</v>
      </c>
      <c r="K1583" s="11">
        <f>_xlfn.XLOOKUP(F1583,Ref!$B$3:$B$12,Ref!$C$3:$C$12,"",1)</f>
        <v>1</v>
      </c>
      <c r="L1583" s="11">
        <f>_xlfn.XLOOKUP(G1583,Ref!$B$3:$B$12,Ref!$C$3:$C$12,"",1)</f>
        <v>1</v>
      </c>
      <c r="M1583" s="11">
        <f>_xlfn.XLOOKUP(H1583,Ref!$B$3:$B$12,Ref!$C$3:$C$12,"",1)</f>
        <v>1</v>
      </c>
    </row>
    <row r="1584" spans="2:13" x14ac:dyDescent="0.25">
      <c r="B1584" s="15" t="s">
        <v>82</v>
      </c>
      <c r="C1584" s="9">
        <v>40.799999999999997</v>
      </c>
      <c r="D1584" s="9">
        <v>44</v>
      </c>
      <c r="E1584" s="10">
        <v>46.3</v>
      </c>
      <c r="F1584" s="9">
        <f t="shared" si="91"/>
        <v>12.98704335629866</v>
      </c>
      <c r="G1584" s="9">
        <f t="shared" si="92"/>
        <v>14.00563499208679</v>
      </c>
      <c r="H1584" s="10">
        <f t="shared" si="93"/>
        <v>14.737747730309508</v>
      </c>
      <c r="K1584" s="11">
        <f>_xlfn.XLOOKUP(F1584,Ref!$B$3:$B$12,Ref!$C$3:$C$12,"",1)</f>
        <v>1</v>
      </c>
      <c r="L1584" s="11">
        <f>_xlfn.XLOOKUP(G1584,Ref!$B$3:$B$12,Ref!$C$3:$C$12,"",1)</f>
        <v>1</v>
      </c>
      <c r="M1584" s="11">
        <f>_xlfn.XLOOKUP(H1584,Ref!$B$3:$B$12,Ref!$C$3:$C$12,"",1)</f>
        <v>1</v>
      </c>
    </row>
    <row r="1585" spans="2:13" x14ac:dyDescent="0.25">
      <c r="B1585" s="15" t="s">
        <v>12</v>
      </c>
      <c r="C1585" s="9">
        <v>42.1</v>
      </c>
      <c r="D1585" s="9">
        <v>43.2</v>
      </c>
      <c r="E1585" s="10">
        <v>45.5</v>
      </c>
      <c r="F1585" s="9">
        <f t="shared" si="91"/>
        <v>13.400846208337589</v>
      </c>
      <c r="G1585" s="9">
        <f t="shared" si="92"/>
        <v>13.750987083139758</v>
      </c>
      <c r="H1585" s="10">
        <f t="shared" si="93"/>
        <v>14.483099821362476</v>
      </c>
      <c r="K1585" s="11">
        <f>_xlfn.XLOOKUP(F1585,Ref!$B$3:$B$12,Ref!$C$3:$C$12,"",1)</f>
        <v>1</v>
      </c>
      <c r="L1585" s="11">
        <f>_xlfn.XLOOKUP(G1585,Ref!$B$3:$B$12,Ref!$C$3:$C$12,"",1)</f>
        <v>1</v>
      </c>
      <c r="M1585" s="11">
        <f>_xlfn.XLOOKUP(H1585,Ref!$B$3:$B$12,Ref!$C$3:$C$12,"",1)</f>
        <v>1</v>
      </c>
    </row>
    <row r="1586" spans="2:13" x14ac:dyDescent="0.25">
      <c r="B1586" s="15" t="s">
        <v>64</v>
      </c>
      <c r="C1586" s="9">
        <v>59.1</v>
      </c>
      <c r="D1586" s="9">
        <v>62</v>
      </c>
      <c r="E1586" s="10">
        <v>63.5</v>
      </c>
      <c r="F1586" s="9">
        <f t="shared" si="91"/>
        <v>18.812114273462029</v>
      </c>
      <c r="G1586" s="9">
        <f t="shared" si="92"/>
        <v>19.735212943395023</v>
      </c>
      <c r="H1586" s="10">
        <f t="shared" si="93"/>
        <v>20.212677772670709</v>
      </c>
      <c r="K1586" s="11">
        <f>_xlfn.XLOOKUP(F1586,Ref!$B$3:$B$12,Ref!$C$3:$C$12,"",1)</f>
        <v>1</v>
      </c>
      <c r="L1586" s="11">
        <f>_xlfn.XLOOKUP(G1586,Ref!$B$3:$B$12,Ref!$C$3:$C$12,"",1)</f>
        <v>1</v>
      </c>
      <c r="M1586" s="11">
        <f>_xlfn.XLOOKUP(H1586,Ref!$B$3:$B$12,Ref!$C$3:$C$12,"",1)</f>
        <v>2</v>
      </c>
    </row>
    <row r="1587" spans="2:13" x14ac:dyDescent="0.25">
      <c r="B1587" s="15" t="s">
        <v>12</v>
      </c>
      <c r="C1587" s="9">
        <v>41.5</v>
      </c>
      <c r="D1587" s="9">
        <v>44.8</v>
      </c>
      <c r="E1587" s="10">
        <v>48</v>
      </c>
      <c r="F1587" s="9">
        <f t="shared" si="91"/>
        <v>13.209860276627314</v>
      </c>
      <c r="G1587" s="9">
        <f t="shared" si="92"/>
        <v>14.260282901033822</v>
      </c>
      <c r="H1587" s="10">
        <f t="shared" si="93"/>
        <v>15.278874536821952</v>
      </c>
      <c r="K1587" s="11">
        <f>_xlfn.XLOOKUP(F1587,Ref!$B$3:$B$12,Ref!$C$3:$C$12,"",1)</f>
        <v>1</v>
      </c>
      <c r="L1587" s="11">
        <f>_xlfn.XLOOKUP(G1587,Ref!$B$3:$B$12,Ref!$C$3:$C$12,"",1)</f>
        <v>1</v>
      </c>
      <c r="M1587" s="11">
        <f>_xlfn.XLOOKUP(H1587,Ref!$B$3:$B$12,Ref!$C$3:$C$12,"",1)</f>
        <v>1</v>
      </c>
    </row>
    <row r="1588" spans="2:13" x14ac:dyDescent="0.25">
      <c r="B1588" s="15" t="s">
        <v>12</v>
      </c>
      <c r="C1588" s="9">
        <v>44.3</v>
      </c>
      <c r="D1588" s="9">
        <v>46.8</v>
      </c>
      <c r="E1588" s="10">
        <v>49.3</v>
      </c>
      <c r="F1588" s="9">
        <f t="shared" si="91"/>
        <v>14.101127957941927</v>
      </c>
      <c r="G1588" s="9">
        <f t="shared" si="92"/>
        <v>14.896902673401403</v>
      </c>
      <c r="H1588" s="10">
        <f t="shared" si="93"/>
        <v>15.692677388860879</v>
      </c>
      <c r="K1588" s="11">
        <f>_xlfn.XLOOKUP(F1588,Ref!$B$3:$B$12,Ref!$C$3:$C$12,"",1)</f>
        <v>1</v>
      </c>
      <c r="L1588" s="11">
        <f>_xlfn.XLOOKUP(G1588,Ref!$B$3:$B$12,Ref!$C$3:$C$12,"",1)</f>
        <v>1</v>
      </c>
      <c r="M1588" s="11">
        <f>_xlfn.XLOOKUP(H1588,Ref!$B$3:$B$12,Ref!$C$3:$C$12,"",1)</f>
        <v>1</v>
      </c>
    </row>
    <row r="1589" spans="2:13" x14ac:dyDescent="0.25">
      <c r="B1589" s="15" t="s">
        <v>26</v>
      </c>
      <c r="C1589" s="9">
        <v>182.5</v>
      </c>
      <c r="D1589" s="9">
        <v>185.5</v>
      </c>
      <c r="E1589" s="10">
        <v>191.9</v>
      </c>
      <c r="F1589" s="9">
        <f t="shared" si="91"/>
        <v>58.091554228541803</v>
      </c>
      <c r="G1589" s="9">
        <f t="shared" si="92"/>
        <v>59.046483887093174</v>
      </c>
      <c r="H1589" s="10">
        <f t="shared" si="93"/>
        <v>61.083667158669435</v>
      </c>
      <c r="K1589" s="11">
        <f>_xlfn.XLOOKUP(F1589,Ref!$B$3:$B$12,Ref!$C$3:$C$12,"",1)</f>
        <v>5</v>
      </c>
      <c r="L1589" s="11">
        <f>_xlfn.XLOOKUP(G1589,Ref!$B$3:$B$12,Ref!$C$3:$C$12,"",1)</f>
        <v>5</v>
      </c>
      <c r="M1589" s="11">
        <f>_xlfn.XLOOKUP(H1589,Ref!$B$3:$B$12,Ref!$C$3:$C$12,"",1)</f>
        <v>6</v>
      </c>
    </row>
    <row r="1590" spans="2:13" x14ac:dyDescent="0.25">
      <c r="B1590" s="15" t="s">
        <v>57</v>
      </c>
      <c r="C1590" s="9">
        <v>47</v>
      </c>
      <c r="D1590" s="9">
        <v>50.2</v>
      </c>
      <c r="E1590" s="10">
        <v>53.5</v>
      </c>
      <c r="F1590" s="9">
        <f t="shared" si="91"/>
        <v>14.960564650638162</v>
      </c>
      <c r="G1590" s="9">
        <f t="shared" si="92"/>
        <v>15.979156286426294</v>
      </c>
      <c r="H1590" s="10">
        <f t="shared" si="93"/>
        <v>17.0295789108328</v>
      </c>
      <c r="K1590" s="11">
        <f>_xlfn.XLOOKUP(F1590,Ref!$B$3:$B$12,Ref!$C$3:$C$12,"",1)</f>
        <v>1</v>
      </c>
      <c r="L1590" s="11">
        <f>_xlfn.XLOOKUP(G1590,Ref!$B$3:$B$12,Ref!$C$3:$C$12,"",1)</f>
        <v>1</v>
      </c>
      <c r="M1590" s="11">
        <f>_xlfn.XLOOKUP(H1590,Ref!$B$3:$B$12,Ref!$C$3:$C$12,"",1)</f>
        <v>1</v>
      </c>
    </row>
    <row r="1591" spans="2:13" x14ac:dyDescent="0.25">
      <c r="B1591" s="15" t="s">
        <v>57</v>
      </c>
      <c r="C1591" s="9">
        <v>45.2</v>
      </c>
      <c r="D1591" s="9">
        <v>47.9</v>
      </c>
      <c r="E1591" s="10">
        <v>51.5</v>
      </c>
      <c r="F1591" s="9">
        <f t="shared" si="91"/>
        <v>14.38760685550734</v>
      </c>
      <c r="G1591" s="9">
        <f t="shared" si="92"/>
        <v>15.247043548203573</v>
      </c>
      <c r="H1591" s="10">
        <f t="shared" si="93"/>
        <v>16.392959138465219</v>
      </c>
      <c r="K1591" s="11">
        <f>_xlfn.XLOOKUP(F1591,Ref!$B$3:$B$12,Ref!$C$3:$C$12,"",1)</f>
        <v>1</v>
      </c>
      <c r="L1591" s="11">
        <f>_xlfn.XLOOKUP(G1591,Ref!$B$3:$B$12,Ref!$C$3:$C$12,"",1)</f>
        <v>1</v>
      </c>
      <c r="M1591" s="11">
        <f>_xlfn.XLOOKUP(H1591,Ref!$B$3:$B$12,Ref!$C$3:$C$12,"",1)</f>
        <v>1</v>
      </c>
    </row>
    <row r="1592" spans="2:13" x14ac:dyDescent="0.25">
      <c r="B1592" s="15" t="s">
        <v>8</v>
      </c>
      <c r="C1592" s="9">
        <v>49.2</v>
      </c>
      <c r="D1592" s="9">
        <v>50.8</v>
      </c>
      <c r="E1592" s="10">
        <v>52</v>
      </c>
      <c r="F1592" s="9">
        <f t="shared" si="91"/>
        <v>15.660846400242503</v>
      </c>
      <c r="G1592" s="9">
        <f t="shared" si="92"/>
        <v>16.170142218136565</v>
      </c>
      <c r="H1592" s="10">
        <f t="shared" si="93"/>
        <v>16.552114081557114</v>
      </c>
      <c r="K1592" s="11">
        <f>_xlfn.XLOOKUP(F1592,Ref!$B$3:$B$12,Ref!$C$3:$C$12,"",1)</f>
        <v>1</v>
      </c>
      <c r="L1592" s="11">
        <f>_xlfn.XLOOKUP(G1592,Ref!$B$3:$B$12,Ref!$C$3:$C$12,"",1)</f>
        <v>1</v>
      </c>
      <c r="M1592" s="11">
        <f>_xlfn.XLOOKUP(H1592,Ref!$B$3:$B$12,Ref!$C$3:$C$12,"",1)</f>
        <v>1</v>
      </c>
    </row>
    <row r="1593" spans="2:13" x14ac:dyDescent="0.25">
      <c r="B1593" s="15" t="s">
        <v>8</v>
      </c>
      <c r="C1593" s="9">
        <v>41</v>
      </c>
      <c r="D1593" s="9">
        <v>41</v>
      </c>
      <c r="E1593" s="10">
        <v>40.9</v>
      </c>
      <c r="F1593" s="9">
        <f t="shared" si="91"/>
        <v>13.050705333535419</v>
      </c>
      <c r="G1593" s="9">
        <f t="shared" si="92"/>
        <v>13.050705333535419</v>
      </c>
      <c r="H1593" s="10">
        <f t="shared" si="93"/>
        <v>13.018874344917039</v>
      </c>
      <c r="K1593" s="11">
        <f>_xlfn.XLOOKUP(F1593,Ref!$B$3:$B$12,Ref!$C$3:$C$12,"",1)</f>
        <v>1</v>
      </c>
      <c r="L1593" s="11">
        <f>_xlfn.XLOOKUP(G1593,Ref!$B$3:$B$12,Ref!$C$3:$C$12,"",1)</f>
        <v>1</v>
      </c>
      <c r="M1593" s="11">
        <f>_xlfn.XLOOKUP(H1593,Ref!$B$3:$B$12,Ref!$C$3:$C$12,"",1)</f>
        <v>1</v>
      </c>
    </row>
    <row r="1594" spans="2:13" x14ac:dyDescent="0.25">
      <c r="B1594" s="15" t="s">
        <v>8</v>
      </c>
      <c r="C1594" s="9">
        <v>31.8</v>
      </c>
      <c r="D1594" s="9">
        <v>34</v>
      </c>
      <c r="E1594" s="10">
        <v>37.299999999999997</v>
      </c>
      <c r="F1594" s="9">
        <f t="shared" si="91"/>
        <v>10.122254380644543</v>
      </c>
      <c r="G1594" s="9">
        <f t="shared" si="92"/>
        <v>10.822536130248883</v>
      </c>
      <c r="H1594" s="10">
        <f t="shared" si="93"/>
        <v>11.872958754655391</v>
      </c>
      <c r="K1594" s="11">
        <f>_xlfn.XLOOKUP(F1594,Ref!$B$3:$B$12,Ref!$C$3:$C$12,"",1)</f>
        <v>1</v>
      </c>
      <c r="L1594" s="11">
        <f>_xlfn.XLOOKUP(G1594,Ref!$B$3:$B$12,Ref!$C$3:$C$12,"",1)</f>
        <v>1</v>
      </c>
      <c r="M1594" s="11">
        <f>_xlfn.XLOOKUP(H1594,Ref!$B$3:$B$12,Ref!$C$3:$C$12,"",1)</f>
        <v>1</v>
      </c>
    </row>
    <row r="1595" spans="2:13" x14ac:dyDescent="0.25">
      <c r="B1595" s="15" t="s">
        <v>6</v>
      </c>
      <c r="C1595" s="9">
        <v>37.9</v>
      </c>
      <c r="D1595" s="9">
        <v>40.200000000000003</v>
      </c>
      <c r="E1595" s="10">
        <v>43</v>
      </c>
      <c r="F1595" s="9">
        <f t="shared" si="91"/>
        <v>12.063944686365666</v>
      </c>
      <c r="G1595" s="9">
        <f t="shared" si="92"/>
        <v>12.796057424588387</v>
      </c>
      <c r="H1595" s="10">
        <f t="shared" si="93"/>
        <v>13.687325105903</v>
      </c>
      <c r="K1595" s="11">
        <f>_xlfn.XLOOKUP(F1595,Ref!$B$3:$B$12,Ref!$C$3:$C$12,"",1)</f>
        <v>1</v>
      </c>
      <c r="L1595" s="11">
        <f>_xlfn.XLOOKUP(G1595,Ref!$B$3:$B$12,Ref!$C$3:$C$12,"",1)</f>
        <v>1</v>
      </c>
      <c r="M1595" s="11">
        <f>_xlfn.XLOOKUP(H1595,Ref!$B$3:$B$12,Ref!$C$3:$C$12,"",1)</f>
        <v>1</v>
      </c>
    </row>
    <row r="1596" spans="2:13" x14ac:dyDescent="0.25">
      <c r="B1596" s="15" t="s">
        <v>25</v>
      </c>
      <c r="C1596" s="9">
        <v>49.5</v>
      </c>
      <c r="D1596" s="9">
        <v>50.8</v>
      </c>
      <c r="E1596" s="10">
        <v>52</v>
      </c>
      <c r="F1596" s="9">
        <f t="shared" si="91"/>
        <v>15.756339366097638</v>
      </c>
      <c r="G1596" s="9">
        <f t="shared" si="92"/>
        <v>16.170142218136565</v>
      </c>
      <c r="H1596" s="10">
        <f t="shared" si="93"/>
        <v>16.552114081557114</v>
      </c>
      <c r="K1596" s="11">
        <f>_xlfn.XLOOKUP(F1596,Ref!$B$3:$B$12,Ref!$C$3:$C$12,"",1)</f>
        <v>1</v>
      </c>
      <c r="L1596" s="11">
        <f>_xlfn.XLOOKUP(G1596,Ref!$B$3:$B$12,Ref!$C$3:$C$12,"",1)</f>
        <v>1</v>
      </c>
      <c r="M1596" s="11">
        <f>_xlfn.XLOOKUP(H1596,Ref!$B$3:$B$12,Ref!$C$3:$C$12,"",1)</f>
        <v>1</v>
      </c>
    </row>
    <row r="1597" spans="2:13" x14ac:dyDescent="0.25">
      <c r="B1597" s="15" t="s">
        <v>6</v>
      </c>
      <c r="C1597" s="9">
        <v>51.8</v>
      </c>
      <c r="D1597" s="9">
        <v>53.3</v>
      </c>
      <c r="E1597" s="10">
        <v>53.9</v>
      </c>
      <c r="F1597" s="9">
        <f t="shared" si="91"/>
        <v>16.488452104320356</v>
      </c>
      <c r="G1597" s="9">
        <f t="shared" si="92"/>
        <v>16.965916933596041</v>
      </c>
      <c r="H1597" s="10">
        <f t="shared" si="93"/>
        <v>17.156902865306318</v>
      </c>
      <c r="K1597" s="11">
        <f>_xlfn.XLOOKUP(F1597,Ref!$B$3:$B$12,Ref!$C$3:$C$12,"",1)</f>
        <v>1</v>
      </c>
      <c r="L1597" s="11">
        <f>_xlfn.XLOOKUP(G1597,Ref!$B$3:$B$12,Ref!$C$3:$C$12,"",1)</f>
        <v>1</v>
      </c>
      <c r="M1597" s="11">
        <f>_xlfn.XLOOKUP(H1597,Ref!$B$3:$B$12,Ref!$C$3:$C$12,"",1)</f>
        <v>1</v>
      </c>
    </row>
    <row r="1598" spans="2:13" x14ac:dyDescent="0.25">
      <c r="B1598" s="15" t="s">
        <v>10</v>
      </c>
      <c r="C1598" s="9">
        <v>37.5</v>
      </c>
      <c r="D1598" s="9">
        <v>40</v>
      </c>
      <c r="E1598" s="10">
        <v>42.4</v>
      </c>
      <c r="F1598" s="9">
        <f t="shared" si="91"/>
        <v>11.93662073189215</v>
      </c>
      <c r="G1598" s="9">
        <f t="shared" si="92"/>
        <v>12.732395447351628</v>
      </c>
      <c r="H1598" s="10">
        <f t="shared" si="93"/>
        <v>13.496339174192725</v>
      </c>
      <c r="K1598" s="11">
        <f>_xlfn.XLOOKUP(F1598,Ref!$B$3:$B$12,Ref!$C$3:$C$12,"",1)</f>
        <v>1</v>
      </c>
      <c r="L1598" s="11">
        <f>_xlfn.XLOOKUP(G1598,Ref!$B$3:$B$12,Ref!$C$3:$C$12,"",1)</f>
        <v>1</v>
      </c>
      <c r="M1598" s="11">
        <f>_xlfn.XLOOKUP(H1598,Ref!$B$3:$B$12,Ref!$C$3:$C$12,"",1)</f>
        <v>1</v>
      </c>
    </row>
    <row r="1599" spans="2:13" x14ac:dyDescent="0.25">
      <c r="B1599" s="15" t="s">
        <v>8</v>
      </c>
      <c r="C1599" s="9">
        <v>53.6</v>
      </c>
      <c r="D1599" s="9">
        <v>53</v>
      </c>
      <c r="E1599" s="10">
        <v>53.3</v>
      </c>
      <c r="F1599" s="9">
        <f t="shared" si="91"/>
        <v>17.061409899451181</v>
      </c>
      <c r="G1599" s="9">
        <f t="shared" si="92"/>
        <v>16.870423967740905</v>
      </c>
      <c r="H1599" s="10">
        <f t="shared" si="93"/>
        <v>16.965916933596041</v>
      </c>
      <c r="K1599" s="11">
        <f>_xlfn.XLOOKUP(F1599,Ref!$B$3:$B$12,Ref!$C$3:$C$12,"",1)</f>
        <v>1</v>
      </c>
      <c r="L1599" s="11">
        <f>_xlfn.XLOOKUP(G1599,Ref!$B$3:$B$12,Ref!$C$3:$C$12,"",1)</f>
        <v>1</v>
      </c>
      <c r="M1599" s="11">
        <f>_xlfn.XLOOKUP(H1599,Ref!$B$3:$B$12,Ref!$C$3:$C$12,"",1)</f>
        <v>1</v>
      </c>
    </row>
    <row r="1600" spans="2:13" x14ac:dyDescent="0.25">
      <c r="B1600" s="15" t="s">
        <v>77</v>
      </c>
      <c r="C1600" s="9">
        <v>35</v>
      </c>
      <c r="D1600" s="9">
        <v>36.700000000000003</v>
      </c>
      <c r="E1600" s="10">
        <v>38.5</v>
      </c>
      <c r="F1600" s="9">
        <f t="shared" si="91"/>
        <v>11.140846016432674</v>
      </c>
      <c r="G1600" s="9">
        <f t="shared" si="92"/>
        <v>11.681972822945118</v>
      </c>
      <c r="H1600" s="10">
        <f t="shared" si="93"/>
        <v>12.254930618075941</v>
      </c>
      <c r="K1600" s="11">
        <f>_xlfn.XLOOKUP(F1600,Ref!$B$3:$B$12,Ref!$C$3:$C$12,"",1)</f>
        <v>1</v>
      </c>
      <c r="L1600" s="11">
        <f>_xlfn.XLOOKUP(G1600,Ref!$B$3:$B$12,Ref!$C$3:$C$12,"",1)</f>
        <v>1</v>
      </c>
      <c r="M1600" s="11">
        <f>_xlfn.XLOOKUP(H1600,Ref!$B$3:$B$12,Ref!$C$3:$C$12,"",1)</f>
        <v>1</v>
      </c>
    </row>
    <row r="1601" spans="2:13" x14ac:dyDescent="0.25">
      <c r="B1601" s="15" t="s">
        <v>76</v>
      </c>
      <c r="C1601" s="9">
        <v>41</v>
      </c>
      <c r="D1601" s="9">
        <v>43</v>
      </c>
      <c r="E1601" s="10">
        <v>44.7</v>
      </c>
      <c r="F1601" s="9">
        <f t="shared" si="91"/>
        <v>13.050705333535419</v>
      </c>
      <c r="G1601" s="9">
        <f t="shared" si="92"/>
        <v>13.687325105903</v>
      </c>
      <c r="H1601" s="10">
        <f t="shared" si="93"/>
        <v>14.228451912415444</v>
      </c>
      <c r="K1601" s="11">
        <f>_xlfn.XLOOKUP(F1601,Ref!$B$3:$B$12,Ref!$C$3:$C$12,"",1)</f>
        <v>1</v>
      </c>
      <c r="L1601" s="11">
        <f>_xlfn.XLOOKUP(G1601,Ref!$B$3:$B$12,Ref!$C$3:$C$12,"",1)</f>
        <v>1</v>
      </c>
      <c r="M1601" s="11">
        <f>_xlfn.XLOOKUP(H1601,Ref!$B$3:$B$12,Ref!$C$3:$C$12,"",1)</f>
        <v>1</v>
      </c>
    </row>
    <row r="1602" spans="2:13" x14ac:dyDescent="0.25">
      <c r="B1602" s="15" t="s">
        <v>17</v>
      </c>
      <c r="C1602" s="9">
        <v>83.1</v>
      </c>
      <c r="D1602" s="9">
        <v>86.4</v>
      </c>
      <c r="E1602" s="10">
        <v>95.6</v>
      </c>
      <c r="F1602" s="9">
        <f t="shared" si="91"/>
        <v>26.451551541873005</v>
      </c>
      <c r="G1602" s="9">
        <f t="shared" si="92"/>
        <v>27.501974166279517</v>
      </c>
      <c r="H1602" s="10">
        <f t="shared" si="93"/>
        <v>30.430425119170387</v>
      </c>
      <c r="K1602" s="11">
        <f>_xlfn.XLOOKUP(F1602,Ref!$B$3:$B$12,Ref!$C$3:$C$12,"",1)</f>
        <v>2</v>
      </c>
      <c r="L1602" s="11">
        <f>_xlfn.XLOOKUP(G1602,Ref!$B$3:$B$12,Ref!$C$3:$C$12,"",1)</f>
        <v>2</v>
      </c>
      <c r="M1602" s="11">
        <f>_xlfn.XLOOKUP(H1602,Ref!$B$3:$B$12,Ref!$C$3:$C$12,"",1)</f>
        <v>3</v>
      </c>
    </row>
    <row r="1603" spans="2:13" x14ac:dyDescent="0.25">
      <c r="B1603" s="15" t="s">
        <v>41</v>
      </c>
      <c r="C1603" s="9">
        <v>60.5</v>
      </c>
      <c r="D1603" s="9">
        <v>67.400000000000006</v>
      </c>
      <c r="E1603" s="10">
        <v>74.5</v>
      </c>
      <c r="F1603" s="9">
        <f t="shared" si="91"/>
        <v>19.257748114119337</v>
      </c>
      <c r="G1603" s="9">
        <f t="shared" si="92"/>
        <v>21.454086328787493</v>
      </c>
      <c r="H1603" s="10">
        <f t="shared" si="93"/>
        <v>23.714086520692405</v>
      </c>
      <c r="K1603" s="11">
        <f>_xlfn.XLOOKUP(F1603,Ref!$B$3:$B$12,Ref!$C$3:$C$12,"",1)</f>
        <v>1</v>
      </c>
      <c r="L1603" s="11">
        <f>_xlfn.XLOOKUP(G1603,Ref!$B$3:$B$12,Ref!$C$3:$C$12,"",1)</f>
        <v>2</v>
      </c>
      <c r="M1603" s="11">
        <f>_xlfn.XLOOKUP(H1603,Ref!$B$3:$B$12,Ref!$C$3:$C$12,"",1)</f>
        <v>2</v>
      </c>
    </row>
    <row r="1604" spans="2:13" x14ac:dyDescent="0.25">
      <c r="B1604" s="15" t="s">
        <v>25</v>
      </c>
      <c r="C1604" s="9">
        <v>33</v>
      </c>
      <c r="D1604" s="9">
        <v>33.799999999999997</v>
      </c>
      <c r="E1604" s="10">
        <v>34.1</v>
      </c>
      <c r="F1604" s="9">
        <f t="shared" si="91"/>
        <v>10.504226244065093</v>
      </c>
      <c r="G1604" s="9">
        <f t="shared" si="92"/>
        <v>10.758874153012124</v>
      </c>
      <c r="H1604" s="10">
        <f t="shared" si="93"/>
        <v>10.854367118867263</v>
      </c>
      <c r="K1604" s="11">
        <f>_xlfn.XLOOKUP(F1604,Ref!$B$3:$B$12,Ref!$C$3:$C$12,"",1)</f>
        <v>1</v>
      </c>
      <c r="L1604" s="11">
        <f>_xlfn.XLOOKUP(G1604,Ref!$B$3:$B$12,Ref!$C$3:$C$12,"",1)</f>
        <v>1</v>
      </c>
      <c r="M1604" s="11">
        <f>_xlfn.XLOOKUP(H1604,Ref!$B$3:$B$12,Ref!$C$3:$C$12,"",1)</f>
        <v>1</v>
      </c>
    </row>
    <row r="1605" spans="2:13" x14ac:dyDescent="0.25">
      <c r="B1605" s="15" t="s">
        <v>46</v>
      </c>
      <c r="C1605" s="9">
        <v>51.6</v>
      </c>
      <c r="D1605" s="9">
        <v>52.4</v>
      </c>
      <c r="E1605" s="10">
        <v>52.4</v>
      </c>
      <c r="F1605" s="9">
        <f t="shared" ref="F1605:F1616" si="94">IF(C1605="", "", C1605/PI())</f>
        <v>16.4247901270836</v>
      </c>
      <c r="G1605" s="9">
        <f t="shared" ref="G1605:G1667" si="95">IF(D1605="", "", D1605/PI())</f>
        <v>16.679438036030632</v>
      </c>
      <c r="H1605" s="10">
        <f t="shared" ref="H1605:H1667" si="96">IF(E1605="", "", E1605/PI())</f>
        <v>16.679438036030632</v>
      </c>
      <c r="K1605" s="11">
        <f>_xlfn.XLOOKUP(F1605,Ref!$B$3:$B$12,Ref!$C$3:$C$12,"",1)</f>
        <v>1</v>
      </c>
      <c r="L1605" s="11">
        <f>_xlfn.XLOOKUP(G1605,Ref!$B$3:$B$12,Ref!$C$3:$C$12,"",1)</f>
        <v>1</v>
      </c>
      <c r="M1605" s="11">
        <f>_xlfn.XLOOKUP(H1605,Ref!$B$3:$B$12,Ref!$C$3:$C$12,"",1)</f>
        <v>1</v>
      </c>
    </row>
    <row r="1606" spans="2:13" x14ac:dyDescent="0.25">
      <c r="B1606" s="15" t="s">
        <v>12</v>
      </c>
      <c r="C1606" s="9">
        <v>47.3</v>
      </c>
      <c r="D1606" s="9">
        <v>49.7</v>
      </c>
      <c r="E1606" s="10">
        <v>51.8</v>
      </c>
      <c r="F1606" s="9">
        <f t="shared" si="94"/>
        <v>15.056057616493298</v>
      </c>
      <c r="G1606" s="9">
        <f t="shared" si="95"/>
        <v>15.820001343334399</v>
      </c>
      <c r="H1606" s="10">
        <f t="shared" si="96"/>
        <v>16.488452104320356</v>
      </c>
      <c r="K1606" s="11">
        <f>_xlfn.XLOOKUP(F1606,Ref!$B$3:$B$12,Ref!$C$3:$C$12,"",1)</f>
        <v>1</v>
      </c>
      <c r="L1606" s="11">
        <f>_xlfn.XLOOKUP(G1606,Ref!$B$3:$B$12,Ref!$C$3:$C$12,"",1)</f>
        <v>1</v>
      </c>
      <c r="M1606" s="11">
        <f>_xlfn.XLOOKUP(H1606,Ref!$B$3:$B$12,Ref!$C$3:$C$12,"",1)</f>
        <v>1</v>
      </c>
    </row>
    <row r="1607" spans="2:13" x14ac:dyDescent="0.25">
      <c r="B1607" s="15" t="s">
        <v>11</v>
      </c>
      <c r="C1607" s="9">
        <v>40.200000000000003</v>
      </c>
      <c r="D1607" s="9">
        <v>42</v>
      </c>
      <c r="E1607" s="10">
        <v>42.9</v>
      </c>
      <c r="F1607" s="9">
        <f t="shared" si="94"/>
        <v>12.796057424588387</v>
      </c>
      <c r="G1607" s="9">
        <f t="shared" si="95"/>
        <v>13.369015219719209</v>
      </c>
      <c r="H1607" s="10">
        <f t="shared" si="96"/>
        <v>13.65549411728462</v>
      </c>
      <c r="K1607" s="11">
        <f>_xlfn.XLOOKUP(F1607,Ref!$B$3:$B$12,Ref!$C$3:$C$12,"",1)</f>
        <v>1</v>
      </c>
      <c r="L1607" s="11">
        <f>_xlfn.XLOOKUP(G1607,Ref!$B$3:$B$12,Ref!$C$3:$C$12,"",1)</f>
        <v>1</v>
      </c>
      <c r="M1607" s="11">
        <f>_xlfn.XLOOKUP(H1607,Ref!$B$3:$B$12,Ref!$C$3:$C$12,"",1)</f>
        <v>1</v>
      </c>
    </row>
    <row r="1608" spans="2:13" x14ac:dyDescent="0.25">
      <c r="B1608" s="15" t="s">
        <v>63</v>
      </c>
      <c r="C1608" s="9">
        <v>79.400000000000006</v>
      </c>
      <c r="D1608" s="9">
        <v>87.3</v>
      </c>
      <c r="E1608" s="10">
        <v>93</v>
      </c>
      <c r="F1608" s="9">
        <f t="shared" si="94"/>
        <v>25.273804962992983</v>
      </c>
      <c r="G1608" s="9">
        <f t="shared" si="95"/>
        <v>27.788453063844926</v>
      </c>
      <c r="H1608" s="10">
        <f t="shared" si="96"/>
        <v>29.602819415092533</v>
      </c>
      <c r="K1608" s="11">
        <f>_xlfn.XLOOKUP(F1608,Ref!$B$3:$B$12,Ref!$C$3:$C$12,"",1)</f>
        <v>2</v>
      </c>
      <c r="L1608" s="11">
        <f>_xlfn.XLOOKUP(G1608,Ref!$B$3:$B$12,Ref!$C$3:$C$12,"",1)</f>
        <v>2</v>
      </c>
      <c r="M1608" s="11">
        <f>_xlfn.XLOOKUP(H1608,Ref!$B$3:$B$12,Ref!$C$3:$C$12,"",1)</f>
        <v>2</v>
      </c>
    </row>
    <row r="1609" spans="2:13" x14ac:dyDescent="0.25">
      <c r="B1609" s="15" t="s">
        <v>12</v>
      </c>
      <c r="C1609" s="9"/>
      <c r="D1609" s="9">
        <v>33.5</v>
      </c>
      <c r="E1609" s="10">
        <v>36.700000000000003</v>
      </c>
      <c r="F1609" s="9" t="str">
        <f t="shared" si="94"/>
        <v/>
      </c>
      <c r="G1609" s="9">
        <f t="shared" si="95"/>
        <v>10.663381187156988</v>
      </c>
      <c r="H1609" s="10">
        <f t="shared" si="96"/>
        <v>11.681972822945118</v>
      </c>
      <c r="K1609" s="11" t="str">
        <f>_xlfn.XLOOKUP(F1609,Ref!$B$3:$B$12,Ref!$C$3:$C$12,"",1)</f>
        <v/>
      </c>
      <c r="L1609" s="11">
        <f>_xlfn.XLOOKUP(G1609,Ref!$B$3:$B$12,Ref!$C$3:$C$12,"",1)</f>
        <v>1</v>
      </c>
      <c r="M1609" s="11">
        <f>_xlfn.XLOOKUP(H1609,Ref!$B$3:$B$12,Ref!$C$3:$C$12,"",1)</f>
        <v>1</v>
      </c>
    </row>
    <row r="1610" spans="2:13" x14ac:dyDescent="0.25">
      <c r="B1610" s="15" t="s">
        <v>27</v>
      </c>
      <c r="C1610" s="9"/>
      <c r="D1610" s="9">
        <v>31.9</v>
      </c>
      <c r="E1610" s="10">
        <v>33</v>
      </c>
      <c r="F1610" s="9" t="str">
        <f t="shared" si="94"/>
        <v/>
      </c>
      <c r="G1610" s="9">
        <f t="shared" si="95"/>
        <v>10.154085369262923</v>
      </c>
      <c r="H1610" s="10">
        <f t="shared" si="96"/>
        <v>10.504226244065093</v>
      </c>
      <c r="K1610" s="11" t="str">
        <f>_xlfn.XLOOKUP(F1610,Ref!$B$3:$B$12,Ref!$C$3:$C$12,"",1)</f>
        <v/>
      </c>
      <c r="L1610" s="11">
        <f>_xlfn.XLOOKUP(G1610,Ref!$B$3:$B$12,Ref!$C$3:$C$12,"",1)</f>
        <v>1</v>
      </c>
      <c r="M1610" s="11">
        <f>_xlfn.XLOOKUP(H1610,Ref!$B$3:$B$12,Ref!$C$3:$C$12,"",1)</f>
        <v>1</v>
      </c>
    </row>
    <row r="1611" spans="2:13" x14ac:dyDescent="0.25">
      <c r="B1611" s="15" t="s">
        <v>12</v>
      </c>
      <c r="C1611" s="9"/>
      <c r="D1611" s="9"/>
      <c r="E1611" s="10">
        <v>32.299999999999997</v>
      </c>
      <c r="F1611" s="9" t="str">
        <f t="shared" si="94"/>
        <v/>
      </c>
      <c r="G1611" s="9" t="str">
        <f t="shared" si="95"/>
        <v/>
      </c>
      <c r="H1611" s="10">
        <f t="shared" si="96"/>
        <v>10.281409323736439</v>
      </c>
      <c r="K1611" s="11" t="str">
        <f>_xlfn.XLOOKUP(F1611,Ref!$B$3:$B$12,Ref!$C$3:$C$12,"",1)</f>
        <v/>
      </c>
      <c r="L1611" s="11" t="str">
        <f>_xlfn.XLOOKUP(G1611,Ref!$B$3:$B$12,Ref!$C$3:$C$12,"",1)</f>
        <v/>
      </c>
      <c r="M1611" s="11">
        <f>_xlfn.XLOOKUP(H1611,Ref!$B$3:$B$12,Ref!$C$3:$C$12,"",1)</f>
        <v>1</v>
      </c>
    </row>
    <row r="1612" spans="2:13" x14ac:dyDescent="0.25">
      <c r="B1612" s="15" t="s">
        <v>60</v>
      </c>
      <c r="C1612" s="9">
        <v>55.8</v>
      </c>
      <c r="D1612" s="9">
        <v>60.2</v>
      </c>
      <c r="E1612" s="10">
        <v>65</v>
      </c>
      <c r="F1612" s="9">
        <f t="shared" si="94"/>
        <v>17.761691649055518</v>
      </c>
      <c r="G1612" s="9">
        <f t="shared" si="95"/>
        <v>19.162255148264201</v>
      </c>
      <c r="H1612" s="10">
        <f t="shared" si="96"/>
        <v>20.690142601946395</v>
      </c>
      <c r="K1612" s="11">
        <f>_xlfn.XLOOKUP(F1612,Ref!$B$3:$B$12,Ref!$C$3:$C$12,"",1)</f>
        <v>1</v>
      </c>
      <c r="L1612" s="11">
        <f>_xlfn.XLOOKUP(G1612,Ref!$B$3:$B$12,Ref!$C$3:$C$12,"",1)</f>
        <v>1</v>
      </c>
      <c r="M1612" s="11">
        <f>_xlfn.XLOOKUP(H1612,Ref!$B$3:$B$12,Ref!$C$3:$C$12,"",1)</f>
        <v>2</v>
      </c>
    </row>
    <row r="1613" spans="2:13" x14ac:dyDescent="0.25">
      <c r="B1613" s="15" t="s">
        <v>60</v>
      </c>
      <c r="C1613" s="9">
        <v>50.1</v>
      </c>
      <c r="D1613" s="9">
        <v>54.6</v>
      </c>
      <c r="E1613" s="10">
        <v>58.3</v>
      </c>
      <c r="F1613" s="9">
        <f t="shared" si="94"/>
        <v>15.947325297807915</v>
      </c>
      <c r="G1613" s="9">
        <f t="shared" si="95"/>
        <v>17.379719785634972</v>
      </c>
      <c r="H1613" s="10">
        <f t="shared" si="96"/>
        <v>18.557466364514998</v>
      </c>
      <c r="K1613" s="11">
        <f>_xlfn.XLOOKUP(F1613,Ref!$B$3:$B$12,Ref!$C$3:$C$12,"",1)</f>
        <v>1</v>
      </c>
      <c r="L1613" s="11">
        <f>_xlfn.XLOOKUP(G1613,Ref!$B$3:$B$12,Ref!$C$3:$C$12,"",1)</f>
        <v>1</v>
      </c>
      <c r="M1613" s="11">
        <f>_xlfn.XLOOKUP(H1613,Ref!$B$3:$B$12,Ref!$C$3:$C$12,"",1)</f>
        <v>1</v>
      </c>
    </row>
    <row r="1614" spans="2:13" x14ac:dyDescent="0.25">
      <c r="B1614" s="15" t="s">
        <v>60</v>
      </c>
      <c r="C1614" s="9">
        <v>48.8</v>
      </c>
      <c r="D1614" s="9">
        <v>54.5</v>
      </c>
      <c r="E1614" s="10">
        <v>57.7</v>
      </c>
      <c r="F1614" s="9">
        <f t="shared" si="94"/>
        <v>15.533522445768984</v>
      </c>
      <c r="G1614" s="9">
        <f t="shared" si="95"/>
        <v>17.347888797016591</v>
      </c>
      <c r="H1614" s="10">
        <f t="shared" si="96"/>
        <v>18.366480432804725</v>
      </c>
      <c r="K1614" s="11">
        <f>_xlfn.XLOOKUP(F1614,Ref!$B$3:$B$12,Ref!$C$3:$C$12,"",1)</f>
        <v>1</v>
      </c>
      <c r="L1614" s="11">
        <f>_xlfn.XLOOKUP(G1614,Ref!$B$3:$B$12,Ref!$C$3:$C$12,"",1)</f>
        <v>1</v>
      </c>
      <c r="M1614" s="11">
        <f>_xlfn.XLOOKUP(H1614,Ref!$B$3:$B$12,Ref!$C$3:$C$12,"",1)</f>
        <v>1</v>
      </c>
    </row>
    <row r="1615" spans="2:13" x14ac:dyDescent="0.25">
      <c r="B1615" s="15" t="s">
        <v>57</v>
      </c>
      <c r="C1615" s="9">
        <v>62.5</v>
      </c>
      <c r="D1615" s="9">
        <v>68.2</v>
      </c>
      <c r="E1615" s="10">
        <v>74.3</v>
      </c>
      <c r="F1615" s="9">
        <f t="shared" si="94"/>
        <v>19.894367886486918</v>
      </c>
      <c r="G1615" s="9">
        <f t="shared" si="95"/>
        <v>21.708734237734525</v>
      </c>
      <c r="H1615" s="10">
        <f t="shared" si="96"/>
        <v>23.650424543455646</v>
      </c>
      <c r="K1615" s="11">
        <f>_xlfn.XLOOKUP(F1615,Ref!$B$3:$B$12,Ref!$C$3:$C$12,"",1)</f>
        <v>1</v>
      </c>
      <c r="L1615" s="11">
        <f>_xlfn.XLOOKUP(G1615,Ref!$B$3:$B$12,Ref!$C$3:$C$12,"",1)</f>
        <v>2</v>
      </c>
      <c r="M1615" s="11">
        <f>_xlfn.XLOOKUP(H1615,Ref!$B$3:$B$12,Ref!$C$3:$C$12,"",1)</f>
        <v>2</v>
      </c>
    </row>
    <row r="1616" spans="2:13" x14ac:dyDescent="0.25">
      <c r="B1616" s="15" t="s">
        <v>25</v>
      </c>
      <c r="C1616" s="9">
        <v>49.8</v>
      </c>
      <c r="D1616" s="9">
        <v>52.6</v>
      </c>
      <c r="E1616" s="10">
        <v>53.5</v>
      </c>
      <c r="F1616" s="9">
        <f t="shared" si="94"/>
        <v>15.851832331952775</v>
      </c>
      <c r="G1616" s="9">
        <f t="shared" si="95"/>
        <v>16.743100013267391</v>
      </c>
      <c r="H1616" s="10">
        <f t="shared" si="96"/>
        <v>17.0295789108328</v>
      </c>
      <c r="K1616" s="11">
        <f>_xlfn.XLOOKUP(F1616,Ref!$B$3:$B$12,Ref!$C$3:$C$12,"",1)</f>
        <v>1</v>
      </c>
      <c r="L1616" s="11">
        <f>_xlfn.XLOOKUP(G1616,Ref!$B$3:$B$12,Ref!$C$3:$C$12,"",1)</f>
        <v>1</v>
      </c>
      <c r="M1616" s="11">
        <f>_xlfn.XLOOKUP(H1616,Ref!$B$3:$B$12,Ref!$C$3:$C$12,"",1)</f>
        <v>1</v>
      </c>
    </row>
    <row r="1617" spans="2:13" x14ac:dyDescent="0.25">
      <c r="B1617" s="15" t="s">
        <v>46</v>
      </c>
      <c r="C1617" s="9">
        <v>58.2</v>
      </c>
      <c r="D1617" s="9">
        <v>60.5</v>
      </c>
      <c r="E1617" s="10">
        <v>64.2</v>
      </c>
      <c r="F1617" s="9">
        <f>IF(C1617="", "", C1617/PI())</f>
        <v>18.52563537589662</v>
      </c>
      <c r="G1617" s="9">
        <f t="shared" si="95"/>
        <v>19.257748114119337</v>
      </c>
      <c r="H1617" s="10">
        <f t="shared" si="96"/>
        <v>20.435494692999363</v>
      </c>
      <c r="K1617" s="11">
        <f>_xlfn.XLOOKUP(F1617,Ref!$B$3:$B$12,Ref!$C$3:$C$12,"",1)</f>
        <v>1</v>
      </c>
      <c r="L1617" s="11">
        <f>_xlfn.XLOOKUP(G1617,Ref!$B$3:$B$12,Ref!$C$3:$C$12,"",1)</f>
        <v>1</v>
      </c>
      <c r="M1617" s="11">
        <f>_xlfn.XLOOKUP(H1617,Ref!$B$3:$B$12,Ref!$C$3:$C$12,"",1)</f>
        <v>2</v>
      </c>
    </row>
    <row r="1618" spans="2:13" x14ac:dyDescent="0.25">
      <c r="B1618" s="15" t="s">
        <v>25</v>
      </c>
      <c r="C1618" s="9">
        <v>50.9</v>
      </c>
      <c r="D1618" s="9">
        <v>53.5</v>
      </c>
      <c r="E1618" s="10">
        <v>56.3</v>
      </c>
      <c r="F1618" s="9">
        <f t="shared" ref="F1618:F1676" si="97">IF(C1618="", "", C1618/PI())</f>
        <v>16.201973206754946</v>
      </c>
      <c r="G1618" s="9">
        <f t="shared" si="95"/>
        <v>17.0295789108328</v>
      </c>
      <c r="H1618" s="10">
        <f t="shared" si="96"/>
        <v>17.920846592147413</v>
      </c>
      <c r="K1618" s="11">
        <f>_xlfn.XLOOKUP(F1618,Ref!$B$3:$B$12,Ref!$C$3:$C$12,"",1)</f>
        <v>1</v>
      </c>
      <c r="L1618" s="11">
        <f>_xlfn.XLOOKUP(G1618,Ref!$B$3:$B$12,Ref!$C$3:$C$12,"",1)</f>
        <v>1</v>
      </c>
      <c r="M1618" s="11">
        <f>_xlfn.XLOOKUP(H1618,Ref!$B$3:$B$12,Ref!$C$3:$C$12,"",1)</f>
        <v>1</v>
      </c>
    </row>
    <row r="1619" spans="2:13" x14ac:dyDescent="0.25">
      <c r="B1619" s="15" t="s">
        <v>25</v>
      </c>
      <c r="C1619" s="9">
        <v>42.8</v>
      </c>
      <c r="D1619" s="9">
        <v>42.6</v>
      </c>
      <c r="E1619" s="10">
        <v>42.8</v>
      </c>
      <c r="F1619" s="9">
        <f t="shared" si="97"/>
        <v>13.623663128666241</v>
      </c>
      <c r="G1619" s="9">
        <f t="shared" si="95"/>
        <v>13.560001151429484</v>
      </c>
      <c r="H1619" s="10">
        <f t="shared" si="96"/>
        <v>13.623663128666241</v>
      </c>
      <c r="K1619" s="11">
        <f>_xlfn.XLOOKUP(F1619,Ref!$B$3:$B$12,Ref!$C$3:$C$12,"",1)</f>
        <v>1</v>
      </c>
      <c r="L1619" s="11">
        <f>_xlfn.XLOOKUP(G1619,Ref!$B$3:$B$12,Ref!$C$3:$C$12,"",1)</f>
        <v>1</v>
      </c>
      <c r="M1619" s="11">
        <f>_xlfn.XLOOKUP(H1619,Ref!$B$3:$B$12,Ref!$C$3:$C$12,"",1)</f>
        <v>1</v>
      </c>
    </row>
    <row r="1620" spans="2:13" x14ac:dyDescent="0.25">
      <c r="B1620" s="15" t="s">
        <v>8</v>
      </c>
      <c r="C1620" s="9">
        <v>41.3</v>
      </c>
      <c r="D1620" s="9">
        <v>41.5</v>
      </c>
      <c r="E1620" s="10">
        <v>42.5</v>
      </c>
      <c r="F1620" s="9">
        <f t="shared" si="97"/>
        <v>13.146198299390555</v>
      </c>
      <c r="G1620" s="9">
        <f t="shared" si="95"/>
        <v>13.209860276627314</v>
      </c>
      <c r="H1620" s="10">
        <f t="shared" si="96"/>
        <v>13.528170162811104</v>
      </c>
      <c r="K1620" s="11">
        <f>_xlfn.XLOOKUP(F1620,Ref!$B$3:$B$12,Ref!$C$3:$C$12,"",1)</f>
        <v>1</v>
      </c>
      <c r="L1620" s="11">
        <f>_xlfn.XLOOKUP(G1620,Ref!$B$3:$B$12,Ref!$C$3:$C$12,"",1)</f>
        <v>1</v>
      </c>
      <c r="M1620" s="11">
        <f>_xlfn.XLOOKUP(H1620,Ref!$B$3:$B$12,Ref!$C$3:$C$12,"",1)</f>
        <v>1</v>
      </c>
    </row>
    <row r="1621" spans="2:13" x14ac:dyDescent="0.25">
      <c r="B1621" s="15" t="s">
        <v>10</v>
      </c>
      <c r="C1621" s="9">
        <v>45.7</v>
      </c>
      <c r="D1621" s="9">
        <v>46.1</v>
      </c>
      <c r="E1621" s="10">
        <v>47.6</v>
      </c>
      <c r="F1621" s="9">
        <f t="shared" si="97"/>
        <v>14.546761798599235</v>
      </c>
      <c r="G1621" s="9">
        <f t="shared" si="95"/>
        <v>14.674085753072751</v>
      </c>
      <c r="H1621" s="10">
        <f t="shared" si="96"/>
        <v>15.151550582348436</v>
      </c>
      <c r="K1621" s="11">
        <f>_xlfn.XLOOKUP(F1621,Ref!$B$3:$B$12,Ref!$C$3:$C$12,"",1)</f>
        <v>1</v>
      </c>
      <c r="L1621" s="11">
        <f>_xlfn.XLOOKUP(G1621,Ref!$B$3:$B$12,Ref!$C$3:$C$12,"",1)</f>
        <v>1</v>
      </c>
      <c r="M1621" s="11">
        <f>_xlfn.XLOOKUP(H1621,Ref!$B$3:$B$12,Ref!$C$3:$C$12,"",1)</f>
        <v>1</v>
      </c>
    </row>
    <row r="1622" spans="2:13" x14ac:dyDescent="0.25">
      <c r="B1622" s="15" t="s">
        <v>25</v>
      </c>
      <c r="C1622" s="9">
        <v>36.5</v>
      </c>
      <c r="D1622" s="9">
        <v>36</v>
      </c>
      <c r="E1622" s="10">
        <v>36.1</v>
      </c>
      <c r="F1622" s="9">
        <f t="shared" si="97"/>
        <v>11.618310845708359</v>
      </c>
      <c r="G1622" s="9">
        <f t="shared" si="95"/>
        <v>11.459155902616464</v>
      </c>
      <c r="H1622" s="10">
        <f t="shared" si="96"/>
        <v>11.490986891234844</v>
      </c>
      <c r="K1622" s="11">
        <f>_xlfn.XLOOKUP(F1622,Ref!$B$3:$B$12,Ref!$C$3:$C$12,"",1)</f>
        <v>1</v>
      </c>
      <c r="L1622" s="11">
        <f>_xlfn.XLOOKUP(G1622,Ref!$B$3:$B$12,Ref!$C$3:$C$12,"",1)</f>
        <v>1</v>
      </c>
      <c r="M1622" s="11">
        <f>_xlfn.XLOOKUP(H1622,Ref!$B$3:$B$12,Ref!$C$3:$C$12,"",1)</f>
        <v>1</v>
      </c>
    </row>
    <row r="1623" spans="2:13" x14ac:dyDescent="0.25">
      <c r="B1623" s="15" t="s">
        <v>14</v>
      </c>
      <c r="C1623" s="9">
        <v>49.9</v>
      </c>
      <c r="D1623" s="9">
        <v>57.9</v>
      </c>
      <c r="E1623" s="10">
        <v>65.3</v>
      </c>
      <c r="F1623" s="9">
        <f t="shared" si="97"/>
        <v>15.883663320571154</v>
      </c>
      <c r="G1623" s="9">
        <f t="shared" si="95"/>
        <v>18.43014241004148</v>
      </c>
      <c r="H1623" s="10">
        <f t="shared" si="96"/>
        <v>20.785635567801531</v>
      </c>
      <c r="K1623" s="11">
        <f>_xlfn.XLOOKUP(F1623,Ref!$B$3:$B$12,Ref!$C$3:$C$12,"",1)</f>
        <v>1</v>
      </c>
      <c r="L1623" s="11">
        <f>_xlfn.XLOOKUP(G1623,Ref!$B$3:$B$12,Ref!$C$3:$C$12,"",1)</f>
        <v>1</v>
      </c>
      <c r="M1623" s="11">
        <f>_xlfn.XLOOKUP(H1623,Ref!$B$3:$B$12,Ref!$C$3:$C$12,"",1)</f>
        <v>2</v>
      </c>
    </row>
    <row r="1624" spans="2:13" x14ac:dyDescent="0.25">
      <c r="B1624" s="15" t="s">
        <v>8</v>
      </c>
      <c r="C1624" s="9">
        <v>75.5</v>
      </c>
      <c r="D1624" s="9">
        <v>82.3</v>
      </c>
      <c r="E1624" s="10">
        <v>88.9</v>
      </c>
      <c r="F1624" s="9">
        <f t="shared" si="97"/>
        <v>24.032396406876195</v>
      </c>
      <c r="G1624" s="9">
        <f t="shared" si="95"/>
        <v>26.196903632925974</v>
      </c>
      <c r="H1624" s="10">
        <f t="shared" si="96"/>
        <v>28.297748881738993</v>
      </c>
      <c r="K1624" s="11">
        <f>_xlfn.XLOOKUP(F1624,Ref!$B$3:$B$12,Ref!$C$3:$C$12,"",1)</f>
        <v>2</v>
      </c>
      <c r="L1624" s="11">
        <f>_xlfn.XLOOKUP(G1624,Ref!$B$3:$B$12,Ref!$C$3:$C$12,"",1)</f>
        <v>2</v>
      </c>
      <c r="M1624" s="11">
        <f>_xlfn.XLOOKUP(H1624,Ref!$B$3:$B$12,Ref!$C$3:$C$12,"",1)</f>
        <v>2</v>
      </c>
    </row>
    <row r="1625" spans="2:13" x14ac:dyDescent="0.25">
      <c r="B1625" s="15" t="s">
        <v>10</v>
      </c>
      <c r="C1625" s="9">
        <v>38.9</v>
      </c>
      <c r="D1625" s="9">
        <v>42.7</v>
      </c>
      <c r="E1625" s="10">
        <v>49.8</v>
      </c>
      <c r="F1625" s="9">
        <f t="shared" si="97"/>
        <v>12.382254572549456</v>
      </c>
      <c r="G1625" s="9">
        <f t="shared" si="95"/>
        <v>13.591832140047863</v>
      </c>
      <c r="H1625" s="10">
        <f t="shared" si="96"/>
        <v>15.851832331952775</v>
      </c>
      <c r="K1625" s="11">
        <f>_xlfn.XLOOKUP(F1625,Ref!$B$3:$B$12,Ref!$C$3:$C$12,"",1)</f>
        <v>1</v>
      </c>
      <c r="L1625" s="11">
        <f>_xlfn.XLOOKUP(G1625,Ref!$B$3:$B$12,Ref!$C$3:$C$12,"",1)</f>
        <v>1</v>
      </c>
      <c r="M1625" s="11">
        <f>_xlfn.XLOOKUP(H1625,Ref!$B$3:$B$12,Ref!$C$3:$C$12,"",1)</f>
        <v>1</v>
      </c>
    </row>
    <row r="1626" spans="2:13" x14ac:dyDescent="0.25">
      <c r="B1626" s="15" t="s">
        <v>8</v>
      </c>
      <c r="C1626" s="9">
        <v>42.8</v>
      </c>
      <c r="D1626" s="9">
        <v>43</v>
      </c>
      <c r="E1626" s="10">
        <v>43.5</v>
      </c>
      <c r="F1626" s="9">
        <f t="shared" si="97"/>
        <v>13.623663128666241</v>
      </c>
      <c r="G1626" s="9">
        <f t="shared" si="95"/>
        <v>13.687325105903</v>
      </c>
      <c r="H1626" s="10">
        <f t="shared" si="96"/>
        <v>13.846480048994895</v>
      </c>
      <c r="K1626" s="11">
        <f>_xlfn.XLOOKUP(F1626,Ref!$B$3:$B$12,Ref!$C$3:$C$12,"",1)</f>
        <v>1</v>
      </c>
      <c r="L1626" s="11">
        <f>_xlfn.XLOOKUP(G1626,Ref!$B$3:$B$12,Ref!$C$3:$C$12,"",1)</f>
        <v>1</v>
      </c>
      <c r="M1626" s="11">
        <f>_xlfn.XLOOKUP(H1626,Ref!$B$3:$B$12,Ref!$C$3:$C$12,"",1)</f>
        <v>1</v>
      </c>
    </row>
    <row r="1627" spans="2:13" x14ac:dyDescent="0.25">
      <c r="B1627" s="15" t="s">
        <v>23</v>
      </c>
      <c r="C1627" s="9">
        <v>55.4</v>
      </c>
      <c r="D1627" s="9">
        <v>58.8</v>
      </c>
      <c r="E1627" s="10">
        <v>62.7</v>
      </c>
      <c r="F1627" s="9">
        <f t="shared" si="97"/>
        <v>17.634367694582004</v>
      </c>
      <c r="G1627" s="9">
        <f t="shared" si="95"/>
        <v>18.716621307606893</v>
      </c>
      <c r="H1627" s="10">
        <f t="shared" si="96"/>
        <v>19.958029863723677</v>
      </c>
      <c r="K1627" s="11">
        <f>_xlfn.XLOOKUP(F1627,Ref!$B$3:$B$12,Ref!$C$3:$C$12,"",1)</f>
        <v>1</v>
      </c>
      <c r="L1627" s="11">
        <f>_xlfn.XLOOKUP(G1627,Ref!$B$3:$B$12,Ref!$C$3:$C$12,"",1)</f>
        <v>1</v>
      </c>
      <c r="M1627" s="11">
        <f>_xlfn.XLOOKUP(H1627,Ref!$B$3:$B$12,Ref!$C$3:$C$12,"",1)</f>
        <v>1</v>
      </c>
    </row>
    <row r="1628" spans="2:13" x14ac:dyDescent="0.25">
      <c r="B1628" s="15" t="s">
        <v>10</v>
      </c>
      <c r="C1628" s="9">
        <v>34.200000000000003</v>
      </c>
      <c r="D1628" s="9">
        <v>35.200000000000003</v>
      </c>
      <c r="E1628" s="10">
        <v>35.9</v>
      </c>
      <c r="F1628" s="9">
        <f t="shared" si="97"/>
        <v>10.886198107485642</v>
      </c>
      <c r="G1628" s="9">
        <f t="shared" si="95"/>
        <v>11.204507993669433</v>
      </c>
      <c r="H1628" s="10">
        <f t="shared" si="96"/>
        <v>11.427324913998085</v>
      </c>
      <c r="K1628" s="11">
        <f>_xlfn.XLOOKUP(F1628,Ref!$B$3:$B$12,Ref!$C$3:$C$12,"",1)</f>
        <v>1</v>
      </c>
      <c r="L1628" s="11">
        <f>_xlfn.XLOOKUP(G1628,Ref!$B$3:$B$12,Ref!$C$3:$C$12,"",1)</f>
        <v>1</v>
      </c>
      <c r="M1628" s="11">
        <f>_xlfn.XLOOKUP(H1628,Ref!$B$3:$B$12,Ref!$C$3:$C$12,"",1)</f>
        <v>1</v>
      </c>
    </row>
    <row r="1629" spans="2:13" x14ac:dyDescent="0.25">
      <c r="B1629" s="15" t="s">
        <v>57</v>
      </c>
      <c r="C1629" s="9">
        <v>36.6</v>
      </c>
      <c r="D1629" s="9">
        <v>37.299999999999997</v>
      </c>
      <c r="E1629" s="10">
        <v>39.6</v>
      </c>
      <c r="F1629" s="9">
        <f t="shared" si="97"/>
        <v>11.650141834326739</v>
      </c>
      <c r="G1629" s="9">
        <f t="shared" si="95"/>
        <v>11.872958754655391</v>
      </c>
      <c r="H1629" s="10">
        <f t="shared" si="96"/>
        <v>12.605071492878112</v>
      </c>
      <c r="K1629" s="11">
        <f>_xlfn.XLOOKUP(F1629,Ref!$B$3:$B$12,Ref!$C$3:$C$12,"",1)</f>
        <v>1</v>
      </c>
      <c r="L1629" s="11">
        <f>_xlfn.XLOOKUP(G1629,Ref!$B$3:$B$12,Ref!$C$3:$C$12,"",1)</f>
        <v>1</v>
      </c>
      <c r="M1629" s="11">
        <f>_xlfn.XLOOKUP(H1629,Ref!$B$3:$B$12,Ref!$C$3:$C$12,"",1)</f>
        <v>1</v>
      </c>
    </row>
    <row r="1630" spans="2:13" x14ac:dyDescent="0.25">
      <c r="B1630" s="15" t="s">
        <v>15</v>
      </c>
      <c r="C1630" s="9">
        <v>35.6</v>
      </c>
      <c r="D1630" s="9">
        <v>38.1</v>
      </c>
      <c r="E1630" s="10">
        <v>48</v>
      </c>
      <c r="F1630" s="9">
        <f t="shared" si="97"/>
        <v>11.331831948142948</v>
      </c>
      <c r="G1630" s="9">
        <f t="shared" si="95"/>
        <v>12.127606663602425</v>
      </c>
      <c r="H1630" s="10">
        <f t="shared" si="96"/>
        <v>15.278874536821952</v>
      </c>
      <c r="K1630" s="11">
        <f>_xlfn.XLOOKUP(F1630,Ref!$B$3:$B$12,Ref!$C$3:$C$12,"",1)</f>
        <v>1</v>
      </c>
      <c r="L1630" s="11">
        <f>_xlfn.XLOOKUP(G1630,Ref!$B$3:$B$12,Ref!$C$3:$C$12,"",1)</f>
        <v>1</v>
      </c>
      <c r="M1630" s="11">
        <f>_xlfn.XLOOKUP(H1630,Ref!$B$3:$B$12,Ref!$C$3:$C$12,"",1)</f>
        <v>1</v>
      </c>
    </row>
    <row r="1631" spans="2:13" x14ac:dyDescent="0.25">
      <c r="B1631" s="15" t="s">
        <v>12</v>
      </c>
      <c r="C1631" s="9">
        <v>37.799999999999997</v>
      </c>
      <c r="D1631" s="9">
        <v>37.1</v>
      </c>
      <c r="E1631" s="10">
        <v>37.700000000000003</v>
      </c>
      <c r="F1631" s="9">
        <f t="shared" si="97"/>
        <v>12.032113697747286</v>
      </c>
      <c r="G1631" s="9">
        <f t="shared" si="95"/>
        <v>11.809296777418634</v>
      </c>
      <c r="H1631" s="10">
        <f t="shared" si="96"/>
        <v>12.000282709128909</v>
      </c>
      <c r="K1631" s="11">
        <f>_xlfn.XLOOKUP(F1631,Ref!$B$3:$B$12,Ref!$C$3:$C$12,"",1)</f>
        <v>1</v>
      </c>
      <c r="L1631" s="11">
        <f>_xlfn.XLOOKUP(G1631,Ref!$B$3:$B$12,Ref!$C$3:$C$12,"",1)</f>
        <v>1</v>
      </c>
      <c r="M1631" s="11">
        <f>_xlfn.XLOOKUP(H1631,Ref!$B$3:$B$12,Ref!$C$3:$C$12,"",1)</f>
        <v>1</v>
      </c>
    </row>
    <row r="1632" spans="2:13" x14ac:dyDescent="0.25">
      <c r="B1632" s="15" t="s">
        <v>15</v>
      </c>
      <c r="C1632" s="9">
        <v>40.6</v>
      </c>
      <c r="D1632" s="9">
        <v>43</v>
      </c>
      <c r="E1632" s="10">
        <v>0</v>
      </c>
      <c r="F1632" s="9">
        <f t="shared" si="97"/>
        <v>12.923381379061903</v>
      </c>
      <c r="G1632" s="9">
        <f t="shared" si="95"/>
        <v>13.687325105903</v>
      </c>
      <c r="H1632" s="10">
        <f t="shared" si="96"/>
        <v>0</v>
      </c>
      <c r="K1632" s="11">
        <f>_xlfn.XLOOKUP(F1632,Ref!$B$3:$B$12,Ref!$C$3:$C$12,"",1)</f>
        <v>1</v>
      </c>
      <c r="L1632" s="11">
        <f>_xlfn.XLOOKUP(G1632,Ref!$B$3:$B$12,Ref!$C$3:$C$12,"",1)</f>
        <v>1</v>
      </c>
      <c r="M1632" s="11" t="str">
        <f>_xlfn.XLOOKUP(H1632,Ref!$B$3:$B$12,Ref!$C$3:$C$12,"",1)</f>
        <v>Morta</v>
      </c>
    </row>
    <row r="1633" spans="2:13" x14ac:dyDescent="0.25">
      <c r="B1633" s="15" t="s">
        <v>10</v>
      </c>
      <c r="C1633" s="9">
        <v>34.700000000000003</v>
      </c>
      <c r="D1633" s="9">
        <v>36.9</v>
      </c>
      <c r="E1633" s="10">
        <v>40.5</v>
      </c>
      <c r="F1633" s="9">
        <f t="shared" si="97"/>
        <v>11.045353050577537</v>
      </c>
      <c r="G1633" s="9">
        <f t="shared" si="95"/>
        <v>11.745634800181875</v>
      </c>
      <c r="H1633" s="10">
        <f t="shared" si="96"/>
        <v>12.891550390443523</v>
      </c>
      <c r="K1633" s="11">
        <f>_xlfn.XLOOKUP(F1633,Ref!$B$3:$B$12,Ref!$C$3:$C$12,"",1)</f>
        <v>1</v>
      </c>
      <c r="L1633" s="11">
        <f>_xlfn.XLOOKUP(G1633,Ref!$B$3:$B$12,Ref!$C$3:$C$12,"",1)</f>
        <v>1</v>
      </c>
      <c r="M1633" s="11">
        <f>_xlfn.XLOOKUP(H1633,Ref!$B$3:$B$12,Ref!$C$3:$C$12,"",1)</f>
        <v>1</v>
      </c>
    </row>
    <row r="1634" spans="2:13" x14ac:dyDescent="0.25">
      <c r="B1634" s="15" t="s">
        <v>68</v>
      </c>
      <c r="C1634" s="9">
        <v>35.6</v>
      </c>
      <c r="D1634" s="9">
        <v>37.5</v>
      </c>
      <c r="E1634" s="10">
        <v>40.299999999999997</v>
      </c>
      <c r="F1634" s="9">
        <f t="shared" si="97"/>
        <v>11.331831948142948</v>
      </c>
      <c r="G1634" s="9">
        <f t="shared" si="95"/>
        <v>11.93662073189215</v>
      </c>
      <c r="H1634" s="10">
        <f t="shared" si="96"/>
        <v>12.827888413206765</v>
      </c>
      <c r="K1634" s="11">
        <f>_xlfn.XLOOKUP(F1634,Ref!$B$3:$B$12,Ref!$C$3:$C$12,"",1)</f>
        <v>1</v>
      </c>
      <c r="L1634" s="11">
        <f>_xlfn.XLOOKUP(G1634,Ref!$B$3:$B$12,Ref!$C$3:$C$12,"",1)</f>
        <v>1</v>
      </c>
      <c r="M1634" s="11">
        <f>_xlfn.XLOOKUP(H1634,Ref!$B$3:$B$12,Ref!$C$3:$C$12,"",1)</f>
        <v>1</v>
      </c>
    </row>
    <row r="1635" spans="2:13" x14ac:dyDescent="0.25">
      <c r="B1635" s="15" t="s">
        <v>10</v>
      </c>
      <c r="C1635" s="9">
        <v>37.799999999999997</v>
      </c>
      <c r="D1635" s="9">
        <v>39.299999999999997</v>
      </c>
      <c r="E1635" s="10">
        <v>0</v>
      </c>
      <c r="F1635" s="9">
        <f t="shared" si="97"/>
        <v>12.032113697747286</v>
      </c>
      <c r="G1635" s="9">
        <f t="shared" si="95"/>
        <v>12.509578527022972</v>
      </c>
      <c r="H1635" s="10">
        <f t="shared" si="96"/>
        <v>0</v>
      </c>
      <c r="K1635" s="11">
        <f>_xlfn.XLOOKUP(F1635,Ref!$B$3:$B$12,Ref!$C$3:$C$12,"",1)</f>
        <v>1</v>
      </c>
      <c r="L1635" s="11">
        <f>_xlfn.XLOOKUP(G1635,Ref!$B$3:$B$12,Ref!$C$3:$C$12,"",1)</f>
        <v>1</v>
      </c>
      <c r="M1635" s="11" t="str">
        <f>_xlfn.XLOOKUP(H1635,Ref!$B$3:$B$12,Ref!$C$3:$C$12,"",1)</f>
        <v>Morta</v>
      </c>
    </row>
    <row r="1636" spans="2:13" x14ac:dyDescent="0.25">
      <c r="B1636" s="15" t="s">
        <v>10</v>
      </c>
      <c r="C1636" s="9">
        <v>34.1</v>
      </c>
      <c r="D1636" s="9">
        <v>35</v>
      </c>
      <c r="E1636" s="10">
        <v>0</v>
      </c>
      <c r="F1636" s="9">
        <f t="shared" si="97"/>
        <v>10.854367118867263</v>
      </c>
      <c r="G1636" s="9">
        <f t="shared" si="95"/>
        <v>11.140846016432674</v>
      </c>
      <c r="H1636" s="10">
        <f t="shared" si="96"/>
        <v>0</v>
      </c>
      <c r="K1636" s="11">
        <f>_xlfn.XLOOKUP(F1636,Ref!$B$3:$B$12,Ref!$C$3:$C$12,"",1)</f>
        <v>1</v>
      </c>
      <c r="L1636" s="11">
        <f>_xlfn.XLOOKUP(G1636,Ref!$B$3:$B$12,Ref!$C$3:$C$12,"",1)</f>
        <v>1</v>
      </c>
      <c r="M1636" s="11" t="str">
        <f>_xlfn.XLOOKUP(H1636,Ref!$B$3:$B$12,Ref!$C$3:$C$12,"",1)</f>
        <v>Morta</v>
      </c>
    </row>
    <row r="1637" spans="2:13" x14ac:dyDescent="0.25">
      <c r="B1637" s="15" t="s">
        <v>25</v>
      </c>
      <c r="C1637" s="9">
        <v>56.8</v>
      </c>
      <c r="D1637" s="9">
        <v>59.5</v>
      </c>
      <c r="E1637" s="10">
        <v>61.3</v>
      </c>
      <c r="F1637" s="9">
        <f t="shared" si="97"/>
        <v>18.080001535239308</v>
      </c>
      <c r="G1637" s="9">
        <f t="shared" si="95"/>
        <v>18.939438227935547</v>
      </c>
      <c r="H1637" s="10">
        <f t="shared" si="96"/>
        <v>19.512396023066369</v>
      </c>
      <c r="K1637" s="11">
        <f>_xlfn.XLOOKUP(F1637,Ref!$B$3:$B$12,Ref!$C$3:$C$12,"",1)</f>
        <v>1</v>
      </c>
      <c r="L1637" s="11">
        <f>_xlfn.XLOOKUP(G1637,Ref!$B$3:$B$12,Ref!$C$3:$C$12,"",1)</f>
        <v>1</v>
      </c>
      <c r="M1637" s="11">
        <f>_xlfn.XLOOKUP(H1637,Ref!$B$3:$B$12,Ref!$C$3:$C$12,"",1)</f>
        <v>1</v>
      </c>
    </row>
    <row r="1638" spans="2:13" x14ac:dyDescent="0.25">
      <c r="B1638" s="15" t="s">
        <v>82</v>
      </c>
      <c r="C1638" s="9">
        <v>31.5</v>
      </c>
      <c r="D1638" s="9">
        <v>34.5</v>
      </c>
      <c r="E1638" s="10">
        <v>35.299999999999997</v>
      </c>
      <c r="F1638" s="9">
        <f t="shared" si="97"/>
        <v>10.026761414789407</v>
      </c>
      <c r="G1638" s="9">
        <f t="shared" si="95"/>
        <v>10.981691073340778</v>
      </c>
      <c r="H1638" s="10">
        <f t="shared" si="96"/>
        <v>11.23633898228781</v>
      </c>
      <c r="K1638" s="11">
        <f>_xlfn.XLOOKUP(F1638,Ref!$B$3:$B$12,Ref!$C$3:$C$12,"",1)</f>
        <v>1</v>
      </c>
      <c r="L1638" s="11">
        <f>_xlfn.XLOOKUP(G1638,Ref!$B$3:$B$12,Ref!$C$3:$C$12,"",1)</f>
        <v>1</v>
      </c>
      <c r="M1638" s="11">
        <f>_xlfn.XLOOKUP(H1638,Ref!$B$3:$B$12,Ref!$C$3:$C$12,"",1)</f>
        <v>1</v>
      </c>
    </row>
    <row r="1639" spans="2:13" x14ac:dyDescent="0.25">
      <c r="B1639" s="15" t="s">
        <v>25</v>
      </c>
      <c r="C1639" s="9">
        <v>43.1</v>
      </c>
      <c r="D1639" s="9">
        <v>44.1</v>
      </c>
      <c r="E1639" s="10">
        <v>44.5</v>
      </c>
      <c r="F1639" s="9">
        <f t="shared" si="97"/>
        <v>13.719156094521379</v>
      </c>
      <c r="G1639" s="9">
        <f t="shared" si="95"/>
        <v>14.03746598070517</v>
      </c>
      <c r="H1639" s="10">
        <f t="shared" si="96"/>
        <v>14.164789935178685</v>
      </c>
      <c r="K1639" s="11">
        <f>_xlfn.XLOOKUP(F1639,Ref!$B$3:$B$12,Ref!$C$3:$C$12,"",1)</f>
        <v>1</v>
      </c>
      <c r="L1639" s="11">
        <f>_xlfn.XLOOKUP(G1639,Ref!$B$3:$B$12,Ref!$C$3:$C$12,"",1)</f>
        <v>1</v>
      </c>
      <c r="M1639" s="11">
        <f>_xlfn.XLOOKUP(H1639,Ref!$B$3:$B$12,Ref!$C$3:$C$12,"",1)</f>
        <v>1</v>
      </c>
    </row>
    <row r="1640" spans="2:13" x14ac:dyDescent="0.25">
      <c r="B1640" s="15" t="s">
        <v>12</v>
      </c>
      <c r="C1640" s="9">
        <v>37.5</v>
      </c>
      <c r="D1640" s="9">
        <v>40.299999999999997</v>
      </c>
      <c r="E1640" s="10">
        <v>42.3</v>
      </c>
      <c r="F1640" s="9">
        <f t="shared" si="97"/>
        <v>11.93662073189215</v>
      </c>
      <c r="G1640" s="9">
        <f t="shared" si="95"/>
        <v>12.827888413206765</v>
      </c>
      <c r="H1640" s="10">
        <f t="shared" si="96"/>
        <v>13.464508185574346</v>
      </c>
      <c r="K1640" s="11">
        <f>_xlfn.XLOOKUP(F1640,Ref!$B$3:$B$12,Ref!$C$3:$C$12,"",1)</f>
        <v>1</v>
      </c>
      <c r="L1640" s="11">
        <f>_xlfn.XLOOKUP(G1640,Ref!$B$3:$B$12,Ref!$C$3:$C$12,"",1)</f>
        <v>1</v>
      </c>
      <c r="M1640" s="11">
        <f>_xlfn.XLOOKUP(H1640,Ref!$B$3:$B$12,Ref!$C$3:$C$12,"",1)</f>
        <v>1</v>
      </c>
    </row>
    <row r="1641" spans="2:13" x14ac:dyDescent="0.25">
      <c r="B1641" s="15" t="s">
        <v>7</v>
      </c>
      <c r="C1641" s="9">
        <v>47.5</v>
      </c>
      <c r="D1641" s="9">
        <v>51.4</v>
      </c>
      <c r="E1641" s="10">
        <v>54</v>
      </c>
      <c r="F1641" s="9">
        <f t="shared" si="97"/>
        <v>15.119719593730057</v>
      </c>
      <c r="G1641" s="9">
        <f t="shared" si="95"/>
        <v>16.361128149846841</v>
      </c>
      <c r="H1641" s="10">
        <f t="shared" si="96"/>
        <v>17.188733853924695</v>
      </c>
      <c r="K1641" s="11">
        <f>_xlfn.XLOOKUP(F1641,Ref!$B$3:$B$12,Ref!$C$3:$C$12,"",1)</f>
        <v>1</v>
      </c>
      <c r="L1641" s="11">
        <f>_xlfn.XLOOKUP(G1641,Ref!$B$3:$B$12,Ref!$C$3:$C$12,"",1)</f>
        <v>1</v>
      </c>
      <c r="M1641" s="11">
        <f>_xlfn.XLOOKUP(H1641,Ref!$B$3:$B$12,Ref!$C$3:$C$12,"",1)</f>
        <v>1</v>
      </c>
    </row>
    <row r="1642" spans="2:13" x14ac:dyDescent="0.25">
      <c r="B1642" s="15" t="s">
        <v>25</v>
      </c>
      <c r="C1642" s="9">
        <v>52.3</v>
      </c>
      <c r="D1642" s="9">
        <v>53.9</v>
      </c>
      <c r="E1642" s="10">
        <v>54.6</v>
      </c>
      <c r="F1642" s="9">
        <f t="shared" si="97"/>
        <v>16.647607047412251</v>
      </c>
      <c r="G1642" s="9">
        <f t="shared" si="95"/>
        <v>17.156902865306318</v>
      </c>
      <c r="H1642" s="10">
        <f t="shared" si="96"/>
        <v>17.379719785634972</v>
      </c>
      <c r="K1642" s="11">
        <f>_xlfn.XLOOKUP(F1642,Ref!$B$3:$B$12,Ref!$C$3:$C$12,"",1)</f>
        <v>1</v>
      </c>
      <c r="L1642" s="11">
        <f>_xlfn.XLOOKUP(G1642,Ref!$B$3:$B$12,Ref!$C$3:$C$12,"",1)</f>
        <v>1</v>
      </c>
      <c r="M1642" s="11">
        <f>_xlfn.XLOOKUP(H1642,Ref!$B$3:$B$12,Ref!$C$3:$C$12,"",1)</f>
        <v>1</v>
      </c>
    </row>
    <row r="1643" spans="2:13" x14ac:dyDescent="0.25">
      <c r="B1643" s="15" t="s">
        <v>6</v>
      </c>
      <c r="C1643" s="9">
        <v>34.299999999999997</v>
      </c>
      <c r="D1643" s="9">
        <v>35.299999999999997</v>
      </c>
      <c r="E1643" s="10">
        <v>35</v>
      </c>
      <c r="F1643" s="9">
        <f t="shared" si="97"/>
        <v>10.91802909610402</v>
      </c>
      <c r="G1643" s="9">
        <f t="shared" si="95"/>
        <v>11.23633898228781</v>
      </c>
      <c r="H1643" s="10">
        <f t="shared" si="96"/>
        <v>11.140846016432674</v>
      </c>
      <c r="K1643" s="11">
        <f>_xlfn.XLOOKUP(F1643,Ref!$B$3:$B$12,Ref!$C$3:$C$12,"",1)</f>
        <v>1</v>
      </c>
      <c r="L1643" s="11">
        <f>_xlfn.XLOOKUP(G1643,Ref!$B$3:$B$12,Ref!$C$3:$C$12,"",1)</f>
        <v>1</v>
      </c>
      <c r="M1643" s="11">
        <f>_xlfn.XLOOKUP(H1643,Ref!$B$3:$B$12,Ref!$C$3:$C$12,"",1)</f>
        <v>1</v>
      </c>
    </row>
    <row r="1644" spans="2:13" x14ac:dyDescent="0.25">
      <c r="B1644" s="15" t="s">
        <v>25</v>
      </c>
      <c r="C1644" s="9">
        <v>32.1</v>
      </c>
      <c r="D1644" s="9">
        <v>31.5</v>
      </c>
      <c r="E1644" s="10">
        <v>31.5</v>
      </c>
      <c r="F1644" s="9">
        <f t="shared" si="97"/>
        <v>10.217747346499682</v>
      </c>
      <c r="G1644" s="9">
        <f t="shared" si="95"/>
        <v>10.026761414789407</v>
      </c>
      <c r="H1644" s="10">
        <f t="shared" si="96"/>
        <v>10.026761414789407</v>
      </c>
      <c r="K1644" s="11">
        <f>_xlfn.XLOOKUP(F1644,Ref!$B$3:$B$12,Ref!$C$3:$C$12,"",1)</f>
        <v>1</v>
      </c>
      <c r="L1644" s="11">
        <f>_xlfn.XLOOKUP(G1644,Ref!$B$3:$B$12,Ref!$C$3:$C$12,"",1)</f>
        <v>1</v>
      </c>
      <c r="M1644" s="11">
        <f>_xlfn.XLOOKUP(H1644,Ref!$B$3:$B$12,Ref!$C$3:$C$12,"",1)</f>
        <v>1</v>
      </c>
    </row>
    <row r="1645" spans="2:13" x14ac:dyDescent="0.25">
      <c r="B1645" s="15" t="s">
        <v>8</v>
      </c>
      <c r="C1645" s="9">
        <v>106.7</v>
      </c>
      <c r="D1645" s="9">
        <v>106.5</v>
      </c>
      <c r="E1645" s="10">
        <v>107.3</v>
      </c>
      <c r="F1645" s="9">
        <f t="shared" si="97"/>
        <v>33.963664855810464</v>
      </c>
      <c r="G1645" s="9">
        <f t="shared" si="95"/>
        <v>33.900002878573709</v>
      </c>
      <c r="H1645" s="10">
        <f t="shared" si="96"/>
        <v>34.154650787520737</v>
      </c>
      <c r="K1645" s="11">
        <f>_xlfn.XLOOKUP(F1645,Ref!$B$3:$B$12,Ref!$C$3:$C$12,"",1)</f>
        <v>3</v>
      </c>
      <c r="L1645" s="11">
        <f>_xlfn.XLOOKUP(G1645,Ref!$B$3:$B$12,Ref!$C$3:$C$12,"",1)</f>
        <v>3</v>
      </c>
      <c r="M1645" s="11">
        <f>_xlfn.XLOOKUP(H1645,Ref!$B$3:$B$12,Ref!$C$3:$C$12,"",1)</f>
        <v>3</v>
      </c>
    </row>
    <row r="1646" spans="2:13" x14ac:dyDescent="0.25">
      <c r="B1646" s="15" t="s">
        <v>8</v>
      </c>
      <c r="C1646" s="9">
        <v>106.7</v>
      </c>
      <c r="D1646" s="9">
        <v>106.1</v>
      </c>
      <c r="E1646" s="10">
        <v>107.3</v>
      </c>
      <c r="F1646" s="9">
        <f t="shared" si="97"/>
        <v>33.963664855810464</v>
      </c>
      <c r="G1646" s="9">
        <f t="shared" si="95"/>
        <v>33.772678924100191</v>
      </c>
      <c r="H1646" s="10">
        <f t="shared" si="96"/>
        <v>34.154650787520737</v>
      </c>
      <c r="K1646" s="11">
        <f>_xlfn.XLOOKUP(F1646,Ref!$B$3:$B$12,Ref!$C$3:$C$12,"",1)</f>
        <v>3</v>
      </c>
      <c r="L1646" s="11">
        <f>_xlfn.XLOOKUP(G1646,Ref!$B$3:$B$12,Ref!$C$3:$C$12,"",1)</f>
        <v>3</v>
      </c>
      <c r="M1646" s="11">
        <f>_xlfn.XLOOKUP(H1646,Ref!$B$3:$B$12,Ref!$C$3:$C$12,"",1)</f>
        <v>3</v>
      </c>
    </row>
    <row r="1647" spans="2:13" x14ac:dyDescent="0.25">
      <c r="B1647" s="15" t="s">
        <v>8</v>
      </c>
      <c r="C1647" s="9">
        <v>52.4</v>
      </c>
      <c r="D1647" s="9">
        <v>52</v>
      </c>
      <c r="E1647" s="10">
        <v>52.2</v>
      </c>
      <c r="F1647" s="9">
        <f t="shared" si="97"/>
        <v>16.679438036030632</v>
      </c>
      <c r="G1647" s="9">
        <f t="shared" si="95"/>
        <v>16.552114081557114</v>
      </c>
      <c r="H1647" s="10">
        <f t="shared" si="96"/>
        <v>16.615776058793873</v>
      </c>
      <c r="K1647" s="11">
        <f>_xlfn.XLOOKUP(F1647,Ref!$B$3:$B$12,Ref!$C$3:$C$12,"",1)</f>
        <v>1</v>
      </c>
      <c r="L1647" s="11">
        <f>_xlfn.XLOOKUP(G1647,Ref!$B$3:$B$12,Ref!$C$3:$C$12,"",1)</f>
        <v>1</v>
      </c>
      <c r="M1647" s="11">
        <f>_xlfn.XLOOKUP(H1647,Ref!$B$3:$B$12,Ref!$C$3:$C$12,"",1)</f>
        <v>1</v>
      </c>
    </row>
    <row r="1648" spans="2:13" x14ac:dyDescent="0.25">
      <c r="B1648" s="15" t="s">
        <v>6</v>
      </c>
      <c r="C1648" s="9">
        <v>34.799999999999997</v>
      </c>
      <c r="D1648" s="9">
        <v>35.1</v>
      </c>
      <c r="E1648" s="10">
        <v>35.299999999999997</v>
      </c>
      <c r="F1648" s="9">
        <f t="shared" si="97"/>
        <v>11.077184039195915</v>
      </c>
      <c r="G1648" s="9">
        <f t="shared" si="95"/>
        <v>11.172677005051053</v>
      </c>
      <c r="H1648" s="10">
        <f t="shared" si="96"/>
        <v>11.23633898228781</v>
      </c>
      <c r="K1648" s="11">
        <f>_xlfn.XLOOKUP(F1648,Ref!$B$3:$B$12,Ref!$C$3:$C$12,"",1)</f>
        <v>1</v>
      </c>
      <c r="L1648" s="11">
        <f>_xlfn.XLOOKUP(G1648,Ref!$B$3:$B$12,Ref!$C$3:$C$12,"",1)</f>
        <v>1</v>
      </c>
      <c r="M1648" s="11">
        <f>_xlfn.XLOOKUP(H1648,Ref!$B$3:$B$12,Ref!$C$3:$C$12,"",1)</f>
        <v>1</v>
      </c>
    </row>
    <row r="1649" spans="2:13" x14ac:dyDescent="0.25">
      <c r="B1649" s="15" t="s">
        <v>12</v>
      </c>
      <c r="C1649" s="9">
        <v>39.799999999999997</v>
      </c>
      <c r="D1649" s="9">
        <v>42.6</v>
      </c>
      <c r="E1649" s="10">
        <v>46.1</v>
      </c>
      <c r="F1649" s="9">
        <f t="shared" si="97"/>
        <v>12.668733470114868</v>
      </c>
      <c r="G1649" s="9">
        <f t="shared" si="95"/>
        <v>13.560001151429484</v>
      </c>
      <c r="H1649" s="10">
        <f t="shared" si="96"/>
        <v>14.674085753072751</v>
      </c>
      <c r="K1649" s="11">
        <f>_xlfn.XLOOKUP(F1649,Ref!$B$3:$B$12,Ref!$C$3:$C$12,"",1)</f>
        <v>1</v>
      </c>
      <c r="L1649" s="11">
        <f>_xlfn.XLOOKUP(G1649,Ref!$B$3:$B$12,Ref!$C$3:$C$12,"",1)</f>
        <v>1</v>
      </c>
      <c r="M1649" s="11">
        <f>_xlfn.XLOOKUP(H1649,Ref!$B$3:$B$12,Ref!$C$3:$C$12,"",1)</f>
        <v>1</v>
      </c>
    </row>
    <row r="1650" spans="2:13" x14ac:dyDescent="0.25">
      <c r="B1650" s="15" t="s">
        <v>75</v>
      </c>
      <c r="C1650" s="9">
        <v>142.5</v>
      </c>
      <c r="D1650" s="9">
        <v>138.80000000000001</v>
      </c>
      <c r="E1650" s="10">
        <v>134.9</v>
      </c>
      <c r="F1650" s="9">
        <f t="shared" si="97"/>
        <v>45.359158781190175</v>
      </c>
      <c r="G1650" s="9">
        <f t="shared" si="95"/>
        <v>44.181412202310149</v>
      </c>
      <c r="H1650" s="10">
        <f t="shared" si="96"/>
        <v>42.940003646193368</v>
      </c>
      <c r="K1650" s="11">
        <f>_xlfn.XLOOKUP(F1650,Ref!$B$3:$B$12,Ref!$C$3:$C$12,"",1)</f>
        <v>4</v>
      </c>
      <c r="L1650" s="11">
        <f>_xlfn.XLOOKUP(G1650,Ref!$B$3:$B$12,Ref!$C$3:$C$12,"",1)</f>
        <v>4</v>
      </c>
      <c r="M1650" s="11">
        <f>_xlfn.XLOOKUP(H1650,Ref!$B$3:$B$12,Ref!$C$3:$C$12,"",1)</f>
        <v>4</v>
      </c>
    </row>
    <row r="1651" spans="2:13" x14ac:dyDescent="0.25">
      <c r="B1651" s="15" t="s">
        <v>46</v>
      </c>
      <c r="C1651" s="9">
        <v>72.400000000000006</v>
      </c>
      <c r="D1651" s="9">
        <v>76.599999999999994</v>
      </c>
      <c r="E1651" s="10">
        <v>80.900000000000006</v>
      </c>
      <c r="F1651" s="9">
        <f t="shared" si="97"/>
        <v>23.045635759706446</v>
      </c>
      <c r="G1651" s="9">
        <f t="shared" si="95"/>
        <v>24.382537281678363</v>
      </c>
      <c r="H1651" s="10">
        <f t="shared" si="96"/>
        <v>25.751269792268669</v>
      </c>
      <c r="K1651" s="11">
        <f>_xlfn.XLOOKUP(F1651,Ref!$B$3:$B$12,Ref!$C$3:$C$12,"",1)</f>
        <v>2</v>
      </c>
      <c r="L1651" s="11">
        <f>_xlfn.XLOOKUP(G1651,Ref!$B$3:$B$12,Ref!$C$3:$C$12,"",1)</f>
        <v>2</v>
      </c>
      <c r="M1651" s="11">
        <f>_xlfn.XLOOKUP(H1651,Ref!$B$3:$B$12,Ref!$C$3:$C$12,"",1)</f>
        <v>2</v>
      </c>
    </row>
    <row r="1652" spans="2:13" x14ac:dyDescent="0.25">
      <c r="B1652" s="15" t="s">
        <v>12</v>
      </c>
      <c r="C1652" s="9">
        <v>40.5</v>
      </c>
      <c r="D1652" s="9">
        <v>42.4</v>
      </c>
      <c r="E1652" s="10">
        <v>45.3</v>
      </c>
      <c r="F1652" s="9">
        <f t="shared" si="97"/>
        <v>12.891550390443523</v>
      </c>
      <c r="G1652" s="9">
        <f t="shared" si="95"/>
        <v>13.496339174192725</v>
      </c>
      <c r="H1652" s="10">
        <f t="shared" si="96"/>
        <v>14.419437844125717</v>
      </c>
      <c r="K1652" s="11">
        <f>_xlfn.XLOOKUP(F1652,Ref!$B$3:$B$12,Ref!$C$3:$C$12,"",1)</f>
        <v>1</v>
      </c>
      <c r="L1652" s="11">
        <f>_xlfn.XLOOKUP(G1652,Ref!$B$3:$B$12,Ref!$C$3:$C$12,"",1)</f>
        <v>1</v>
      </c>
      <c r="M1652" s="11">
        <f>_xlfn.XLOOKUP(H1652,Ref!$B$3:$B$12,Ref!$C$3:$C$12,"",1)</f>
        <v>1</v>
      </c>
    </row>
    <row r="1653" spans="2:13" x14ac:dyDescent="0.25">
      <c r="B1653" s="15" t="s">
        <v>12</v>
      </c>
      <c r="C1653" s="9">
        <v>36.1</v>
      </c>
      <c r="D1653" s="9">
        <v>38.6</v>
      </c>
      <c r="E1653" s="10">
        <v>40.700000000000003</v>
      </c>
      <c r="F1653" s="9">
        <f t="shared" si="97"/>
        <v>11.490986891234844</v>
      </c>
      <c r="G1653" s="9">
        <f t="shared" si="95"/>
        <v>12.286761606694322</v>
      </c>
      <c r="H1653" s="10">
        <f t="shared" si="96"/>
        <v>12.955212367680282</v>
      </c>
      <c r="K1653" s="11">
        <f>_xlfn.XLOOKUP(F1653,Ref!$B$3:$B$12,Ref!$C$3:$C$12,"",1)</f>
        <v>1</v>
      </c>
      <c r="L1653" s="11">
        <f>_xlfn.XLOOKUP(G1653,Ref!$B$3:$B$12,Ref!$C$3:$C$12,"",1)</f>
        <v>1</v>
      </c>
      <c r="M1653" s="11">
        <f>_xlfn.XLOOKUP(H1653,Ref!$B$3:$B$12,Ref!$C$3:$C$12,"",1)</f>
        <v>1</v>
      </c>
    </row>
    <row r="1654" spans="2:13" x14ac:dyDescent="0.25">
      <c r="B1654" s="15" t="s">
        <v>46</v>
      </c>
      <c r="C1654" s="9">
        <v>63.1</v>
      </c>
      <c r="D1654" s="9">
        <v>65.599999999999994</v>
      </c>
      <c r="E1654" s="10">
        <v>70.8</v>
      </c>
      <c r="F1654" s="9">
        <f t="shared" si="97"/>
        <v>20.085353818197191</v>
      </c>
      <c r="G1654" s="9">
        <f t="shared" si="95"/>
        <v>20.881128533656668</v>
      </c>
      <c r="H1654" s="10">
        <f t="shared" si="96"/>
        <v>22.536339941812379</v>
      </c>
      <c r="K1654" s="11">
        <f>_xlfn.XLOOKUP(F1654,Ref!$B$3:$B$12,Ref!$C$3:$C$12,"",1)</f>
        <v>2</v>
      </c>
      <c r="L1654" s="11">
        <f>_xlfn.XLOOKUP(G1654,Ref!$B$3:$B$12,Ref!$C$3:$C$12,"",1)</f>
        <v>2</v>
      </c>
      <c r="M1654" s="11">
        <f>_xlfn.XLOOKUP(H1654,Ref!$B$3:$B$12,Ref!$C$3:$C$12,"",1)</f>
        <v>2</v>
      </c>
    </row>
    <row r="1655" spans="2:13" x14ac:dyDescent="0.25">
      <c r="B1655" s="15" t="s">
        <v>12</v>
      </c>
      <c r="C1655" s="9">
        <v>38.299999999999997</v>
      </c>
      <c r="D1655" s="9">
        <v>42.8</v>
      </c>
      <c r="E1655" s="10">
        <v>45.6</v>
      </c>
      <c r="F1655" s="9">
        <f t="shared" si="97"/>
        <v>12.191268640839182</v>
      </c>
      <c r="G1655" s="9">
        <f t="shared" si="95"/>
        <v>13.623663128666241</v>
      </c>
      <c r="H1655" s="10">
        <f t="shared" si="96"/>
        <v>14.514930809980855</v>
      </c>
      <c r="K1655" s="11">
        <f>_xlfn.XLOOKUP(F1655,Ref!$B$3:$B$12,Ref!$C$3:$C$12,"",1)</f>
        <v>1</v>
      </c>
      <c r="L1655" s="11">
        <f>_xlfn.XLOOKUP(G1655,Ref!$B$3:$B$12,Ref!$C$3:$C$12,"",1)</f>
        <v>1</v>
      </c>
      <c r="M1655" s="11">
        <f>_xlfn.XLOOKUP(H1655,Ref!$B$3:$B$12,Ref!$C$3:$C$12,"",1)</f>
        <v>1</v>
      </c>
    </row>
    <row r="1656" spans="2:13" x14ac:dyDescent="0.25">
      <c r="B1656" s="15" t="s">
        <v>12</v>
      </c>
      <c r="C1656" s="9">
        <v>45.9</v>
      </c>
      <c r="D1656" s="9">
        <v>49.6</v>
      </c>
      <c r="E1656" s="10">
        <v>52.6</v>
      </c>
      <c r="F1656" s="9">
        <f t="shared" si="97"/>
        <v>14.610423775835992</v>
      </c>
      <c r="G1656" s="9">
        <f t="shared" si="95"/>
        <v>15.788170354716019</v>
      </c>
      <c r="H1656" s="10">
        <f t="shared" si="96"/>
        <v>16.743100013267391</v>
      </c>
      <c r="K1656" s="11">
        <f>_xlfn.XLOOKUP(F1656,Ref!$B$3:$B$12,Ref!$C$3:$C$12,"",1)</f>
        <v>1</v>
      </c>
      <c r="L1656" s="11">
        <f>_xlfn.XLOOKUP(G1656,Ref!$B$3:$B$12,Ref!$C$3:$C$12,"",1)</f>
        <v>1</v>
      </c>
      <c r="M1656" s="11">
        <f>_xlfn.XLOOKUP(H1656,Ref!$B$3:$B$12,Ref!$C$3:$C$12,"",1)</f>
        <v>1</v>
      </c>
    </row>
    <row r="1657" spans="2:13" x14ac:dyDescent="0.25">
      <c r="B1657" s="15" t="s">
        <v>12</v>
      </c>
      <c r="C1657" s="9">
        <v>33.700000000000003</v>
      </c>
      <c r="D1657" s="9">
        <v>33.6</v>
      </c>
      <c r="E1657" s="10">
        <v>33.5</v>
      </c>
      <c r="F1657" s="9">
        <f t="shared" si="97"/>
        <v>10.727043164393747</v>
      </c>
      <c r="G1657" s="9">
        <f t="shared" si="95"/>
        <v>10.695212175775367</v>
      </c>
      <c r="H1657" s="10">
        <f t="shared" si="96"/>
        <v>10.663381187156988</v>
      </c>
      <c r="K1657" s="11">
        <f>_xlfn.XLOOKUP(F1657,Ref!$B$3:$B$12,Ref!$C$3:$C$12,"",1)</f>
        <v>1</v>
      </c>
      <c r="L1657" s="11">
        <f>_xlfn.XLOOKUP(G1657,Ref!$B$3:$B$12,Ref!$C$3:$C$12,"",1)</f>
        <v>1</v>
      </c>
      <c r="M1657" s="11">
        <f>_xlfn.XLOOKUP(H1657,Ref!$B$3:$B$12,Ref!$C$3:$C$12,"",1)</f>
        <v>1</v>
      </c>
    </row>
    <row r="1658" spans="2:13" x14ac:dyDescent="0.25">
      <c r="B1658" s="15" t="s">
        <v>12</v>
      </c>
      <c r="C1658" s="9">
        <v>34.5</v>
      </c>
      <c r="D1658" s="9">
        <v>0</v>
      </c>
      <c r="E1658" s="10">
        <v>34</v>
      </c>
      <c r="F1658" s="9">
        <f t="shared" si="97"/>
        <v>10.981691073340778</v>
      </c>
      <c r="G1658" s="9">
        <f t="shared" si="95"/>
        <v>0</v>
      </c>
      <c r="H1658" s="10">
        <f t="shared" si="96"/>
        <v>10.822536130248883</v>
      </c>
      <c r="K1658" s="11">
        <f>_xlfn.XLOOKUP(F1658,Ref!$B$3:$B$12,Ref!$C$3:$C$12,"",1)</f>
        <v>1</v>
      </c>
      <c r="L1658" s="11" t="str">
        <f>_xlfn.XLOOKUP(G1658,Ref!$B$3:$B$12,Ref!$C$3:$C$12,"",1)</f>
        <v>Morta</v>
      </c>
      <c r="M1658" s="11">
        <f>_xlfn.XLOOKUP(H1658,Ref!$B$3:$B$12,Ref!$C$3:$C$12,"",1)</f>
        <v>1</v>
      </c>
    </row>
    <row r="1659" spans="2:13" x14ac:dyDescent="0.25">
      <c r="B1659" s="15" t="s">
        <v>8</v>
      </c>
      <c r="C1659" s="9">
        <v>48.5</v>
      </c>
      <c r="D1659" s="9">
        <v>51.1</v>
      </c>
      <c r="E1659" s="10">
        <v>53.3</v>
      </c>
      <c r="F1659" s="9">
        <f t="shared" si="97"/>
        <v>15.438029479913848</v>
      </c>
      <c r="G1659" s="9">
        <f t="shared" si="95"/>
        <v>16.265635183991705</v>
      </c>
      <c r="H1659" s="10">
        <f t="shared" si="96"/>
        <v>16.965916933596041</v>
      </c>
      <c r="K1659" s="11">
        <f>_xlfn.XLOOKUP(F1659,Ref!$B$3:$B$12,Ref!$C$3:$C$12,"",1)</f>
        <v>1</v>
      </c>
      <c r="L1659" s="11">
        <f>_xlfn.XLOOKUP(G1659,Ref!$B$3:$B$12,Ref!$C$3:$C$12,"",1)</f>
        <v>1</v>
      </c>
      <c r="M1659" s="11">
        <f>_xlfn.XLOOKUP(H1659,Ref!$B$3:$B$12,Ref!$C$3:$C$12,"",1)</f>
        <v>1</v>
      </c>
    </row>
    <row r="1660" spans="2:13" x14ac:dyDescent="0.25">
      <c r="B1660" s="15" t="s">
        <v>12</v>
      </c>
      <c r="C1660" s="9">
        <v>39.9</v>
      </c>
      <c r="D1660" s="9">
        <v>41.3</v>
      </c>
      <c r="E1660" s="10">
        <v>42.3</v>
      </c>
      <c r="F1660" s="9">
        <f t="shared" si="97"/>
        <v>12.700564458733249</v>
      </c>
      <c r="G1660" s="9">
        <f t="shared" si="95"/>
        <v>13.146198299390555</v>
      </c>
      <c r="H1660" s="10">
        <f t="shared" si="96"/>
        <v>13.464508185574346</v>
      </c>
      <c r="K1660" s="11">
        <f>_xlfn.XLOOKUP(F1660,Ref!$B$3:$B$12,Ref!$C$3:$C$12,"",1)</f>
        <v>1</v>
      </c>
      <c r="L1660" s="11">
        <f>_xlfn.XLOOKUP(G1660,Ref!$B$3:$B$12,Ref!$C$3:$C$12,"",1)</f>
        <v>1</v>
      </c>
      <c r="M1660" s="11">
        <f>_xlfn.XLOOKUP(H1660,Ref!$B$3:$B$12,Ref!$C$3:$C$12,"",1)</f>
        <v>1</v>
      </c>
    </row>
    <row r="1661" spans="2:13" x14ac:dyDescent="0.25">
      <c r="B1661" s="15" t="s">
        <v>8</v>
      </c>
      <c r="C1661" s="9">
        <v>42</v>
      </c>
      <c r="D1661" s="9">
        <v>42.3</v>
      </c>
      <c r="E1661" s="10">
        <v>46</v>
      </c>
      <c r="F1661" s="9">
        <f t="shared" si="97"/>
        <v>13.369015219719209</v>
      </c>
      <c r="G1661" s="9">
        <f t="shared" si="95"/>
        <v>13.464508185574346</v>
      </c>
      <c r="H1661" s="10">
        <f t="shared" si="96"/>
        <v>14.642254764454371</v>
      </c>
      <c r="K1661" s="11">
        <f>_xlfn.XLOOKUP(F1661,Ref!$B$3:$B$12,Ref!$C$3:$C$12,"",1)</f>
        <v>1</v>
      </c>
      <c r="L1661" s="11">
        <f>_xlfn.XLOOKUP(G1661,Ref!$B$3:$B$12,Ref!$C$3:$C$12,"",1)</f>
        <v>1</v>
      </c>
      <c r="M1661" s="11">
        <f>_xlfn.XLOOKUP(H1661,Ref!$B$3:$B$12,Ref!$C$3:$C$12,"",1)</f>
        <v>1</v>
      </c>
    </row>
    <row r="1662" spans="2:13" x14ac:dyDescent="0.25">
      <c r="B1662" s="15" t="s">
        <v>12</v>
      </c>
      <c r="C1662" s="9">
        <v>48.1</v>
      </c>
      <c r="D1662" s="9">
        <v>50.2</v>
      </c>
      <c r="E1662" s="10">
        <v>52.3</v>
      </c>
      <c r="F1662" s="9">
        <f t="shared" si="97"/>
        <v>15.310705525440332</v>
      </c>
      <c r="G1662" s="9">
        <f t="shared" si="95"/>
        <v>15.979156286426294</v>
      </c>
      <c r="H1662" s="10">
        <f t="shared" si="96"/>
        <v>16.647607047412251</v>
      </c>
      <c r="K1662" s="11">
        <f>_xlfn.XLOOKUP(F1662,Ref!$B$3:$B$12,Ref!$C$3:$C$12,"",1)</f>
        <v>1</v>
      </c>
      <c r="L1662" s="11">
        <f>_xlfn.XLOOKUP(G1662,Ref!$B$3:$B$12,Ref!$C$3:$C$12,"",1)</f>
        <v>1</v>
      </c>
      <c r="M1662" s="11">
        <f>_xlfn.XLOOKUP(H1662,Ref!$B$3:$B$12,Ref!$C$3:$C$12,"",1)</f>
        <v>1</v>
      </c>
    </row>
    <row r="1663" spans="2:13" x14ac:dyDescent="0.25">
      <c r="B1663" s="15" t="s">
        <v>12</v>
      </c>
      <c r="C1663" s="9">
        <v>45.6</v>
      </c>
      <c r="D1663" s="9">
        <v>47.7</v>
      </c>
      <c r="E1663" s="10">
        <v>51.5</v>
      </c>
      <c r="F1663" s="9">
        <f t="shared" si="97"/>
        <v>14.514930809980855</v>
      </c>
      <c r="G1663" s="9">
        <f t="shared" si="95"/>
        <v>15.183381570966816</v>
      </c>
      <c r="H1663" s="10">
        <f t="shared" si="96"/>
        <v>16.392959138465219</v>
      </c>
      <c r="K1663" s="11">
        <f>_xlfn.XLOOKUP(F1663,Ref!$B$3:$B$12,Ref!$C$3:$C$12,"",1)</f>
        <v>1</v>
      </c>
      <c r="L1663" s="11">
        <f>_xlfn.XLOOKUP(G1663,Ref!$B$3:$B$12,Ref!$C$3:$C$12,"",1)</f>
        <v>1</v>
      </c>
      <c r="M1663" s="11">
        <f>_xlfn.XLOOKUP(H1663,Ref!$B$3:$B$12,Ref!$C$3:$C$12,"",1)</f>
        <v>1</v>
      </c>
    </row>
    <row r="1664" spans="2:13" x14ac:dyDescent="0.25">
      <c r="B1664" s="15" t="s">
        <v>12</v>
      </c>
      <c r="C1664" s="9">
        <v>40.6</v>
      </c>
      <c r="D1664" s="9">
        <v>41.8</v>
      </c>
      <c r="E1664" s="10">
        <v>44</v>
      </c>
      <c r="F1664" s="9">
        <f t="shared" si="97"/>
        <v>12.923381379061903</v>
      </c>
      <c r="G1664" s="9">
        <f t="shared" si="95"/>
        <v>13.30535324248245</v>
      </c>
      <c r="H1664" s="10">
        <f t="shared" si="96"/>
        <v>14.00563499208679</v>
      </c>
      <c r="K1664" s="11">
        <f>_xlfn.XLOOKUP(F1664,Ref!$B$3:$B$12,Ref!$C$3:$C$12,"",1)</f>
        <v>1</v>
      </c>
      <c r="L1664" s="11">
        <f>_xlfn.XLOOKUP(G1664,Ref!$B$3:$B$12,Ref!$C$3:$C$12,"",1)</f>
        <v>1</v>
      </c>
      <c r="M1664" s="11">
        <f>_xlfn.XLOOKUP(H1664,Ref!$B$3:$B$12,Ref!$C$3:$C$12,"",1)</f>
        <v>1</v>
      </c>
    </row>
    <row r="1665" spans="2:13" x14ac:dyDescent="0.25">
      <c r="B1665" s="15" t="s">
        <v>23</v>
      </c>
      <c r="C1665" s="9"/>
      <c r="D1665" s="9">
        <v>32.200000000000003</v>
      </c>
      <c r="E1665" s="10">
        <v>33.700000000000003</v>
      </c>
      <c r="F1665" s="9" t="str">
        <f t="shared" si="97"/>
        <v/>
      </c>
      <c r="G1665" s="9">
        <f t="shared" si="95"/>
        <v>10.249578335118061</v>
      </c>
      <c r="H1665" s="10">
        <f t="shared" si="96"/>
        <v>10.727043164393747</v>
      </c>
      <c r="K1665" s="11" t="str">
        <f>_xlfn.XLOOKUP(F1665,Ref!$B$3:$B$12,Ref!$C$3:$C$12,"",1)</f>
        <v/>
      </c>
      <c r="L1665" s="11">
        <f>_xlfn.XLOOKUP(G1665,Ref!$B$3:$B$12,Ref!$C$3:$C$12,"",1)</f>
        <v>1</v>
      </c>
      <c r="M1665" s="11">
        <f>_xlfn.XLOOKUP(H1665,Ref!$B$3:$B$12,Ref!$C$3:$C$12,"",1)</f>
        <v>1</v>
      </c>
    </row>
    <row r="1666" spans="2:13" x14ac:dyDescent="0.25">
      <c r="B1666" s="15" t="s">
        <v>8</v>
      </c>
      <c r="C1666" s="9"/>
      <c r="D1666" s="9">
        <v>31.9</v>
      </c>
      <c r="E1666" s="10">
        <v>32.1</v>
      </c>
      <c r="F1666" s="9" t="str">
        <f t="shared" si="97"/>
        <v/>
      </c>
      <c r="G1666" s="9">
        <f t="shared" si="95"/>
        <v>10.154085369262923</v>
      </c>
      <c r="H1666" s="10">
        <f t="shared" si="96"/>
        <v>10.217747346499682</v>
      </c>
      <c r="K1666" s="11" t="str">
        <f>_xlfn.XLOOKUP(F1666,Ref!$B$3:$B$12,Ref!$C$3:$C$12,"",1)</f>
        <v/>
      </c>
      <c r="L1666" s="11">
        <f>_xlfn.XLOOKUP(G1666,Ref!$B$3:$B$12,Ref!$C$3:$C$12,"",1)</f>
        <v>1</v>
      </c>
      <c r="M1666" s="11">
        <f>_xlfn.XLOOKUP(H1666,Ref!$B$3:$B$12,Ref!$C$3:$C$12,"",1)</f>
        <v>1</v>
      </c>
    </row>
    <row r="1667" spans="2:13" x14ac:dyDescent="0.25">
      <c r="B1667" s="15" t="s">
        <v>14</v>
      </c>
      <c r="C1667" s="9"/>
      <c r="D1667" s="9">
        <v>34.200000000000003</v>
      </c>
      <c r="E1667" s="10">
        <v>40.799999999999997</v>
      </c>
      <c r="F1667" s="9" t="str">
        <f t="shared" si="97"/>
        <v/>
      </c>
      <c r="G1667" s="9">
        <f t="shared" si="95"/>
        <v>10.886198107485642</v>
      </c>
      <c r="H1667" s="10">
        <f t="shared" si="96"/>
        <v>12.98704335629866</v>
      </c>
      <c r="K1667" s="11" t="str">
        <f>_xlfn.XLOOKUP(F1667,Ref!$B$3:$B$12,Ref!$C$3:$C$12,"",1)</f>
        <v/>
      </c>
      <c r="L1667" s="11">
        <f>_xlfn.XLOOKUP(G1667,Ref!$B$3:$B$12,Ref!$C$3:$C$12,"",1)</f>
        <v>1</v>
      </c>
      <c r="M1667" s="11">
        <f>_xlfn.XLOOKUP(H1667,Ref!$B$3:$B$12,Ref!$C$3:$C$12,"",1)</f>
        <v>1</v>
      </c>
    </row>
    <row r="1668" spans="2:13" x14ac:dyDescent="0.25">
      <c r="B1668" s="15" t="s">
        <v>6</v>
      </c>
      <c r="C1668" s="9"/>
      <c r="D1668" s="9">
        <v>31.8</v>
      </c>
      <c r="E1668" s="10">
        <v>32.1</v>
      </c>
      <c r="F1668" s="9" t="str">
        <f t="shared" si="97"/>
        <v/>
      </c>
      <c r="G1668" s="9">
        <f t="shared" ref="G1668:G1724" si="98">IF(D1668="", "", D1668/PI())</f>
        <v>10.122254380644543</v>
      </c>
      <c r="H1668" s="10">
        <f t="shared" ref="H1668:H1724" si="99">IF(E1668="", "", E1668/PI())</f>
        <v>10.217747346499682</v>
      </c>
      <c r="K1668" s="11" t="str">
        <f>_xlfn.XLOOKUP(F1668,Ref!$B$3:$B$12,Ref!$C$3:$C$12,"",1)</f>
        <v/>
      </c>
      <c r="L1668" s="11">
        <f>_xlfn.XLOOKUP(G1668,Ref!$B$3:$B$12,Ref!$C$3:$C$12,"",1)</f>
        <v>1</v>
      </c>
      <c r="M1668" s="11">
        <f>_xlfn.XLOOKUP(H1668,Ref!$B$3:$B$12,Ref!$C$3:$C$12,"",1)</f>
        <v>1</v>
      </c>
    </row>
    <row r="1669" spans="2:13" x14ac:dyDescent="0.25">
      <c r="B1669" s="15" t="s">
        <v>44</v>
      </c>
      <c r="C1669" s="9">
        <v>38.799999999999997</v>
      </c>
      <c r="D1669" s="9">
        <v>39</v>
      </c>
      <c r="E1669" s="10">
        <v>41.5</v>
      </c>
      <c r="F1669" s="9">
        <f t="shared" si="97"/>
        <v>12.350423583931077</v>
      </c>
      <c r="G1669" s="9">
        <f t="shared" si="98"/>
        <v>12.414085561167836</v>
      </c>
      <c r="H1669" s="10">
        <f t="shared" si="99"/>
        <v>13.209860276627314</v>
      </c>
      <c r="K1669" s="11">
        <f>_xlfn.XLOOKUP(F1669,Ref!$B$3:$B$12,Ref!$C$3:$C$12,"",1)</f>
        <v>1</v>
      </c>
      <c r="L1669" s="11">
        <f>_xlfn.XLOOKUP(G1669,Ref!$B$3:$B$12,Ref!$C$3:$C$12,"",1)</f>
        <v>1</v>
      </c>
      <c r="M1669" s="11">
        <f>_xlfn.XLOOKUP(H1669,Ref!$B$3:$B$12,Ref!$C$3:$C$12,"",1)</f>
        <v>1</v>
      </c>
    </row>
    <row r="1670" spans="2:13" x14ac:dyDescent="0.25">
      <c r="B1670" s="15" t="s">
        <v>12</v>
      </c>
      <c r="C1670" s="9"/>
      <c r="D1670" s="9">
        <v>32</v>
      </c>
      <c r="E1670" s="10">
        <v>31.8</v>
      </c>
      <c r="F1670" s="9" t="str">
        <f t="shared" si="97"/>
        <v/>
      </c>
      <c r="G1670" s="9">
        <f t="shared" si="98"/>
        <v>10.185916357881302</v>
      </c>
      <c r="H1670" s="10">
        <f t="shared" si="99"/>
        <v>10.122254380644543</v>
      </c>
      <c r="K1670" s="11" t="str">
        <f>_xlfn.XLOOKUP(F1670,Ref!$B$3:$B$12,Ref!$C$3:$C$12,"",1)</f>
        <v/>
      </c>
      <c r="L1670" s="11">
        <f>_xlfn.XLOOKUP(G1670,Ref!$B$3:$B$12,Ref!$C$3:$C$12,"",1)</f>
        <v>1</v>
      </c>
      <c r="M1670" s="11">
        <f>_xlfn.XLOOKUP(H1670,Ref!$B$3:$B$12,Ref!$C$3:$C$12,"",1)</f>
        <v>1</v>
      </c>
    </row>
    <row r="1671" spans="2:13" x14ac:dyDescent="0.25">
      <c r="B1671" s="15" t="s">
        <v>12</v>
      </c>
      <c r="C1671" s="9">
        <v>40.1</v>
      </c>
      <c r="D1671" s="9">
        <v>40.9</v>
      </c>
      <c r="E1671" s="10">
        <v>0</v>
      </c>
      <c r="F1671" s="9">
        <f t="shared" si="97"/>
        <v>12.764226435970008</v>
      </c>
      <c r="G1671" s="9">
        <f t="shared" si="98"/>
        <v>13.018874344917039</v>
      </c>
      <c r="H1671" s="10">
        <f t="shared" si="99"/>
        <v>0</v>
      </c>
      <c r="K1671" s="11">
        <f>_xlfn.XLOOKUP(F1671,Ref!$B$3:$B$12,Ref!$C$3:$C$12,"",1)</f>
        <v>1</v>
      </c>
      <c r="L1671" s="11">
        <f>_xlfn.XLOOKUP(G1671,Ref!$B$3:$B$12,Ref!$C$3:$C$12,"",1)</f>
        <v>1</v>
      </c>
      <c r="M1671" s="11" t="str">
        <f>_xlfn.XLOOKUP(H1671,Ref!$B$3:$B$12,Ref!$C$3:$C$12,"",1)</f>
        <v>Morta</v>
      </c>
    </row>
    <row r="1672" spans="2:13" x14ac:dyDescent="0.25">
      <c r="B1672" s="15" t="s">
        <v>12</v>
      </c>
      <c r="C1672" s="9"/>
      <c r="D1672" s="9"/>
      <c r="E1672" s="10">
        <v>31.5</v>
      </c>
      <c r="F1672" s="9" t="str">
        <f t="shared" si="97"/>
        <v/>
      </c>
      <c r="G1672" s="9" t="str">
        <f t="shared" si="98"/>
        <v/>
      </c>
      <c r="H1672" s="10">
        <f t="shared" si="99"/>
        <v>10.026761414789407</v>
      </c>
      <c r="K1672" s="11" t="str">
        <f>_xlfn.XLOOKUP(F1672,Ref!$B$3:$B$12,Ref!$C$3:$C$12,"",1)</f>
        <v/>
      </c>
      <c r="L1672" s="11" t="str">
        <f>_xlfn.XLOOKUP(G1672,Ref!$B$3:$B$12,Ref!$C$3:$C$12,"",1)</f>
        <v/>
      </c>
      <c r="M1672" s="11">
        <f>_xlfn.XLOOKUP(H1672,Ref!$B$3:$B$12,Ref!$C$3:$C$12,"",1)</f>
        <v>1</v>
      </c>
    </row>
    <row r="1673" spans="2:13" x14ac:dyDescent="0.25">
      <c r="B1673" s="15" t="s">
        <v>12</v>
      </c>
      <c r="C1673" s="9"/>
      <c r="D1673" s="9"/>
      <c r="E1673" s="10">
        <v>33.1</v>
      </c>
      <c r="F1673" s="9" t="str">
        <f t="shared" si="97"/>
        <v/>
      </c>
      <c r="G1673" s="9" t="str">
        <f t="shared" si="98"/>
        <v/>
      </c>
      <c r="H1673" s="10">
        <f t="shared" si="99"/>
        <v>10.536057232683472</v>
      </c>
      <c r="K1673" s="11" t="str">
        <f>_xlfn.XLOOKUP(F1673,Ref!$B$3:$B$12,Ref!$C$3:$C$12,"",1)</f>
        <v/>
      </c>
      <c r="L1673" s="11" t="str">
        <f>_xlfn.XLOOKUP(G1673,Ref!$B$3:$B$12,Ref!$C$3:$C$12,"",1)</f>
        <v/>
      </c>
      <c r="M1673" s="11">
        <f>_xlfn.XLOOKUP(H1673,Ref!$B$3:$B$12,Ref!$C$3:$C$12,"",1)</f>
        <v>1</v>
      </c>
    </row>
    <row r="1674" spans="2:13" x14ac:dyDescent="0.25">
      <c r="B1674" s="15" t="s">
        <v>41</v>
      </c>
      <c r="C1674" s="9">
        <v>49.6</v>
      </c>
      <c r="D1674" s="9">
        <v>55.3</v>
      </c>
      <c r="E1674" s="10">
        <v>60.9</v>
      </c>
      <c r="F1674" s="9">
        <f t="shared" si="97"/>
        <v>15.788170354716019</v>
      </c>
      <c r="G1674" s="9">
        <f t="shared" si="98"/>
        <v>17.602536705963622</v>
      </c>
      <c r="H1674" s="10">
        <f t="shared" si="99"/>
        <v>19.385072068592851</v>
      </c>
      <c r="K1674" s="11">
        <f>_xlfn.XLOOKUP(F1674,Ref!$B$3:$B$12,Ref!$C$3:$C$12,"",1)</f>
        <v>1</v>
      </c>
      <c r="L1674" s="11">
        <f>_xlfn.XLOOKUP(G1674,Ref!$B$3:$B$12,Ref!$C$3:$C$12,"",1)</f>
        <v>1</v>
      </c>
      <c r="M1674" s="11">
        <f>_xlfn.XLOOKUP(H1674,Ref!$B$3:$B$12,Ref!$C$3:$C$12,"",1)</f>
        <v>1</v>
      </c>
    </row>
    <row r="1675" spans="2:13" x14ac:dyDescent="0.25">
      <c r="B1675" s="15" t="s">
        <v>12</v>
      </c>
      <c r="C1675" s="9"/>
      <c r="D1675" s="9">
        <v>52.2</v>
      </c>
      <c r="E1675" s="10">
        <v>55.8</v>
      </c>
      <c r="F1675" s="9" t="str">
        <f t="shared" si="97"/>
        <v/>
      </c>
      <c r="G1675" s="9">
        <f t="shared" si="98"/>
        <v>16.615776058793873</v>
      </c>
      <c r="H1675" s="10">
        <f t="shared" si="99"/>
        <v>17.761691649055518</v>
      </c>
      <c r="K1675" s="11" t="str">
        <f>_xlfn.XLOOKUP(F1675,Ref!$B$3:$B$12,Ref!$C$3:$C$12,"",1)</f>
        <v/>
      </c>
      <c r="L1675" s="11">
        <f>_xlfn.XLOOKUP(G1675,Ref!$B$3:$B$12,Ref!$C$3:$C$12,"",1)</f>
        <v>1</v>
      </c>
      <c r="M1675" s="11">
        <f>_xlfn.XLOOKUP(H1675,Ref!$B$3:$B$12,Ref!$C$3:$C$12,"",1)</f>
        <v>1</v>
      </c>
    </row>
    <row r="1676" spans="2:13" x14ac:dyDescent="0.25">
      <c r="B1676" s="15" t="s">
        <v>12</v>
      </c>
      <c r="C1676" s="9"/>
      <c r="D1676" s="9">
        <v>44.9</v>
      </c>
      <c r="E1676" s="10">
        <v>46</v>
      </c>
      <c r="F1676" s="9" t="str">
        <f t="shared" si="97"/>
        <v/>
      </c>
      <c r="G1676" s="9">
        <f t="shared" si="98"/>
        <v>14.292113889652201</v>
      </c>
      <c r="H1676" s="10">
        <f t="shared" si="99"/>
        <v>14.642254764454371</v>
      </c>
      <c r="K1676" s="11" t="str">
        <f>_xlfn.XLOOKUP(F1676,Ref!$B$3:$B$12,Ref!$C$3:$C$12,"",1)</f>
        <v/>
      </c>
      <c r="L1676" s="11">
        <f>_xlfn.XLOOKUP(G1676,Ref!$B$3:$B$12,Ref!$C$3:$C$12,"",1)</f>
        <v>1</v>
      </c>
      <c r="M1676" s="11">
        <f>_xlfn.XLOOKUP(H1676,Ref!$B$3:$B$12,Ref!$C$3:$C$12,"",1)</f>
        <v>1</v>
      </c>
    </row>
    <row r="1677" spans="2:13" x14ac:dyDescent="0.25">
      <c r="B1677" s="15" t="s">
        <v>25</v>
      </c>
      <c r="C1677" s="9">
        <v>50.8</v>
      </c>
      <c r="D1677" s="9">
        <v>51.5</v>
      </c>
      <c r="E1677" s="10">
        <v>52.9</v>
      </c>
      <c r="F1677" s="9">
        <f t="shared" ref="F1677:F1735" si="100">IF(C1677="", "", C1677/PI())</f>
        <v>16.170142218136565</v>
      </c>
      <c r="G1677" s="9">
        <f t="shared" si="98"/>
        <v>16.392959138465219</v>
      </c>
      <c r="H1677" s="10">
        <f t="shared" si="99"/>
        <v>16.838592979122527</v>
      </c>
      <c r="K1677" s="11">
        <f>_xlfn.XLOOKUP(F1677,Ref!$B$3:$B$12,Ref!$C$3:$C$12,"",1)</f>
        <v>1</v>
      </c>
      <c r="L1677" s="11">
        <f>_xlfn.XLOOKUP(G1677,Ref!$B$3:$B$12,Ref!$C$3:$C$12,"",1)</f>
        <v>1</v>
      </c>
      <c r="M1677" s="11">
        <f>_xlfn.XLOOKUP(H1677,Ref!$B$3:$B$12,Ref!$C$3:$C$12,"",1)</f>
        <v>1</v>
      </c>
    </row>
    <row r="1678" spans="2:13" x14ac:dyDescent="0.25">
      <c r="B1678" s="15" t="s">
        <v>25</v>
      </c>
      <c r="C1678" s="9">
        <v>47.9</v>
      </c>
      <c r="D1678" s="9">
        <v>48.9</v>
      </c>
      <c r="E1678" s="10">
        <v>50.5</v>
      </c>
      <c r="F1678" s="9">
        <f t="shared" si="100"/>
        <v>15.247043548203573</v>
      </c>
      <c r="G1678" s="9">
        <f t="shared" si="98"/>
        <v>15.565353434387363</v>
      </c>
      <c r="H1678" s="10">
        <f t="shared" si="99"/>
        <v>16.074649252281429</v>
      </c>
      <c r="K1678" s="11">
        <f>_xlfn.XLOOKUP(F1678,Ref!$B$3:$B$12,Ref!$C$3:$C$12,"",1)</f>
        <v>1</v>
      </c>
      <c r="L1678" s="11">
        <f>_xlfn.XLOOKUP(G1678,Ref!$B$3:$B$12,Ref!$C$3:$C$12,"",1)</f>
        <v>1</v>
      </c>
      <c r="M1678" s="11">
        <f>_xlfn.XLOOKUP(H1678,Ref!$B$3:$B$12,Ref!$C$3:$C$12,"",1)</f>
        <v>1</v>
      </c>
    </row>
    <row r="1679" spans="2:13" x14ac:dyDescent="0.25">
      <c r="B1679" s="15" t="s">
        <v>12</v>
      </c>
      <c r="C1679" s="9">
        <v>37.200000000000003</v>
      </c>
      <c r="D1679" s="9">
        <v>38.700000000000003</v>
      </c>
      <c r="E1679" s="10">
        <v>40.200000000000003</v>
      </c>
      <c r="F1679" s="9">
        <f t="shared" si="100"/>
        <v>11.841127766037014</v>
      </c>
      <c r="G1679" s="9">
        <f t="shared" si="98"/>
        <v>12.318592595312701</v>
      </c>
      <c r="H1679" s="10">
        <f t="shared" si="99"/>
        <v>12.796057424588387</v>
      </c>
      <c r="K1679" s="11">
        <f>_xlfn.XLOOKUP(F1679,Ref!$B$3:$B$12,Ref!$C$3:$C$12,"",1)</f>
        <v>1</v>
      </c>
      <c r="L1679" s="11">
        <f>_xlfn.XLOOKUP(G1679,Ref!$B$3:$B$12,Ref!$C$3:$C$12,"",1)</f>
        <v>1</v>
      </c>
      <c r="M1679" s="11">
        <f>_xlfn.XLOOKUP(H1679,Ref!$B$3:$B$12,Ref!$C$3:$C$12,"",1)</f>
        <v>1</v>
      </c>
    </row>
    <row r="1680" spans="2:13" x14ac:dyDescent="0.25">
      <c r="B1680" s="15" t="s">
        <v>12</v>
      </c>
      <c r="C1680" s="9">
        <v>45.3</v>
      </c>
      <c r="D1680" s="9">
        <v>48.7</v>
      </c>
      <c r="E1680" s="10">
        <v>51.2</v>
      </c>
      <c r="F1680" s="9">
        <f t="shared" si="100"/>
        <v>14.419437844125717</v>
      </c>
      <c r="G1680" s="9">
        <f t="shared" si="98"/>
        <v>15.501691457150606</v>
      </c>
      <c r="H1680" s="10">
        <f t="shared" si="99"/>
        <v>16.297466172610083</v>
      </c>
      <c r="K1680" s="11">
        <f>_xlfn.XLOOKUP(F1680,Ref!$B$3:$B$12,Ref!$C$3:$C$12,"",1)</f>
        <v>1</v>
      </c>
      <c r="L1680" s="11">
        <f>_xlfn.XLOOKUP(G1680,Ref!$B$3:$B$12,Ref!$C$3:$C$12,"",1)</f>
        <v>1</v>
      </c>
      <c r="M1680" s="11">
        <f>_xlfn.XLOOKUP(H1680,Ref!$B$3:$B$12,Ref!$C$3:$C$12,"",1)</f>
        <v>1</v>
      </c>
    </row>
    <row r="1681" spans="2:13" x14ac:dyDescent="0.25">
      <c r="B1681" s="15" t="s">
        <v>48</v>
      </c>
      <c r="C1681" s="9">
        <v>35.799999999999997</v>
      </c>
      <c r="D1681" s="9">
        <v>0</v>
      </c>
      <c r="E1681" s="10">
        <v>0</v>
      </c>
      <c r="F1681" s="9">
        <f t="shared" si="100"/>
        <v>11.395493925379705</v>
      </c>
      <c r="G1681" s="9">
        <f t="shared" si="98"/>
        <v>0</v>
      </c>
      <c r="H1681" s="10">
        <f t="shared" si="99"/>
        <v>0</v>
      </c>
      <c r="K1681" s="11">
        <f>_xlfn.XLOOKUP(F1681,Ref!$B$3:$B$12,Ref!$C$3:$C$12,"",1)</f>
        <v>1</v>
      </c>
      <c r="L1681" s="11" t="str">
        <f>_xlfn.XLOOKUP(G1681,Ref!$B$3:$B$12,Ref!$C$3:$C$12,"",1)</f>
        <v>Morta</v>
      </c>
      <c r="M1681" s="11" t="str">
        <f>_xlfn.XLOOKUP(H1681,Ref!$B$3:$B$12,Ref!$C$3:$C$12,"",1)</f>
        <v>Morta</v>
      </c>
    </row>
    <row r="1682" spans="2:13" x14ac:dyDescent="0.25">
      <c r="B1682" s="15" t="s">
        <v>25</v>
      </c>
      <c r="C1682" s="9">
        <v>42.8</v>
      </c>
      <c r="D1682" s="9">
        <v>42.8</v>
      </c>
      <c r="E1682" s="10">
        <v>43</v>
      </c>
      <c r="F1682" s="9">
        <f t="shared" si="100"/>
        <v>13.623663128666241</v>
      </c>
      <c r="G1682" s="9">
        <f t="shared" si="98"/>
        <v>13.623663128666241</v>
      </c>
      <c r="H1682" s="10">
        <f t="shared" si="99"/>
        <v>13.687325105903</v>
      </c>
      <c r="K1682" s="11">
        <f>_xlfn.XLOOKUP(F1682,Ref!$B$3:$B$12,Ref!$C$3:$C$12,"",1)</f>
        <v>1</v>
      </c>
      <c r="L1682" s="11">
        <f>_xlfn.XLOOKUP(G1682,Ref!$B$3:$B$12,Ref!$C$3:$C$12,"",1)</f>
        <v>1</v>
      </c>
      <c r="M1682" s="11">
        <f>_xlfn.XLOOKUP(H1682,Ref!$B$3:$B$12,Ref!$C$3:$C$12,"",1)</f>
        <v>1</v>
      </c>
    </row>
    <row r="1683" spans="2:13" x14ac:dyDescent="0.25">
      <c r="B1683" s="15" t="s">
        <v>12</v>
      </c>
      <c r="C1683" s="9">
        <v>54.3</v>
      </c>
      <c r="D1683" s="9">
        <v>60.5</v>
      </c>
      <c r="E1683" s="10">
        <v>65.400000000000006</v>
      </c>
      <c r="F1683" s="9">
        <f t="shared" si="100"/>
        <v>17.284226819779832</v>
      </c>
      <c r="G1683" s="9">
        <f t="shared" si="98"/>
        <v>19.257748114119337</v>
      </c>
      <c r="H1683" s="10">
        <f t="shared" si="99"/>
        <v>20.817466556419912</v>
      </c>
      <c r="K1683" s="11">
        <f>_xlfn.XLOOKUP(F1683,Ref!$B$3:$B$12,Ref!$C$3:$C$12,"",1)</f>
        <v>1</v>
      </c>
      <c r="L1683" s="11">
        <f>_xlfn.XLOOKUP(G1683,Ref!$B$3:$B$12,Ref!$C$3:$C$12,"",1)</f>
        <v>1</v>
      </c>
      <c r="M1683" s="11">
        <f>_xlfn.XLOOKUP(H1683,Ref!$B$3:$B$12,Ref!$C$3:$C$12,"",1)</f>
        <v>2</v>
      </c>
    </row>
    <row r="1684" spans="2:13" x14ac:dyDescent="0.25">
      <c r="B1684" s="15" t="s">
        <v>48</v>
      </c>
      <c r="C1684" s="9">
        <v>41.5</v>
      </c>
      <c r="D1684" s="9">
        <v>43</v>
      </c>
      <c r="E1684" s="10">
        <v>44.4</v>
      </c>
      <c r="F1684" s="9">
        <f t="shared" si="100"/>
        <v>13.209860276627314</v>
      </c>
      <c r="G1684" s="9">
        <f t="shared" si="98"/>
        <v>13.687325105903</v>
      </c>
      <c r="H1684" s="10">
        <f t="shared" si="99"/>
        <v>14.132958946560306</v>
      </c>
      <c r="K1684" s="11">
        <f>_xlfn.XLOOKUP(F1684,Ref!$B$3:$B$12,Ref!$C$3:$C$12,"",1)</f>
        <v>1</v>
      </c>
      <c r="L1684" s="11">
        <f>_xlfn.XLOOKUP(G1684,Ref!$B$3:$B$12,Ref!$C$3:$C$12,"",1)</f>
        <v>1</v>
      </c>
      <c r="M1684" s="11">
        <f>_xlfn.XLOOKUP(H1684,Ref!$B$3:$B$12,Ref!$C$3:$C$12,"",1)</f>
        <v>1</v>
      </c>
    </row>
    <row r="1685" spans="2:13" x14ac:dyDescent="0.25">
      <c r="B1685" s="15" t="s">
        <v>7</v>
      </c>
      <c r="C1685" s="9">
        <v>76.7</v>
      </c>
      <c r="D1685" s="9">
        <v>77.8</v>
      </c>
      <c r="E1685" s="10">
        <v>78.400000000000006</v>
      </c>
      <c r="F1685" s="9">
        <f t="shared" si="100"/>
        <v>24.414368270296745</v>
      </c>
      <c r="G1685" s="9">
        <f t="shared" si="98"/>
        <v>24.764509145098913</v>
      </c>
      <c r="H1685" s="10">
        <f t="shared" si="99"/>
        <v>24.955495076809193</v>
      </c>
      <c r="K1685" s="11">
        <f>_xlfn.XLOOKUP(F1685,Ref!$B$3:$B$12,Ref!$C$3:$C$12,"",1)</f>
        <v>2</v>
      </c>
      <c r="L1685" s="11">
        <f>_xlfn.XLOOKUP(G1685,Ref!$B$3:$B$12,Ref!$C$3:$C$12,"",1)</f>
        <v>2</v>
      </c>
      <c r="M1685" s="11">
        <f>_xlfn.XLOOKUP(H1685,Ref!$B$3:$B$12,Ref!$C$3:$C$12,"",1)</f>
        <v>2</v>
      </c>
    </row>
    <row r="1686" spans="2:13" x14ac:dyDescent="0.25">
      <c r="B1686" s="15" t="s">
        <v>25</v>
      </c>
      <c r="C1686" s="9">
        <v>44.6</v>
      </c>
      <c r="D1686" s="9">
        <v>44.3</v>
      </c>
      <c r="E1686" s="10">
        <v>44</v>
      </c>
      <c r="F1686" s="9">
        <f t="shared" si="100"/>
        <v>14.196620923797065</v>
      </c>
      <c r="G1686" s="9">
        <f t="shared" si="98"/>
        <v>14.101127957941927</v>
      </c>
      <c r="H1686" s="10">
        <f t="shared" si="99"/>
        <v>14.00563499208679</v>
      </c>
      <c r="K1686" s="11">
        <f>_xlfn.XLOOKUP(F1686,Ref!$B$3:$B$12,Ref!$C$3:$C$12,"",1)</f>
        <v>1</v>
      </c>
      <c r="L1686" s="11">
        <f>_xlfn.XLOOKUP(G1686,Ref!$B$3:$B$12,Ref!$C$3:$C$12,"",1)</f>
        <v>1</v>
      </c>
      <c r="M1686" s="11">
        <f>_xlfn.XLOOKUP(H1686,Ref!$B$3:$B$12,Ref!$C$3:$C$12,"",1)</f>
        <v>1</v>
      </c>
    </row>
    <row r="1687" spans="2:13" x14ac:dyDescent="0.25">
      <c r="B1687" s="15" t="s">
        <v>41</v>
      </c>
      <c r="C1687" s="9">
        <v>31.6</v>
      </c>
      <c r="D1687" s="9">
        <v>31.6</v>
      </c>
      <c r="E1687" s="10">
        <v>31.6</v>
      </c>
      <c r="F1687" s="9">
        <f t="shared" si="100"/>
        <v>10.058592403407786</v>
      </c>
      <c r="G1687" s="9">
        <f t="shared" si="98"/>
        <v>10.058592403407786</v>
      </c>
      <c r="H1687" s="10">
        <f t="shared" si="99"/>
        <v>10.058592403407786</v>
      </c>
      <c r="K1687" s="11">
        <f>_xlfn.XLOOKUP(F1687,Ref!$B$3:$B$12,Ref!$C$3:$C$12,"",1)</f>
        <v>1</v>
      </c>
      <c r="L1687" s="11">
        <f>_xlfn.XLOOKUP(G1687,Ref!$B$3:$B$12,Ref!$C$3:$C$12,"",1)</f>
        <v>1</v>
      </c>
      <c r="M1687" s="11">
        <f>_xlfn.XLOOKUP(H1687,Ref!$B$3:$B$12,Ref!$C$3:$C$12,"",1)</f>
        <v>1</v>
      </c>
    </row>
    <row r="1688" spans="2:13" x14ac:dyDescent="0.25">
      <c r="B1688" s="15" t="s">
        <v>12</v>
      </c>
      <c r="C1688" s="9">
        <v>43.3</v>
      </c>
      <c r="D1688" s="9">
        <v>45.3</v>
      </c>
      <c r="E1688" s="10">
        <v>46.8</v>
      </c>
      <c r="F1688" s="9">
        <f t="shared" si="100"/>
        <v>13.782818071758136</v>
      </c>
      <c r="G1688" s="9">
        <f t="shared" si="98"/>
        <v>14.419437844125717</v>
      </c>
      <c r="H1688" s="10">
        <f t="shared" si="99"/>
        <v>14.896902673401403</v>
      </c>
      <c r="K1688" s="11">
        <f>_xlfn.XLOOKUP(F1688,Ref!$B$3:$B$12,Ref!$C$3:$C$12,"",1)</f>
        <v>1</v>
      </c>
      <c r="L1688" s="11">
        <f>_xlfn.XLOOKUP(G1688,Ref!$B$3:$B$12,Ref!$C$3:$C$12,"",1)</f>
        <v>1</v>
      </c>
      <c r="M1688" s="11">
        <f>_xlfn.XLOOKUP(H1688,Ref!$B$3:$B$12,Ref!$C$3:$C$12,"",1)</f>
        <v>1</v>
      </c>
    </row>
    <row r="1689" spans="2:13" x14ac:dyDescent="0.25">
      <c r="B1689" s="15" t="s">
        <v>6</v>
      </c>
      <c r="C1689" s="9">
        <v>32.200000000000003</v>
      </c>
      <c r="D1689" s="9">
        <v>33</v>
      </c>
      <c r="E1689" s="10">
        <v>33.4</v>
      </c>
      <c r="F1689" s="9">
        <f t="shared" si="100"/>
        <v>10.249578335118061</v>
      </c>
      <c r="G1689" s="9">
        <f t="shared" si="98"/>
        <v>10.504226244065093</v>
      </c>
      <c r="H1689" s="10">
        <f t="shared" si="99"/>
        <v>10.631550198538608</v>
      </c>
      <c r="K1689" s="11">
        <f>_xlfn.XLOOKUP(F1689,Ref!$B$3:$B$12,Ref!$C$3:$C$12,"",1)</f>
        <v>1</v>
      </c>
      <c r="L1689" s="11">
        <f>_xlfn.XLOOKUP(G1689,Ref!$B$3:$B$12,Ref!$C$3:$C$12,"",1)</f>
        <v>1</v>
      </c>
      <c r="M1689" s="11">
        <f>_xlfn.XLOOKUP(H1689,Ref!$B$3:$B$12,Ref!$C$3:$C$12,"",1)</f>
        <v>1</v>
      </c>
    </row>
    <row r="1690" spans="2:13" x14ac:dyDescent="0.25">
      <c r="B1690" s="15" t="s">
        <v>65</v>
      </c>
      <c r="C1690" s="9">
        <v>105.2</v>
      </c>
      <c r="D1690" s="9">
        <v>114</v>
      </c>
      <c r="E1690" s="10">
        <v>125.2</v>
      </c>
      <c r="F1690" s="9">
        <f t="shared" si="100"/>
        <v>33.486200026534782</v>
      </c>
      <c r="G1690" s="9">
        <f t="shared" si="98"/>
        <v>36.287327024952141</v>
      </c>
      <c r="H1690" s="10">
        <f t="shared" si="99"/>
        <v>39.852397750210592</v>
      </c>
      <c r="K1690" s="11">
        <f>_xlfn.XLOOKUP(F1690,Ref!$B$3:$B$12,Ref!$C$3:$C$12,"",1)</f>
        <v>3</v>
      </c>
      <c r="L1690" s="11">
        <f>_xlfn.XLOOKUP(G1690,Ref!$B$3:$B$12,Ref!$C$3:$C$12,"",1)</f>
        <v>3</v>
      </c>
      <c r="M1690" s="11">
        <f>_xlfn.XLOOKUP(H1690,Ref!$B$3:$B$12,Ref!$C$3:$C$12,"",1)</f>
        <v>3</v>
      </c>
    </row>
    <row r="1691" spans="2:13" x14ac:dyDescent="0.25">
      <c r="B1691" s="15" t="s">
        <v>65</v>
      </c>
      <c r="C1691" s="9">
        <v>62.3</v>
      </c>
      <c r="D1691" s="9">
        <v>74.3</v>
      </c>
      <c r="E1691" s="10">
        <v>81</v>
      </c>
      <c r="F1691" s="9">
        <f t="shared" si="100"/>
        <v>19.83070590925016</v>
      </c>
      <c r="G1691" s="9">
        <f t="shared" si="98"/>
        <v>23.650424543455646</v>
      </c>
      <c r="H1691" s="10">
        <f t="shared" si="99"/>
        <v>25.783100780887047</v>
      </c>
      <c r="K1691" s="11">
        <f>_xlfn.XLOOKUP(F1691,Ref!$B$3:$B$12,Ref!$C$3:$C$12,"",1)</f>
        <v>1</v>
      </c>
      <c r="L1691" s="11">
        <f>_xlfn.XLOOKUP(G1691,Ref!$B$3:$B$12,Ref!$C$3:$C$12,"",1)</f>
        <v>2</v>
      </c>
      <c r="M1691" s="11">
        <f>_xlfn.XLOOKUP(H1691,Ref!$B$3:$B$12,Ref!$C$3:$C$12,"",1)</f>
        <v>2</v>
      </c>
    </row>
    <row r="1692" spans="2:13" x14ac:dyDescent="0.25">
      <c r="B1692" s="15" t="s">
        <v>24</v>
      </c>
      <c r="C1692" s="9">
        <v>76</v>
      </c>
      <c r="D1692" s="9">
        <v>83.5</v>
      </c>
      <c r="E1692" s="10">
        <v>92.1</v>
      </c>
      <c r="F1692" s="9">
        <f t="shared" si="100"/>
        <v>24.191551349968091</v>
      </c>
      <c r="G1692" s="9">
        <f t="shared" si="98"/>
        <v>26.578875496346523</v>
      </c>
      <c r="H1692" s="10">
        <f t="shared" si="99"/>
        <v>29.31634051752712</v>
      </c>
      <c r="K1692" s="11">
        <f>_xlfn.XLOOKUP(F1692,Ref!$B$3:$B$12,Ref!$C$3:$C$12,"",1)</f>
        <v>2</v>
      </c>
      <c r="L1692" s="11">
        <f>_xlfn.XLOOKUP(G1692,Ref!$B$3:$B$12,Ref!$C$3:$C$12,"",1)</f>
        <v>2</v>
      </c>
      <c r="M1692" s="11">
        <f>_xlfn.XLOOKUP(H1692,Ref!$B$3:$B$12,Ref!$C$3:$C$12,"",1)</f>
        <v>2</v>
      </c>
    </row>
    <row r="1693" spans="2:13" x14ac:dyDescent="0.25">
      <c r="B1693" s="15" t="s">
        <v>8</v>
      </c>
      <c r="C1693" s="9">
        <v>33.9</v>
      </c>
      <c r="D1693" s="9">
        <v>33.9</v>
      </c>
      <c r="E1693" s="10">
        <v>33.700000000000003</v>
      </c>
      <c r="F1693" s="9">
        <f t="shared" si="100"/>
        <v>10.790705141630504</v>
      </c>
      <c r="G1693" s="9">
        <f t="shared" si="98"/>
        <v>10.790705141630504</v>
      </c>
      <c r="H1693" s="10">
        <f t="shared" si="99"/>
        <v>10.727043164393747</v>
      </c>
      <c r="K1693" s="11">
        <f>_xlfn.XLOOKUP(F1693,Ref!$B$3:$B$12,Ref!$C$3:$C$12,"",1)</f>
        <v>1</v>
      </c>
      <c r="L1693" s="11">
        <f>_xlfn.XLOOKUP(G1693,Ref!$B$3:$B$12,Ref!$C$3:$C$12,"",1)</f>
        <v>1</v>
      </c>
      <c r="M1693" s="11">
        <f>_xlfn.XLOOKUP(H1693,Ref!$B$3:$B$12,Ref!$C$3:$C$12,"",1)</f>
        <v>1</v>
      </c>
    </row>
    <row r="1694" spans="2:13" x14ac:dyDescent="0.25">
      <c r="B1694" s="15" t="s">
        <v>25</v>
      </c>
      <c r="C1694" s="9">
        <v>42.3</v>
      </c>
      <c r="D1694" s="9">
        <v>42.3</v>
      </c>
      <c r="E1694" s="10">
        <v>42</v>
      </c>
      <c r="F1694" s="9">
        <f t="shared" si="100"/>
        <v>13.464508185574346</v>
      </c>
      <c r="G1694" s="9">
        <f t="shared" si="98"/>
        <v>13.464508185574346</v>
      </c>
      <c r="H1694" s="10">
        <f t="shared" si="99"/>
        <v>13.369015219719209</v>
      </c>
      <c r="K1694" s="11">
        <f>_xlfn.XLOOKUP(F1694,Ref!$B$3:$B$12,Ref!$C$3:$C$12,"",1)</f>
        <v>1</v>
      </c>
      <c r="L1694" s="11">
        <f>_xlfn.XLOOKUP(G1694,Ref!$B$3:$B$12,Ref!$C$3:$C$12,"",1)</f>
        <v>1</v>
      </c>
      <c r="M1694" s="11">
        <f>_xlfn.XLOOKUP(H1694,Ref!$B$3:$B$12,Ref!$C$3:$C$12,"",1)</f>
        <v>1</v>
      </c>
    </row>
    <row r="1695" spans="2:13" x14ac:dyDescent="0.25">
      <c r="B1695" s="15" t="s">
        <v>41</v>
      </c>
      <c r="C1695" s="9">
        <v>57.1</v>
      </c>
      <c r="D1695" s="9">
        <v>58.4</v>
      </c>
      <c r="E1695" s="10">
        <v>55.7</v>
      </c>
      <c r="F1695" s="9">
        <f t="shared" si="100"/>
        <v>18.175494501094448</v>
      </c>
      <c r="G1695" s="9">
        <f t="shared" si="98"/>
        <v>18.589297353133375</v>
      </c>
      <c r="H1695" s="10">
        <f t="shared" si="99"/>
        <v>17.729860660437144</v>
      </c>
      <c r="K1695" s="11">
        <f>_xlfn.XLOOKUP(F1695,Ref!$B$3:$B$12,Ref!$C$3:$C$12,"",1)</f>
        <v>1</v>
      </c>
      <c r="L1695" s="11">
        <f>_xlfn.XLOOKUP(G1695,Ref!$B$3:$B$12,Ref!$C$3:$C$12,"",1)</f>
        <v>1</v>
      </c>
      <c r="M1695" s="11">
        <f>_xlfn.XLOOKUP(H1695,Ref!$B$3:$B$12,Ref!$C$3:$C$12,"",1)</f>
        <v>1</v>
      </c>
    </row>
    <row r="1696" spans="2:13" x14ac:dyDescent="0.25">
      <c r="B1696" s="15" t="s">
        <v>10</v>
      </c>
      <c r="C1696" s="9">
        <v>35.5</v>
      </c>
      <c r="D1696" s="9">
        <v>37.4</v>
      </c>
      <c r="E1696" s="10">
        <v>38.299999999999997</v>
      </c>
      <c r="F1696" s="9">
        <f t="shared" si="100"/>
        <v>11.300000959524569</v>
      </c>
      <c r="G1696" s="9">
        <f t="shared" si="98"/>
        <v>11.904789743273771</v>
      </c>
      <c r="H1696" s="10">
        <f t="shared" si="99"/>
        <v>12.191268640839182</v>
      </c>
      <c r="K1696" s="11">
        <f>_xlfn.XLOOKUP(F1696,Ref!$B$3:$B$12,Ref!$C$3:$C$12,"",1)</f>
        <v>1</v>
      </c>
      <c r="L1696" s="11">
        <f>_xlfn.XLOOKUP(G1696,Ref!$B$3:$B$12,Ref!$C$3:$C$12,"",1)</f>
        <v>1</v>
      </c>
      <c r="M1696" s="11">
        <f>_xlfn.XLOOKUP(H1696,Ref!$B$3:$B$12,Ref!$C$3:$C$12,"",1)</f>
        <v>1</v>
      </c>
    </row>
    <row r="1697" spans="2:13" x14ac:dyDescent="0.25">
      <c r="B1697" s="15" t="s">
        <v>65</v>
      </c>
      <c r="C1697" s="9">
        <v>94.4</v>
      </c>
      <c r="D1697" s="9">
        <v>110.1</v>
      </c>
      <c r="E1697" s="10">
        <v>123</v>
      </c>
      <c r="F1697" s="9">
        <f t="shared" si="100"/>
        <v>30.048453255749841</v>
      </c>
      <c r="G1697" s="9">
        <f t="shared" si="98"/>
        <v>35.045918468835353</v>
      </c>
      <c r="H1697" s="10">
        <f t="shared" si="99"/>
        <v>39.152116000606256</v>
      </c>
      <c r="K1697" s="11">
        <f>_xlfn.XLOOKUP(F1697,Ref!$B$3:$B$12,Ref!$C$3:$C$12,"",1)</f>
        <v>3</v>
      </c>
      <c r="L1697" s="11">
        <f>_xlfn.XLOOKUP(G1697,Ref!$B$3:$B$12,Ref!$C$3:$C$12,"",1)</f>
        <v>3</v>
      </c>
      <c r="M1697" s="11">
        <f>_xlfn.XLOOKUP(H1697,Ref!$B$3:$B$12,Ref!$C$3:$C$12,"",1)</f>
        <v>3</v>
      </c>
    </row>
    <row r="1698" spans="2:13" x14ac:dyDescent="0.25">
      <c r="B1698" s="15" t="s">
        <v>41</v>
      </c>
      <c r="C1698" s="9">
        <v>45</v>
      </c>
      <c r="D1698" s="9">
        <v>45</v>
      </c>
      <c r="E1698" s="10">
        <v>44.9</v>
      </c>
      <c r="F1698" s="9">
        <f t="shared" si="100"/>
        <v>14.323944878270581</v>
      </c>
      <c r="G1698" s="9">
        <f t="shared" si="98"/>
        <v>14.323944878270581</v>
      </c>
      <c r="H1698" s="10">
        <f t="shared" si="99"/>
        <v>14.292113889652201</v>
      </c>
      <c r="K1698" s="11">
        <f>_xlfn.XLOOKUP(F1698,Ref!$B$3:$B$12,Ref!$C$3:$C$12,"",1)</f>
        <v>1</v>
      </c>
      <c r="L1698" s="11">
        <f>_xlfn.XLOOKUP(G1698,Ref!$B$3:$B$12,Ref!$C$3:$C$12,"",1)</f>
        <v>1</v>
      </c>
      <c r="M1698" s="11">
        <f>_xlfn.XLOOKUP(H1698,Ref!$B$3:$B$12,Ref!$C$3:$C$12,"",1)</f>
        <v>1</v>
      </c>
    </row>
    <row r="1699" spans="2:13" x14ac:dyDescent="0.25">
      <c r="B1699" s="15" t="s">
        <v>65</v>
      </c>
      <c r="C1699" s="9">
        <v>85.7</v>
      </c>
      <c r="D1699" s="9">
        <v>91</v>
      </c>
      <c r="E1699" s="10">
        <v>95.2</v>
      </c>
      <c r="F1699" s="9">
        <f t="shared" si="100"/>
        <v>27.279157245950863</v>
      </c>
      <c r="G1699" s="9">
        <f t="shared" si="98"/>
        <v>28.966199642724952</v>
      </c>
      <c r="H1699" s="10">
        <f t="shared" si="99"/>
        <v>30.303101164696873</v>
      </c>
      <c r="K1699" s="11">
        <f>_xlfn.XLOOKUP(F1699,Ref!$B$3:$B$12,Ref!$C$3:$C$12,"",1)</f>
        <v>2</v>
      </c>
      <c r="L1699" s="11">
        <f>_xlfn.XLOOKUP(G1699,Ref!$B$3:$B$12,Ref!$C$3:$C$12,"",1)</f>
        <v>2</v>
      </c>
      <c r="M1699" s="11">
        <f>_xlfn.XLOOKUP(H1699,Ref!$B$3:$B$12,Ref!$C$3:$C$12,"",1)</f>
        <v>3</v>
      </c>
    </row>
    <row r="1700" spans="2:13" x14ac:dyDescent="0.25">
      <c r="B1700" s="15" t="s">
        <v>8</v>
      </c>
      <c r="C1700" s="9">
        <v>34.9</v>
      </c>
      <c r="D1700" s="9">
        <v>34.9</v>
      </c>
      <c r="E1700" s="10">
        <v>34.9</v>
      </c>
      <c r="F1700" s="9">
        <f t="shared" si="100"/>
        <v>11.109015027814294</v>
      </c>
      <c r="G1700" s="9">
        <f t="shared" si="98"/>
        <v>11.109015027814294</v>
      </c>
      <c r="H1700" s="10">
        <f t="shared" si="99"/>
        <v>11.109015027814294</v>
      </c>
      <c r="K1700" s="11">
        <f>_xlfn.XLOOKUP(F1700,Ref!$B$3:$B$12,Ref!$C$3:$C$12,"",1)</f>
        <v>1</v>
      </c>
      <c r="L1700" s="11">
        <f>_xlfn.XLOOKUP(G1700,Ref!$B$3:$B$12,Ref!$C$3:$C$12,"",1)</f>
        <v>1</v>
      </c>
      <c r="M1700" s="11">
        <f>_xlfn.XLOOKUP(H1700,Ref!$B$3:$B$12,Ref!$C$3:$C$12,"",1)</f>
        <v>1</v>
      </c>
    </row>
    <row r="1701" spans="2:13" x14ac:dyDescent="0.25">
      <c r="B1701" s="15" t="s">
        <v>51</v>
      </c>
      <c r="C1701" s="9">
        <v>43.5</v>
      </c>
      <c r="D1701" s="9">
        <v>47</v>
      </c>
      <c r="E1701" s="10">
        <v>49.2</v>
      </c>
      <c r="F1701" s="9">
        <f t="shared" si="100"/>
        <v>13.846480048994895</v>
      </c>
      <c r="G1701" s="9">
        <f t="shared" si="98"/>
        <v>14.960564650638162</v>
      </c>
      <c r="H1701" s="10">
        <f t="shared" si="99"/>
        <v>15.660846400242503</v>
      </c>
      <c r="K1701" s="11">
        <f>_xlfn.XLOOKUP(F1701,Ref!$B$3:$B$12,Ref!$C$3:$C$12,"",1)</f>
        <v>1</v>
      </c>
      <c r="L1701" s="11">
        <f>_xlfn.XLOOKUP(G1701,Ref!$B$3:$B$12,Ref!$C$3:$C$12,"",1)</f>
        <v>1</v>
      </c>
      <c r="M1701" s="11">
        <f>_xlfn.XLOOKUP(H1701,Ref!$B$3:$B$12,Ref!$C$3:$C$12,"",1)</f>
        <v>1</v>
      </c>
    </row>
    <row r="1702" spans="2:13" x14ac:dyDescent="0.25">
      <c r="B1702" s="15" t="s">
        <v>8</v>
      </c>
      <c r="C1702" s="9">
        <v>34.299999999999997</v>
      </c>
      <c r="D1702" s="9">
        <v>34</v>
      </c>
      <c r="E1702" s="10">
        <v>34.4</v>
      </c>
      <c r="F1702" s="9">
        <f t="shared" si="100"/>
        <v>10.91802909610402</v>
      </c>
      <c r="G1702" s="9">
        <f t="shared" si="98"/>
        <v>10.822536130248883</v>
      </c>
      <c r="H1702" s="10">
        <f t="shared" si="99"/>
        <v>10.949860084722399</v>
      </c>
      <c r="K1702" s="11">
        <f>_xlfn.XLOOKUP(F1702,Ref!$B$3:$B$12,Ref!$C$3:$C$12,"",1)</f>
        <v>1</v>
      </c>
      <c r="L1702" s="11">
        <f>_xlfn.XLOOKUP(G1702,Ref!$B$3:$B$12,Ref!$C$3:$C$12,"",1)</f>
        <v>1</v>
      </c>
      <c r="M1702" s="11">
        <f>_xlfn.XLOOKUP(H1702,Ref!$B$3:$B$12,Ref!$C$3:$C$12,"",1)</f>
        <v>1</v>
      </c>
    </row>
    <row r="1703" spans="2:13" x14ac:dyDescent="0.25">
      <c r="B1703" s="15" t="s">
        <v>25</v>
      </c>
      <c r="C1703" s="9">
        <v>74.8</v>
      </c>
      <c r="D1703" s="9">
        <v>82.3</v>
      </c>
      <c r="E1703" s="10">
        <v>89.5</v>
      </c>
      <c r="F1703" s="9">
        <f t="shared" si="100"/>
        <v>23.809579486547541</v>
      </c>
      <c r="G1703" s="9">
        <f t="shared" si="98"/>
        <v>26.196903632925974</v>
      </c>
      <c r="H1703" s="10">
        <f t="shared" si="99"/>
        <v>28.488734813449266</v>
      </c>
      <c r="K1703" s="11">
        <f>_xlfn.XLOOKUP(F1703,Ref!$B$3:$B$12,Ref!$C$3:$C$12,"",1)</f>
        <v>2</v>
      </c>
      <c r="L1703" s="11">
        <f>_xlfn.XLOOKUP(G1703,Ref!$B$3:$B$12,Ref!$C$3:$C$12,"",1)</f>
        <v>2</v>
      </c>
      <c r="M1703" s="11">
        <f>_xlfn.XLOOKUP(H1703,Ref!$B$3:$B$12,Ref!$C$3:$C$12,"",1)</f>
        <v>2</v>
      </c>
    </row>
    <row r="1704" spans="2:13" x14ac:dyDescent="0.25">
      <c r="B1704" s="15" t="s">
        <v>12</v>
      </c>
      <c r="C1704" s="9">
        <v>33.4</v>
      </c>
      <c r="D1704" s="9">
        <v>33.9</v>
      </c>
      <c r="E1704" s="10">
        <v>34.200000000000003</v>
      </c>
      <c r="F1704" s="9">
        <f t="shared" si="100"/>
        <v>10.631550198538608</v>
      </c>
      <c r="G1704" s="9">
        <f t="shared" si="98"/>
        <v>10.790705141630504</v>
      </c>
      <c r="H1704" s="10">
        <f t="shared" si="99"/>
        <v>10.886198107485642</v>
      </c>
      <c r="K1704" s="11">
        <f>_xlfn.XLOOKUP(F1704,Ref!$B$3:$B$12,Ref!$C$3:$C$12,"",1)</f>
        <v>1</v>
      </c>
      <c r="L1704" s="11">
        <f>_xlfn.XLOOKUP(G1704,Ref!$B$3:$B$12,Ref!$C$3:$C$12,"",1)</f>
        <v>1</v>
      </c>
      <c r="M1704" s="11">
        <f>_xlfn.XLOOKUP(H1704,Ref!$B$3:$B$12,Ref!$C$3:$C$12,"",1)</f>
        <v>1</v>
      </c>
    </row>
    <row r="1705" spans="2:13" x14ac:dyDescent="0.25">
      <c r="B1705" s="15" t="s">
        <v>11</v>
      </c>
      <c r="C1705" s="9">
        <v>70.099999999999994</v>
      </c>
      <c r="D1705" s="9">
        <v>72.3</v>
      </c>
      <c r="E1705" s="10">
        <v>72.8</v>
      </c>
      <c r="F1705" s="9">
        <f t="shared" si="100"/>
        <v>22.313523021483725</v>
      </c>
      <c r="G1705" s="9">
        <f t="shared" si="98"/>
        <v>23.013804771088065</v>
      </c>
      <c r="H1705" s="10">
        <f t="shared" si="99"/>
        <v>23.17295971417996</v>
      </c>
      <c r="K1705" s="11">
        <f>_xlfn.XLOOKUP(F1705,Ref!$B$3:$B$12,Ref!$C$3:$C$12,"",1)</f>
        <v>2</v>
      </c>
      <c r="L1705" s="11">
        <f>_xlfn.XLOOKUP(G1705,Ref!$B$3:$B$12,Ref!$C$3:$C$12,"",1)</f>
        <v>2</v>
      </c>
      <c r="M1705" s="11">
        <f>_xlfn.XLOOKUP(H1705,Ref!$B$3:$B$12,Ref!$C$3:$C$12,"",1)</f>
        <v>2</v>
      </c>
    </row>
    <row r="1706" spans="2:13" x14ac:dyDescent="0.25">
      <c r="B1706" s="15" t="s">
        <v>11</v>
      </c>
      <c r="C1706" s="9">
        <v>52.8</v>
      </c>
      <c r="D1706" s="9">
        <v>53.8</v>
      </c>
      <c r="E1706" s="10">
        <v>54.6</v>
      </c>
      <c r="F1706" s="9">
        <f t="shared" si="100"/>
        <v>16.806761990504146</v>
      </c>
      <c r="G1706" s="9">
        <f t="shared" si="98"/>
        <v>17.125071876687937</v>
      </c>
      <c r="H1706" s="10">
        <f t="shared" si="99"/>
        <v>17.379719785634972</v>
      </c>
      <c r="K1706" s="11">
        <f>_xlfn.XLOOKUP(F1706,Ref!$B$3:$B$12,Ref!$C$3:$C$12,"",1)</f>
        <v>1</v>
      </c>
      <c r="L1706" s="11">
        <f>_xlfn.XLOOKUP(G1706,Ref!$B$3:$B$12,Ref!$C$3:$C$12,"",1)</f>
        <v>1</v>
      </c>
      <c r="M1706" s="11">
        <f>_xlfn.XLOOKUP(H1706,Ref!$B$3:$B$12,Ref!$C$3:$C$12,"",1)</f>
        <v>1</v>
      </c>
    </row>
    <row r="1707" spans="2:13" x14ac:dyDescent="0.25">
      <c r="B1707" s="15" t="s">
        <v>12</v>
      </c>
      <c r="C1707" s="9">
        <v>42.2</v>
      </c>
      <c r="D1707" s="9">
        <v>44.8</v>
      </c>
      <c r="E1707" s="10">
        <v>46.4</v>
      </c>
      <c r="F1707" s="9">
        <f t="shared" si="100"/>
        <v>13.432677196955968</v>
      </c>
      <c r="G1707" s="9">
        <f t="shared" si="98"/>
        <v>14.260282901033822</v>
      </c>
      <c r="H1707" s="10">
        <f t="shared" si="99"/>
        <v>14.769578718927887</v>
      </c>
      <c r="K1707" s="11">
        <f>_xlfn.XLOOKUP(F1707,Ref!$B$3:$B$12,Ref!$C$3:$C$12,"",1)</f>
        <v>1</v>
      </c>
      <c r="L1707" s="11">
        <f>_xlfn.XLOOKUP(G1707,Ref!$B$3:$B$12,Ref!$C$3:$C$12,"",1)</f>
        <v>1</v>
      </c>
      <c r="M1707" s="11">
        <f>_xlfn.XLOOKUP(H1707,Ref!$B$3:$B$12,Ref!$C$3:$C$12,"",1)</f>
        <v>1</v>
      </c>
    </row>
    <row r="1708" spans="2:13" x14ac:dyDescent="0.25">
      <c r="B1708" s="15" t="s">
        <v>12</v>
      </c>
      <c r="C1708" s="9">
        <v>38.200000000000003</v>
      </c>
      <c r="D1708" s="9">
        <v>40.4</v>
      </c>
      <c r="E1708" s="10">
        <v>41.6</v>
      </c>
      <c r="F1708" s="9">
        <f t="shared" si="100"/>
        <v>12.159437652220806</v>
      </c>
      <c r="G1708" s="9">
        <f t="shared" si="98"/>
        <v>12.859719401825144</v>
      </c>
      <c r="H1708" s="10">
        <f t="shared" si="99"/>
        <v>13.241691265245693</v>
      </c>
      <c r="K1708" s="11">
        <f>_xlfn.XLOOKUP(F1708,Ref!$B$3:$B$12,Ref!$C$3:$C$12,"",1)</f>
        <v>1</v>
      </c>
      <c r="L1708" s="11">
        <f>_xlfn.XLOOKUP(G1708,Ref!$B$3:$B$12,Ref!$C$3:$C$12,"",1)</f>
        <v>1</v>
      </c>
      <c r="M1708" s="11">
        <f>_xlfn.XLOOKUP(H1708,Ref!$B$3:$B$12,Ref!$C$3:$C$12,"",1)</f>
        <v>1</v>
      </c>
    </row>
    <row r="1709" spans="2:13" x14ac:dyDescent="0.25">
      <c r="B1709" s="15" t="s">
        <v>12</v>
      </c>
      <c r="C1709" s="9">
        <v>32.200000000000003</v>
      </c>
      <c r="D1709" s="9">
        <v>33.5</v>
      </c>
      <c r="E1709" s="10">
        <v>35.4</v>
      </c>
      <c r="F1709" s="9">
        <f t="shared" si="100"/>
        <v>10.249578335118061</v>
      </c>
      <c r="G1709" s="9">
        <f t="shared" si="98"/>
        <v>10.663381187156988</v>
      </c>
      <c r="H1709" s="10">
        <f t="shared" si="99"/>
        <v>11.26816997090619</v>
      </c>
      <c r="K1709" s="11">
        <f>_xlfn.XLOOKUP(F1709,Ref!$B$3:$B$12,Ref!$C$3:$C$12,"",1)</f>
        <v>1</v>
      </c>
      <c r="L1709" s="11">
        <f>_xlfn.XLOOKUP(G1709,Ref!$B$3:$B$12,Ref!$C$3:$C$12,"",1)</f>
        <v>1</v>
      </c>
      <c r="M1709" s="11">
        <f>_xlfn.XLOOKUP(H1709,Ref!$B$3:$B$12,Ref!$C$3:$C$12,"",1)</f>
        <v>1</v>
      </c>
    </row>
    <row r="1710" spans="2:13" x14ac:dyDescent="0.25">
      <c r="B1710" s="15" t="s">
        <v>75</v>
      </c>
      <c r="C1710" s="9">
        <v>143.4</v>
      </c>
      <c r="D1710" s="9">
        <v>144.5</v>
      </c>
      <c r="E1710" s="10">
        <v>146.4</v>
      </c>
      <c r="F1710" s="9">
        <f t="shared" si="100"/>
        <v>45.645637678755584</v>
      </c>
      <c r="G1710" s="9">
        <f t="shared" si="98"/>
        <v>45.995778553557756</v>
      </c>
      <c r="H1710" s="10">
        <f t="shared" si="99"/>
        <v>46.600567337306956</v>
      </c>
      <c r="K1710" s="11">
        <f>_xlfn.XLOOKUP(F1710,Ref!$B$3:$B$12,Ref!$C$3:$C$12,"",1)</f>
        <v>4</v>
      </c>
      <c r="L1710" s="11">
        <f>_xlfn.XLOOKUP(G1710,Ref!$B$3:$B$12,Ref!$C$3:$C$12,"",1)</f>
        <v>4</v>
      </c>
      <c r="M1710" s="11">
        <f>_xlfn.XLOOKUP(H1710,Ref!$B$3:$B$12,Ref!$C$3:$C$12,"",1)</f>
        <v>4</v>
      </c>
    </row>
    <row r="1711" spans="2:13" x14ac:dyDescent="0.25">
      <c r="B1711" s="15" t="s">
        <v>8</v>
      </c>
      <c r="C1711" s="9">
        <v>35.1</v>
      </c>
      <c r="D1711" s="9">
        <v>34.6</v>
      </c>
      <c r="E1711" s="10">
        <v>35.4</v>
      </c>
      <c r="F1711" s="9">
        <f t="shared" si="100"/>
        <v>11.172677005051053</v>
      </c>
      <c r="G1711" s="9">
        <f t="shared" si="98"/>
        <v>11.013522061959158</v>
      </c>
      <c r="H1711" s="10">
        <f t="shared" si="99"/>
        <v>11.26816997090619</v>
      </c>
      <c r="K1711" s="11">
        <f>_xlfn.XLOOKUP(F1711,Ref!$B$3:$B$12,Ref!$C$3:$C$12,"",1)</f>
        <v>1</v>
      </c>
      <c r="L1711" s="11">
        <f>_xlfn.XLOOKUP(G1711,Ref!$B$3:$B$12,Ref!$C$3:$C$12,"",1)</f>
        <v>1</v>
      </c>
      <c r="M1711" s="11">
        <f>_xlfn.XLOOKUP(H1711,Ref!$B$3:$B$12,Ref!$C$3:$C$12,"",1)</f>
        <v>1</v>
      </c>
    </row>
    <row r="1712" spans="2:13" x14ac:dyDescent="0.25">
      <c r="B1712" s="15" t="s">
        <v>15</v>
      </c>
      <c r="C1712" s="9">
        <v>43.8</v>
      </c>
      <c r="D1712" s="9">
        <v>45.5</v>
      </c>
      <c r="E1712" s="10">
        <v>46.9</v>
      </c>
      <c r="F1712" s="9">
        <f t="shared" si="100"/>
        <v>13.941973014850031</v>
      </c>
      <c r="G1712" s="9">
        <f t="shared" si="98"/>
        <v>14.483099821362476</v>
      </c>
      <c r="H1712" s="10">
        <f t="shared" si="99"/>
        <v>14.928733662019782</v>
      </c>
      <c r="K1712" s="11">
        <f>_xlfn.XLOOKUP(F1712,Ref!$B$3:$B$12,Ref!$C$3:$C$12,"",1)</f>
        <v>1</v>
      </c>
      <c r="L1712" s="11">
        <f>_xlfn.XLOOKUP(G1712,Ref!$B$3:$B$12,Ref!$C$3:$C$12,"",1)</f>
        <v>1</v>
      </c>
      <c r="M1712" s="11">
        <f>_xlfn.XLOOKUP(H1712,Ref!$B$3:$B$12,Ref!$C$3:$C$12,"",1)</f>
        <v>1</v>
      </c>
    </row>
    <row r="1713" spans="2:13" x14ac:dyDescent="0.25">
      <c r="B1713" s="15" t="s">
        <v>75</v>
      </c>
      <c r="C1713" s="9">
        <v>63.5</v>
      </c>
      <c r="D1713" s="9">
        <v>71.400000000000006</v>
      </c>
      <c r="E1713" s="10">
        <v>76.400000000000006</v>
      </c>
      <c r="F1713" s="9">
        <f t="shared" si="100"/>
        <v>20.212677772670709</v>
      </c>
      <c r="G1713" s="9">
        <f t="shared" si="98"/>
        <v>22.727325873522656</v>
      </c>
      <c r="H1713" s="10">
        <f t="shared" si="99"/>
        <v>24.318875304441612</v>
      </c>
      <c r="K1713" s="11">
        <f>_xlfn.XLOOKUP(F1713,Ref!$B$3:$B$12,Ref!$C$3:$C$12,"",1)</f>
        <v>2</v>
      </c>
      <c r="L1713" s="11">
        <f>_xlfn.XLOOKUP(G1713,Ref!$B$3:$B$12,Ref!$C$3:$C$12,"",1)</f>
        <v>2</v>
      </c>
      <c r="M1713" s="11">
        <f>_xlfn.XLOOKUP(H1713,Ref!$B$3:$B$12,Ref!$C$3:$C$12,"",1)</f>
        <v>2</v>
      </c>
    </row>
    <row r="1714" spans="2:13" x14ac:dyDescent="0.25">
      <c r="B1714" s="15" t="s">
        <v>75</v>
      </c>
      <c r="C1714" s="9">
        <v>49.6</v>
      </c>
      <c r="D1714" s="9">
        <v>50.5</v>
      </c>
      <c r="E1714" s="10">
        <v>50.6</v>
      </c>
      <c r="F1714" s="9">
        <f t="shared" si="100"/>
        <v>15.788170354716019</v>
      </c>
      <c r="G1714" s="9">
        <f t="shared" si="98"/>
        <v>16.074649252281429</v>
      </c>
      <c r="H1714" s="10">
        <f t="shared" si="99"/>
        <v>16.10648024089981</v>
      </c>
      <c r="K1714" s="11">
        <f>_xlfn.XLOOKUP(F1714,Ref!$B$3:$B$12,Ref!$C$3:$C$12,"",1)</f>
        <v>1</v>
      </c>
      <c r="L1714" s="11">
        <f>_xlfn.XLOOKUP(G1714,Ref!$B$3:$B$12,Ref!$C$3:$C$12,"",1)</f>
        <v>1</v>
      </c>
      <c r="M1714" s="11">
        <f>_xlfn.XLOOKUP(H1714,Ref!$B$3:$B$12,Ref!$C$3:$C$12,"",1)</f>
        <v>1</v>
      </c>
    </row>
    <row r="1715" spans="2:13" x14ac:dyDescent="0.25">
      <c r="B1715" s="15" t="s">
        <v>12</v>
      </c>
      <c r="C1715" s="9">
        <v>51</v>
      </c>
      <c r="D1715" s="9">
        <v>56.5</v>
      </c>
      <c r="E1715" s="10">
        <v>63.5</v>
      </c>
      <c r="F1715" s="9">
        <f t="shared" si="100"/>
        <v>16.233804195373324</v>
      </c>
      <c r="G1715" s="9">
        <f t="shared" si="98"/>
        <v>17.984508569384175</v>
      </c>
      <c r="H1715" s="10">
        <f t="shared" si="99"/>
        <v>20.212677772670709</v>
      </c>
      <c r="K1715" s="11">
        <f>_xlfn.XLOOKUP(F1715,Ref!$B$3:$B$12,Ref!$C$3:$C$12,"",1)</f>
        <v>1</v>
      </c>
      <c r="L1715" s="11">
        <f>_xlfn.XLOOKUP(G1715,Ref!$B$3:$B$12,Ref!$C$3:$C$12,"",1)</f>
        <v>1</v>
      </c>
      <c r="M1715" s="11">
        <f>_xlfn.XLOOKUP(H1715,Ref!$B$3:$B$12,Ref!$C$3:$C$12,"",1)</f>
        <v>2</v>
      </c>
    </row>
    <row r="1716" spans="2:13" x14ac:dyDescent="0.25">
      <c r="B1716" s="15" t="s">
        <v>12</v>
      </c>
      <c r="C1716" s="9"/>
      <c r="D1716" s="9"/>
      <c r="E1716" s="10">
        <v>34.9</v>
      </c>
      <c r="F1716" s="9" t="str">
        <f t="shared" si="100"/>
        <v/>
      </c>
      <c r="G1716" s="9" t="str">
        <f t="shared" si="98"/>
        <v/>
      </c>
      <c r="H1716" s="10">
        <f t="shared" si="99"/>
        <v>11.109015027814294</v>
      </c>
      <c r="K1716" s="11" t="str">
        <f>_xlfn.XLOOKUP(F1716,Ref!$B$3:$B$12,Ref!$C$3:$C$12,"",1)</f>
        <v/>
      </c>
      <c r="L1716" s="11" t="str">
        <f>_xlfn.XLOOKUP(G1716,Ref!$B$3:$B$12,Ref!$C$3:$C$12,"",1)</f>
        <v/>
      </c>
      <c r="M1716" s="11">
        <f>_xlfn.XLOOKUP(H1716,Ref!$B$3:$B$12,Ref!$C$3:$C$12,"",1)</f>
        <v>1</v>
      </c>
    </row>
    <row r="1717" spans="2:13" x14ac:dyDescent="0.25">
      <c r="B1717" s="15" t="s">
        <v>8</v>
      </c>
      <c r="C1717" s="9">
        <v>40.5</v>
      </c>
      <c r="D1717" s="9">
        <v>41</v>
      </c>
      <c r="E1717" s="10">
        <v>42.8</v>
      </c>
      <c r="F1717" s="9">
        <f t="shared" si="100"/>
        <v>12.891550390443523</v>
      </c>
      <c r="G1717" s="9">
        <f t="shared" si="98"/>
        <v>13.050705333535419</v>
      </c>
      <c r="H1717" s="10">
        <f t="shared" si="99"/>
        <v>13.623663128666241</v>
      </c>
      <c r="K1717" s="11">
        <f>_xlfn.XLOOKUP(F1717,Ref!$B$3:$B$12,Ref!$C$3:$C$12,"",1)</f>
        <v>1</v>
      </c>
      <c r="L1717" s="11">
        <f>_xlfn.XLOOKUP(G1717,Ref!$B$3:$B$12,Ref!$C$3:$C$12,"",1)</f>
        <v>1</v>
      </c>
      <c r="M1717" s="11">
        <f>_xlfn.XLOOKUP(H1717,Ref!$B$3:$B$12,Ref!$C$3:$C$12,"",1)</f>
        <v>1</v>
      </c>
    </row>
    <row r="1718" spans="2:13" x14ac:dyDescent="0.25">
      <c r="B1718" s="15" t="s">
        <v>12</v>
      </c>
      <c r="C1718" s="9">
        <v>64.400000000000006</v>
      </c>
      <c r="D1718" s="9">
        <v>71</v>
      </c>
      <c r="E1718" s="10">
        <v>81.2</v>
      </c>
      <c r="F1718" s="9">
        <f t="shared" si="100"/>
        <v>20.499156670236122</v>
      </c>
      <c r="G1718" s="9">
        <f t="shared" si="98"/>
        <v>22.600001919049138</v>
      </c>
      <c r="H1718" s="10">
        <f t="shared" si="99"/>
        <v>25.846762758123806</v>
      </c>
      <c r="K1718" s="11">
        <f>_xlfn.XLOOKUP(F1718,Ref!$B$3:$B$12,Ref!$C$3:$C$12,"",1)</f>
        <v>2</v>
      </c>
      <c r="L1718" s="11">
        <f>_xlfn.XLOOKUP(G1718,Ref!$B$3:$B$12,Ref!$C$3:$C$12,"",1)</f>
        <v>2</v>
      </c>
      <c r="M1718" s="11">
        <f>_xlfn.XLOOKUP(H1718,Ref!$B$3:$B$12,Ref!$C$3:$C$12,"",1)</f>
        <v>2</v>
      </c>
    </row>
    <row r="1719" spans="2:13" x14ac:dyDescent="0.25">
      <c r="B1719" s="15" t="s">
        <v>37</v>
      </c>
      <c r="C1719" s="9">
        <v>61.7</v>
      </c>
      <c r="D1719" s="9">
        <v>71.2</v>
      </c>
      <c r="E1719" s="10">
        <v>80.8</v>
      </c>
      <c r="F1719" s="9">
        <f t="shared" si="100"/>
        <v>19.639719977539887</v>
      </c>
      <c r="G1719" s="9">
        <f t="shared" si="98"/>
        <v>22.663663896285897</v>
      </c>
      <c r="H1719" s="10">
        <f t="shared" si="99"/>
        <v>25.719438803650288</v>
      </c>
      <c r="K1719" s="11">
        <f>_xlfn.XLOOKUP(F1719,Ref!$B$3:$B$12,Ref!$C$3:$C$12,"",1)</f>
        <v>1</v>
      </c>
      <c r="L1719" s="11">
        <f>_xlfn.XLOOKUP(G1719,Ref!$B$3:$B$12,Ref!$C$3:$C$12,"",1)</f>
        <v>2</v>
      </c>
      <c r="M1719" s="11">
        <f>_xlfn.XLOOKUP(H1719,Ref!$B$3:$B$12,Ref!$C$3:$C$12,"",1)</f>
        <v>2</v>
      </c>
    </row>
    <row r="1720" spans="2:13" x14ac:dyDescent="0.25">
      <c r="B1720" s="15" t="s">
        <v>8</v>
      </c>
      <c r="C1720" s="9">
        <v>71</v>
      </c>
      <c r="D1720" s="9">
        <v>80</v>
      </c>
      <c r="E1720" s="10">
        <v>91.2</v>
      </c>
      <c r="F1720" s="9">
        <f t="shared" si="100"/>
        <v>22.600001919049138</v>
      </c>
      <c r="G1720" s="9">
        <f t="shared" si="98"/>
        <v>25.464790894703256</v>
      </c>
      <c r="H1720" s="10">
        <f t="shared" si="99"/>
        <v>29.029861619961711</v>
      </c>
      <c r="K1720" s="11">
        <f>_xlfn.XLOOKUP(F1720,Ref!$B$3:$B$12,Ref!$C$3:$C$12,"",1)</f>
        <v>2</v>
      </c>
      <c r="L1720" s="11">
        <f>_xlfn.XLOOKUP(G1720,Ref!$B$3:$B$12,Ref!$C$3:$C$12,"",1)</f>
        <v>2</v>
      </c>
      <c r="M1720" s="11">
        <f>_xlfn.XLOOKUP(H1720,Ref!$B$3:$B$12,Ref!$C$3:$C$12,"",1)</f>
        <v>2</v>
      </c>
    </row>
    <row r="1721" spans="2:13" x14ac:dyDescent="0.25">
      <c r="B1721" s="15" t="s">
        <v>8</v>
      </c>
      <c r="C1721" s="9">
        <v>40.299999999999997</v>
      </c>
      <c r="D1721" s="9">
        <v>45.1</v>
      </c>
      <c r="E1721" s="10">
        <v>54.1</v>
      </c>
      <c r="F1721" s="9">
        <f t="shared" si="100"/>
        <v>12.827888413206765</v>
      </c>
      <c r="G1721" s="9">
        <f t="shared" si="98"/>
        <v>14.35577586688896</v>
      </c>
      <c r="H1721" s="10">
        <f t="shared" si="99"/>
        <v>17.220564842543077</v>
      </c>
      <c r="K1721" s="11">
        <f>_xlfn.XLOOKUP(F1721,Ref!$B$3:$B$12,Ref!$C$3:$C$12,"",1)</f>
        <v>1</v>
      </c>
      <c r="L1721" s="11">
        <f>_xlfn.XLOOKUP(G1721,Ref!$B$3:$B$12,Ref!$C$3:$C$12,"",1)</f>
        <v>1</v>
      </c>
      <c r="M1721" s="11">
        <f>_xlfn.XLOOKUP(H1721,Ref!$B$3:$B$12,Ref!$C$3:$C$12,"",1)</f>
        <v>1</v>
      </c>
    </row>
    <row r="1722" spans="2:13" x14ac:dyDescent="0.25">
      <c r="B1722" s="15" t="s">
        <v>8</v>
      </c>
      <c r="C1722" s="9"/>
      <c r="D1722" s="9"/>
      <c r="E1722" s="10">
        <v>31.8</v>
      </c>
      <c r="F1722" s="9" t="str">
        <f t="shared" si="100"/>
        <v/>
      </c>
      <c r="G1722" s="9" t="str">
        <f t="shared" si="98"/>
        <v/>
      </c>
      <c r="H1722" s="10">
        <f t="shared" si="99"/>
        <v>10.122254380644543</v>
      </c>
      <c r="K1722" s="11" t="str">
        <f>_xlfn.XLOOKUP(F1722,Ref!$B$3:$B$12,Ref!$C$3:$C$12,"",1)</f>
        <v/>
      </c>
      <c r="L1722" s="11" t="str">
        <f>_xlfn.XLOOKUP(G1722,Ref!$B$3:$B$12,Ref!$C$3:$C$12,"",1)</f>
        <v/>
      </c>
      <c r="M1722" s="11">
        <f>_xlfn.XLOOKUP(H1722,Ref!$B$3:$B$12,Ref!$C$3:$C$12,"",1)</f>
        <v>1</v>
      </c>
    </row>
    <row r="1723" spans="2:13" x14ac:dyDescent="0.25">
      <c r="B1723" s="15" t="s">
        <v>41</v>
      </c>
      <c r="C1723" s="9"/>
      <c r="D1723" s="9">
        <v>83.4</v>
      </c>
      <c r="E1723" s="10">
        <v>91.4</v>
      </c>
      <c r="F1723" s="9" t="str">
        <f t="shared" si="100"/>
        <v/>
      </c>
      <c r="G1723" s="9">
        <f t="shared" si="98"/>
        <v>26.547044507728145</v>
      </c>
      <c r="H1723" s="10">
        <f t="shared" si="99"/>
        <v>29.09352359719847</v>
      </c>
      <c r="K1723" s="11" t="str">
        <f>_xlfn.XLOOKUP(F1723,Ref!$B$3:$B$12,Ref!$C$3:$C$12,"",1)</f>
        <v/>
      </c>
      <c r="L1723" s="11">
        <f>_xlfn.XLOOKUP(G1723,Ref!$B$3:$B$12,Ref!$C$3:$C$12,"",1)</f>
        <v>2</v>
      </c>
      <c r="M1723" s="11">
        <f>_xlfn.XLOOKUP(H1723,Ref!$B$3:$B$12,Ref!$C$3:$C$12,"",1)</f>
        <v>2</v>
      </c>
    </row>
    <row r="1724" spans="2:13" x14ac:dyDescent="0.25">
      <c r="B1724" s="15" t="s">
        <v>39</v>
      </c>
      <c r="C1724" s="9"/>
      <c r="D1724" s="9">
        <v>38.9</v>
      </c>
      <c r="E1724" s="10">
        <v>45.7</v>
      </c>
      <c r="F1724" s="9" t="str">
        <f t="shared" si="100"/>
        <v/>
      </c>
      <c r="G1724" s="9">
        <f t="shared" si="98"/>
        <v>12.382254572549456</v>
      </c>
      <c r="H1724" s="10">
        <f t="shared" si="99"/>
        <v>14.546761798599235</v>
      </c>
      <c r="K1724" s="11" t="str">
        <f>_xlfn.XLOOKUP(F1724,Ref!$B$3:$B$12,Ref!$C$3:$C$12,"",1)</f>
        <v/>
      </c>
      <c r="L1724" s="11">
        <f>_xlfn.XLOOKUP(G1724,Ref!$B$3:$B$12,Ref!$C$3:$C$12,"",1)</f>
        <v>1</v>
      </c>
      <c r="M1724" s="11">
        <f>_xlfn.XLOOKUP(H1724,Ref!$B$3:$B$12,Ref!$C$3:$C$12,"",1)</f>
        <v>1</v>
      </c>
    </row>
    <row r="1725" spans="2:13" x14ac:dyDescent="0.25">
      <c r="B1725" s="15" t="s">
        <v>8</v>
      </c>
      <c r="C1725" s="9">
        <v>40.700000000000003</v>
      </c>
      <c r="D1725" s="9">
        <v>46.9</v>
      </c>
      <c r="E1725" s="10">
        <v>52.2</v>
      </c>
      <c r="F1725" s="9">
        <f t="shared" si="100"/>
        <v>12.955212367680282</v>
      </c>
      <c r="G1725" s="9">
        <f t="shared" ref="G1725:G1784" si="101">IF(D1725="", "", D1725/PI())</f>
        <v>14.928733662019782</v>
      </c>
      <c r="H1725" s="10">
        <f t="shared" ref="H1725:H1784" si="102">IF(E1725="", "", E1725/PI())</f>
        <v>16.615776058793873</v>
      </c>
      <c r="K1725" s="11">
        <f>_xlfn.XLOOKUP(F1725,Ref!$B$3:$B$12,Ref!$C$3:$C$12,"",1)</f>
        <v>1</v>
      </c>
      <c r="L1725" s="11">
        <f>_xlfn.XLOOKUP(G1725,Ref!$B$3:$B$12,Ref!$C$3:$C$12,"",1)</f>
        <v>1</v>
      </c>
      <c r="M1725" s="11">
        <f>_xlfn.XLOOKUP(H1725,Ref!$B$3:$B$12,Ref!$C$3:$C$12,"",1)</f>
        <v>1</v>
      </c>
    </row>
    <row r="1726" spans="2:13" x14ac:dyDescent="0.25">
      <c r="B1726" s="15" t="s">
        <v>8</v>
      </c>
      <c r="C1726" s="9">
        <v>41.7</v>
      </c>
      <c r="D1726" s="9">
        <v>46.6</v>
      </c>
      <c r="E1726" s="10">
        <v>53.8</v>
      </c>
      <c r="F1726" s="9">
        <f t="shared" si="100"/>
        <v>13.273522253864073</v>
      </c>
      <c r="G1726" s="9">
        <f t="shared" si="101"/>
        <v>14.833240696164646</v>
      </c>
      <c r="H1726" s="10">
        <f t="shared" si="102"/>
        <v>17.125071876687937</v>
      </c>
      <c r="K1726" s="11">
        <f>_xlfn.XLOOKUP(F1726,Ref!$B$3:$B$12,Ref!$C$3:$C$12,"",1)</f>
        <v>1</v>
      </c>
      <c r="L1726" s="11">
        <f>_xlfn.XLOOKUP(G1726,Ref!$B$3:$B$12,Ref!$C$3:$C$12,"",1)</f>
        <v>1</v>
      </c>
      <c r="M1726" s="11">
        <f>_xlfn.XLOOKUP(H1726,Ref!$B$3:$B$12,Ref!$C$3:$C$12,"",1)</f>
        <v>1</v>
      </c>
    </row>
    <row r="1727" spans="2:13" x14ac:dyDescent="0.25">
      <c r="B1727" s="15" t="s">
        <v>11</v>
      </c>
      <c r="C1727" s="9">
        <v>37.9</v>
      </c>
      <c r="D1727" s="9">
        <v>38</v>
      </c>
      <c r="E1727" s="10">
        <v>39.1</v>
      </c>
      <c r="F1727" s="9">
        <f t="shared" si="100"/>
        <v>12.063944686365666</v>
      </c>
      <c r="G1727" s="9">
        <f t="shared" si="101"/>
        <v>12.095775674984045</v>
      </c>
      <c r="H1727" s="10">
        <f t="shared" si="102"/>
        <v>12.445916549786217</v>
      </c>
      <c r="K1727" s="11">
        <f>_xlfn.XLOOKUP(F1727,Ref!$B$3:$B$12,Ref!$C$3:$C$12,"",1)</f>
        <v>1</v>
      </c>
      <c r="L1727" s="11">
        <f>_xlfn.XLOOKUP(G1727,Ref!$B$3:$B$12,Ref!$C$3:$C$12,"",1)</f>
        <v>1</v>
      </c>
      <c r="M1727" s="11">
        <f>_xlfn.XLOOKUP(H1727,Ref!$B$3:$B$12,Ref!$C$3:$C$12,"",1)</f>
        <v>1</v>
      </c>
    </row>
    <row r="1728" spans="2:13" x14ac:dyDescent="0.25">
      <c r="B1728" s="15" t="s">
        <v>75</v>
      </c>
      <c r="C1728" s="9">
        <v>128.80000000000001</v>
      </c>
      <c r="D1728" s="9">
        <v>129.5</v>
      </c>
      <c r="E1728" s="10">
        <v>129.5</v>
      </c>
      <c r="F1728" s="9">
        <f t="shared" si="100"/>
        <v>40.998313340472244</v>
      </c>
      <c r="G1728" s="9">
        <f t="shared" si="101"/>
        <v>41.221130260800891</v>
      </c>
      <c r="H1728" s="10">
        <f t="shared" si="102"/>
        <v>41.221130260800891</v>
      </c>
      <c r="K1728" s="11">
        <f>_xlfn.XLOOKUP(F1728,Ref!$B$3:$B$12,Ref!$C$3:$C$12,"",1)</f>
        <v>4</v>
      </c>
      <c r="L1728" s="11">
        <f>_xlfn.XLOOKUP(G1728,Ref!$B$3:$B$12,Ref!$C$3:$C$12,"",1)</f>
        <v>4</v>
      </c>
      <c r="M1728" s="11">
        <f>_xlfn.XLOOKUP(H1728,Ref!$B$3:$B$12,Ref!$C$3:$C$12,"",1)</f>
        <v>4</v>
      </c>
    </row>
    <row r="1729" spans="2:13" x14ac:dyDescent="0.25">
      <c r="B1729" s="15" t="s">
        <v>26</v>
      </c>
      <c r="C1729" s="9">
        <v>153.9</v>
      </c>
      <c r="D1729" s="9">
        <v>159</v>
      </c>
      <c r="E1729" s="10">
        <v>167</v>
      </c>
      <c r="F1729" s="9">
        <f t="shared" si="100"/>
        <v>48.987891483685388</v>
      </c>
      <c r="G1729" s="9">
        <f t="shared" si="101"/>
        <v>50.611271903222722</v>
      </c>
      <c r="H1729" s="10">
        <f t="shared" si="102"/>
        <v>53.157750992693046</v>
      </c>
      <c r="K1729" s="11">
        <f>_xlfn.XLOOKUP(F1729,Ref!$B$3:$B$12,Ref!$C$3:$C$12,"",1)</f>
        <v>4</v>
      </c>
      <c r="L1729" s="11">
        <f>_xlfn.XLOOKUP(G1729,Ref!$B$3:$B$12,Ref!$C$3:$C$12,"",1)</f>
        <v>5</v>
      </c>
      <c r="M1729" s="11">
        <f>_xlfn.XLOOKUP(H1729,Ref!$B$3:$B$12,Ref!$C$3:$C$12,"",1)</f>
        <v>5</v>
      </c>
    </row>
    <row r="1730" spans="2:13" x14ac:dyDescent="0.25">
      <c r="B1730" s="15" t="s">
        <v>75</v>
      </c>
      <c r="C1730" s="9">
        <v>84.8</v>
      </c>
      <c r="D1730" s="9">
        <v>87.6</v>
      </c>
      <c r="E1730" s="10">
        <v>88.1</v>
      </c>
      <c r="F1730" s="9">
        <f t="shared" si="100"/>
        <v>26.99267834838545</v>
      </c>
      <c r="G1730" s="9">
        <f t="shared" si="101"/>
        <v>27.883946029700063</v>
      </c>
      <c r="H1730" s="10">
        <f t="shared" si="102"/>
        <v>28.043100972791958</v>
      </c>
      <c r="K1730" s="11">
        <f>_xlfn.XLOOKUP(F1730,Ref!$B$3:$B$12,Ref!$C$3:$C$12,"",1)</f>
        <v>2</v>
      </c>
      <c r="L1730" s="11">
        <f>_xlfn.XLOOKUP(G1730,Ref!$B$3:$B$12,Ref!$C$3:$C$12,"",1)</f>
        <v>2</v>
      </c>
      <c r="M1730" s="11">
        <f>_xlfn.XLOOKUP(H1730,Ref!$B$3:$B$12,Ref!$C$3:$C$12,"",1)</f>
        <v>2</v>
      </c>
    </row>
    <row r="1731" spans="2:13" x14ac:dyDescent="0.25">
      <c r="B1731" s="15" t="s">
        <v>75</v>
      </c>
      <c r="C1731" s="9">
        <v>49.6</v>
      </c>
      <c r="D1731" s="9">
        <v>49.9</v>
      </c>
      <c r="E1731" s="10">
        <v>0</v>
      </c>
      <c r="F1731" s="9">
        <f t="shared" si="100"/>
        <v>15.788170354716019</v>
      </c>
      <c r="G1731" s="9">
        <f t="shared" si="101"/>
        <v>15.883663320571154</v>
      </c>
      <c r="H1731" s="10">
        <f t="shared" si="102"/>
        <v>0</v>
      </c>
      <c r="K1731" s="11">
        <f>_xlfn.XLOOKUP(F1731,Ref!$B$3:$B$12,Ref!$C$3:$C$12,"",1)</f>
        <v>1</v>
      </c>
      <c r="L1731" s="11">
        <f>_xlfn.XLOOKUP(G1731,Ref!$B$3:$B$12,Ref!$C$3:$C$12,"",1)</f>
        <v>1</v>
      </c>
      <c r="M1731" s="11" t="str">
        <f>_xlfn.XLOOKUP(H1731,Ref!$B$3:$B$12,Ref!$C$3:$C$12,"",1)</f>
        <v>Morta</v>
      </c>
    </row>
    <row r="1732" spans="2:13" x14ac:dyDescent="0.25">
      <c r="B1732" s="15" t="s">
        <v>8</v>
      </c>
      <c r="C1732" s="9">
        <v>48.3</v>
      </c>
      <c r="D1732" s="9">
        <v>48.7</v>
      </c>
      <c r="E1732" s="10">
        <v>51</v>
      </c>
      <c r="F1732" s="9">
        <f t="shared" si="100"/>
        <v>15.374367502677089</v>
      </c>
      <c r="G1732" s="9">
        <f t="shared" si="101"/>
        <v>15.501691457150606</v>
      </c>
      <c r="H1732" s="10">
        <f t="shared" si="102"/>
        <v>16.233804195373324</v>
      </c>
      <c r="K1732" s="11">
        <f>_xlfn.XLOOKUP(F1732,Ref!$B$3:$B$12,Ref!$C$3:$C$12,"",1)</f>
        <v>1</v>
      </c>
      <c r="L1732" s="11">
        <f>_xlfn.XLOOKUP(G1732,Ref!$B$3:$B$12,Ref!$C$3:$C$12,"",1)</f>
        <v>1</v>
      </c>
      <c r="M1732" s="11">
        <f>_xlfn.XLOOKUP(H1732,Ref!$B$3:$B$12,Ref!$C$3:$C$12,"",1)</f>
        <v>1</v>
      </c>
    </row>
    <row r="1733" spans="2:13" x14ac:dyDescent="0.25">
      <c r="B1733" s="15" t="s">
        <v>12</v>
      </c>
      <c r="C1733" s="9">
        <v>42.2</v>
      </c>
      <c r="D1733" s="9">
        <v>45.5</v>
      </c>
      <c r="E1733" s="10">
        <v>47.3</v>
      </c>
      <c r="F1733" s="9">
        <f t="shared" si="100"/>
        <v>13.432677196955968</v>
      </c>
      <c r="G1733" s="9">
        <f t="shared" si="101"/>
        <v>14.483099821362476</v>
      </c>
      <c r="H1733" s="10">
        <f t="shared" si="102"/>
        <v>15.056057616493298</v>
      </c>
      <c r="K1733" s="11">
        <f>_xlfn.XLOOKUP(F1733,Ref!$B$3:$B$12,Ref!$C$3:$C$12,"",1)</f>
        <v>1</v>
      </c>
      <c r="L1733" s="11">
        <f>_xlfn.XLOOKUP(G1733,Ref!$B$3:$B$12,Ref!$C$3:$C$12,"",1)</f>
        <v>1</v>
      </c>
      <c r="M1733" s="11">
        <f>_xlfn.XLOOKUP(H1733,Ref!$B$3:$B$12,Ref!$C$3:$C$12,"",1)</f>
        <v>1</v>
      </c>
    </row>
    <row r="1734" spans="2:13" x14ac:dyDescent="0.25">
      <c r="B1734" s="15" t="s">
        <v>25</v>
      </c>
      <c r="C1734" s="9">
        <v>32.9</v>
      </c>
      <c r="D1734" s="9">
        <v>38.6</v>
      </c>
      <c r="E1734" s="10">
        <v>42.8</v>
      </c>
      <c r="F1734" s="9">
        <f t="shared" si="100"/>
        <v>10.472395255446713</v>
      </c>
      <c r="G1734" s="9">
        <f t="shared" si="101"/>
        <v>12.286761606694322</v>
      </c>
      <c r="H1734" s="10">
        <f t="shared" si="102"/>
        <v>13.623663128666241</v>
      </c>
      <c r="K1734" s="11">
        <f>_xlfn.XLOOKUP(F1734,Ref!$B$3:$B$12,Ref!$C$3:$C$12,"",1)</f>
        <v>1</v>
      </c>
      <c r="L1734" s="11">
        <f>_xlfn.XLOOKUP(G1734,Ref!$B$3:$B$12,Ref!$C$3:$C$12,"",1)</f>
        <v>1</v>
      </c>
      <c r="M1734" s="11">
        <f>_xlfn.XLOOKUP(H1734,Ref!$B$3:$B$12,Ref!$C$3:$C$12,"",1)</f>
        <v>1</v>
      </c>
    </row>
    <row r="1735" spans="2:13" x14ac:dyDescent="0.25">
      <c r="B1735" s="15" t="s">
        <v>26</v>
      </c>
      <c r="C1735" s="9">
        <v>172.7</v>
      </c>
      <c r="D1735" s="9">
        <v>179.9</v>
      </c>
      <c r="E1735" s="10">
        <v>192</v>
      </c>
      <c r="F1735" s="9">
        <f t="shared" si="100"/>
        <v>54.972117343940646</v>
      </c>
      <c r="G1735" s="9">
        <f t="shared" si="101"/>
        <v>57.263948524463949</v>
      </c>
      <c r="H1735" s="10">
        <f t="shared" si="102"/>
        <v>61.115498147287809</v>
      </c>
      <c r="K1735" s="11">
        <f>_xlfn.XLOOKUP(F1735,Ref!$B$3:$B$12,Ref!$C$3:$C$12,"",1)</f>
        <v>5</v>
      </c>
      <c r="L1735" s="11">
        <f>_xlfn.XLOOKUP(G1735,Ref!$B$3:$B$12,Ref!$C$3:$C$12,"",1)</f>
        <v>5</v>
      </c>
      <c r="M1735" s="11">
        <f>_xlfn.XLOOKUP(H1735,Ref!$B$3:$B$12,Ref!$C$3:$C$12,"",1)</f>
        <v>6</v>
      </c>
    </row>
    <row r="1736" spans="2:13" x14ac:dyDescent="0.25">
      <c r="B1736" s="15" t="s">
        <v>12</v>
      </c>
      <c r="C1736" s="9">
        <v>39.9</v>
      </c>
      <c r="D1736" s="9">
        <v>36.4</v>
      </c>
      <c r="E1736" s="10">
        <v>36.700000000000003</v>
      </c>
      <c r="F1736" s="9">
        <f t="shared" ref="F1736:F1797" si="103">IF(C1736="", "", C1736/PI())</f>
        <v>12.700564458733249</v>
      </c>
      <c r="G1736" s="9">
        <f t="shared" si="101"/>
        <v>11.58647985708998</v>
      </c>
      <c r="H1736" s="10">
        <f t="shared" si="102"/>
        <v>11.681972822945118</v>
      </c>
      <c r="K1736" s="11">
        <f>_xlfn.XLOOKUP(F1736,Ref!$B$3:$B$12,Ref!$C$3:$C$12,"",1)</f>
        <v>1</v>
      </c>
      <c r="L1736" s="11">
        <f>_xlfn.XLOOKUP(G1736,Ref!$B$3:$B$12,Ref!$C$3:$C$12,"",1)</f>
        <v>1</v>
      </c>
      <c r="M1736" s="11">
        <f>_xlfn.XLOOKUP(H1736,Ref!$B$3:$B$12,Ref!$C$3:$C$12,"",1)</f>
        <v>1</v>
      </c>
    </row>
    <row r="1737" spans="2:13" x14ac:dyDescent="0.25">
      <c r="B1737" s="15" t="s">
        <v>51</v>
      </c>
      <c r="C1737" s="9">
        <v>33</v>
      </c>
      <c r="D1737" s="9">
        <v>33</v>
      </c>
      <c r="E1737" s="10">
        <v>32.700000000000003</v>
      </c>
      <c r="F1737" s="9">
        <f t="shared" si="103"/>
        <v>10.504226244065093</v>
      </c>
      <c r="G1737" s="9">
        <f t="shared" si="101"/>
        <v>10.504226244065093</v>
      </c>
      <c r="H1737" s="10">
        <f t="shared" si="102"/>
        <v>10.408733278209956</v>
      </c>
      <c r="K1737" s="11">
        <f>_xlfn.XLOOKUP(F1737,Ref!$B$3:$B$12,Ref!$C$3:$C$12,"",1)</f>
        <v>1</v>
      </c>
      <c r="L1737" s="11">
        <f>_xlfn.XLOOKUP(G1737,Ref!$B$3:$B$12,Ref!$C$3:$C$12,"",1)</f>
        <v>1</v>
      </c>
      <c r="M1737" s="11">
        <f>_xlfn.XLOOKUP(H1737,Ref!$B$3:$B$12,Ref!$C$3:$C$12,"",1)</f>
        <v>1</v>
      </c>
    </row>
    <row r="1738" spans="2:13" x14ac:dyDescent="0.25">
      <c r="B1738" s="15" t="s">
        <v>25</v>
      </c>
      <c r="C1738" s="9">
        <v>63.8</v>
      </c>
      <c r="D1738" s="9">
        <v>65.8</v>
      </c>
      <c r="E1738" s="10">
        <v>68</v>
      </c>
      <c r="F1738" s="9">
        <f t="shared" si="103"/>
        <v>20.308170738525845</v>
      </c>
      <c r="G1738" s="9">
        <f t="shared" si="101"/>
        <v>20.944790510893426</v>
      </c>
      <c r="H1738" s="10">
        <f t="shared" si="102"/>
        <v>21.645072260497766</v>
      </c>
      <c r="K1738" s="11">
        <f>_xlfn.XLOOKUP(F1738,Ref!$B$3:$B$12,Ref!$C$3:$C$12,"",1)</f>
        <v>2</v>
      </c>
      <c r="L1738" s="11">
        <f>_xlfn.XLOOKUP(G1738,Ref!$B$3:$B$12,Ref!$C$3:$C$12,"",1)</f>
        <v>2</v>
      </c>
      <c r="M1738" s="11">
        <f>_xlfn.XLOOKUP(H1738,Ref!$B$3:$B$12,Ref!$C$3:$C$12,"",1)</f>
        <v>2</v>
      </c>
    </row>
    <row r="1739" spans="2:13" x14ac:dyDescent="0.25">
      <c r="B1739" s="15" t="s">
        <v>25</v>
      </c>
      <c r="C1739" s="9">
        <v>38.1</v>
      </c>
      <c r="D1739" s="9">
        <v>37.200000000000003</v>
      </c>
      <c r="E1739" s="10">
        <v>37.200000000000003</v>
      </c>
      <c r="F1739" s="9">
        <f t="shared" si="103"/>
        <v>12.127606663602425</v>
      </c>
      <c r="G1739" s="9">
        <f t="shared" si="101"/>
        <v>11.841127766037014</v>
      </c>
      <c r="H1739" s="10">
        <f t="shared" si="102"/>
        <v>11.841127766037014</v>
      </c>
      <c r="K1739" s="11">
        <f>_xlfn.XLOOKUP(F1739,Ref!$B$3:$B$12,Ref!$C$3:$C$12,"",1)</f>
        <v>1</v>
      </c>
      <c r="L1739" s="11">
        <f>_xlfn.XLOOKUP(G1739,Ref!$B$3:$B$12,Ref!$C$3:$C$12,"",1)</f>
        <v>1</v>
      </c>
      <c r="M1739" s="11">
        <f>_xlfn.XLOOKUP(H1739,Ref!$B$3:$B$12,Ref!$C$3:$C$12,"",1)</f>
        <v>1</v>
      </c>
    </row>
    <row r="1740" spans="2:13" x14ac:dyDescent="0.25">
      <c r="B1740" s="15" t="s">
        <v>12</v>
      </c>
      <c r="C1740" s="9">
        <v>40.4</v>
      </c>
      <c r="D1740" s="9">
        <v>42.1</v>
      </c>
      <c r="E1740" s="10">
        <v>43.5</v>
      </c>
      <c r="F1740" s="9">
        <f t="shared" si="103"/>
        <v>12.859719401825144</v>
      </c>
      <c r="G1740" s="9">
        <f t="shared" si="101"/>
        <v>13.400846208337589</v>
      </c>
      <c r="H1740" s="10">
        <f t="shared" si="102"/>
        <v>13.846480048994895</v>
      </c>
      <c r="K1740" s="11">
        <f>_xlfn.XLOOKUP(F1740,Ref!$B$3:$B$12,Ref!$C$3:$C$12,"",1)</f>
        <v>1</v>
      </c>
      <c r="L1740" s="11">
        <f>_xlfn.XLOOKUP(G1740,Ref!$B$3:$B$12,Ref!$C$3:$C$12,"",1)</f>
        <v>1</v>
      </c>
      <c r="M1740" s="11">
        <f>_xlfn.XLOOKUP(H1740,Ref!$B$3:$B$12,Ref!$C$3:$C$12,"",1)</f>
        <v>1</v>
      </c>
    </row>
    <row r="1741" spans="2:13" x14ac:dyDescent="0.25">
      <c r="B1741" s="15" t="s">
        <v>12</v>
      </c>
      <c r="C1741" s="9">
        <v>45.8</v>
      </c>
      <c r="D1741" s="9">
        <v>49</v>
      </c>
      <c r="E1741" s="10">
        <v>50.1</v>
      </c>
      <c r="F1741" s="9">
        <f t="shared" si="103"/>
        <v>14.578592787217612</v>
      </c>
      <c r="G1741" s="9">
        <f t="shared" si="101"/>
        <v>15.597184423005743</v>
      </c>
      <c r="H1741" s="10">
        <f t="shared" si="102"/>
        <v>15.947325297807915</v>
      </c>
      <c r="K1741" s="11">
        <f>_xlfn.XLOOKUP(F1741,Ref!$B$3:$B$12,Ref!$C$3:$C$12,"",1)</f>
        <v>1</v>
      </c>
      <c r="L1741" s="11">
        <f>_xlfn.XLOOKUP(G1741,Ref!$B$3:$B$12,Ref!$C$3:$C$12,"",1)</f>
        <v>1</v>
      </c>
      <c r="M1741" s="11">
        <f>_xlfn.XLOOKUP(H1741,Ref!$B$3:$B$12,Ref!$C$3:$C$12,"",1)</f>
        <v>1</v>
      </c>
    </row>
    <row r="1742" spans="2:13" x14ac:dyDescent="0.25">
      <c r="B1742" s="15" t="s">
        <v>65</v>
      </c>
      <c r="C1742" s="9">
        <v>67.099999999999994</v>
      </c>
      <c r="D1742" s="9">
        <v>78</v>
      </c>
      <c r="E1742" s="10">
        <v>96.6</v>
      </c>
      <c r="F1742" s="9">
        <f t="shared" si="103"/>
        <v>21.358593362932353</v>
      </c>
      <c r="G1742" s="9">
        <f t="shared" si="101"/>
        <v>24.828171122335672</v>
      </c>
      <c r="H1742" s="10">
        <f t="shared" si="102"/>
        <v>30.748735005354177</v>
      </c>
      <c r="K1742" s="11">
        <f>_xlfn.XLOOKUP(F1742,Ref!$B$3:$B$12,Ref!$C$3:$C$12,"",1)</f>
        <v>2</v>
      </c>
      <c r="L1742" s="11">
        <f>_xlfn.XLOOKUP(G1742,Ref!$B$3:$B$12,Ref!$C$3:$C$12,"",1)</f>
        <v>2</v>
      </c>
      <c r="M1742" s="11">
        <f>_xlfn.XLOOKUP(H1742,Ref!$B$3:$B$12,Ref!$C$3:$C$12,"",1)</f>
        <v>3</v>
      </c>
    </row>
    <row r="1743" spans="2:13" x14ac:dyDescent="0.25">
      <c r="B1743" s="15" t="s">
        <v>12</v>
      </c>
      <c r="C1743" s="9">
        <v>32.200000000000003</v>
      </c>
      <c r="D1743" s="9">
        <v>32.200000000000003</v>
      </c>
      <c r="E1743" s="10">
        <v>32.299999999999997</v>
      </c>
      <c r="F1743" s="9">
        <f t="shared" si="103"/>
        <v>10.249578335118061</v>
      </c>
      <c r="G1743" s="9">
        <f t="shared" si="101"/>
        <v>10.249578335118061</v>
      </c>
      <c r="H1743" s="10">
        <f t="shared" si="102"/>
        <v>10.281409323736439</v>
      </c>
      <c r="K1743" s="11">
        <f>_xlfn.XLOOKUP(F1743,Ref!$B$3:$B$12,Ref!$C$3:$C$12,"",1)</f>
        <v>1</v>
      </c>
      <c r="L1743" s="11">
        <f>_xlfn.XLOOKUP(G1743,Ref!$B$3:$B$12,Ref!$C$3:$C$12,"",1)</f>
        <v>1</v>
      </c>
      <c r="M1743" s="11">
        <f>_xlfn.XLOOKUP(H1743,Ref!$B$3:$B$12,Ref!$C$3:$C$12,"",1)</f>
        <v>1</v>
      </c>
    </row>
    <row r="1744" spans="2:13" x14ac:dyDescent="0.25">
      <c r="B1744" s="15" t="s">
        <v>8</v>
      </c>
      <c r="C1744" s="9">
        <v>49.4</v>
      </c>
      <c r="D1744" s="9">
        <v>52</v>
      </c>
      <c r="E1744" s="10">
        <v>54.1</v>
      </c>
      <c r="F1744" s="9">
        <f t="shared" si="103"/>
        <v>15.724508377479259</v>
      </c>
      <c r="G1744" s="9">
        <f t="shared" si="101"/>
        <v>16.552114081557114</v>
      </c>
      <c r="H1744" s="10">
        <f t="shared" si="102"/>
        <v>17.220564842543077</v>
      </c>
      <c r="K1744" s="11">
        <f>_xlfn.XLOOKUP(F1744,Ref!$B$3:$B$12,Ref!$C$3:$C$12,"",1)</f>
        <v>1</v>
      </c>
      <c r="L1744" s="11">
        <f>_xlfn.XLOOKUP(G1744,Ref!$B$3:$B$12,Ref!$C$3:$C$12,"",1)</f>
        <v>1</v>
      </c>
      <c r="M1744" s="11">
        <f>_xlfn.XLOOKUP(H1744,Ref!$B$3:$B$12,Ref!$C$3:$C$12,"",1)</f>
        <v>1</v>
      </c>
    </row>
    <row r="1745" spans="2:13" x14ac:dyDescent="0.25">
      <c r="B1745" s="15" t="s">
        <v>8</v>
      </c>
      <c r="C1745" s="9">
        <v>46.1</v>
      </c>
      <c r="D1745" s="9">
        <v>46.8</v>
      </c>
      <c r="E1745" s="10">
        <v>47.5</v>
      </c>
      <c r="F1745" s="9">
        <f t="shared" si="103"/>
        <v>14.674085753072751</v>
      </c>
      <c r="G1745" s="9">
        <f t="shared" si="101"/>
        <v>14.896902673401403</v>
      </c>
      <c r="H1745" s="10">
        <f t="shared" si="102"/>
        <v>15.119719593730057</v>
      </c>
      <c r="K1745" s="11">
        <f>_xlfn.XLOOKUP(F1745,Ref!$B$3:$B$12,Ref!$C$3:$C$12,"",1)</f>
        <v>1</v>
      </c>
      <c r="L1745" s="11">
        <f>_xlfn.XLOOKUP(G1745,Ref!$B$3:$B$12,Ref!$C$3:$C$12,"",1)</f>
        <v>1</v>
      </c>
      <c r="M1745" s="11">
        <f>_xlfn.XLOOKUP(H1745,Ref!$B$3:$B$12,Ref!$C$3:$C$12,"",1)</f>
        <v>1</v>
      </c>
    </row>
    <row r="1746" spans="2:13" x14ac:dyDescent="0.25">
      <c r="B1746" s="15" t="s">
        <v>8</v>
      </c>
      <c r="C1746" s="9">
        <v>46.1</v>
      </c>
      <c r="D1746" s="9">
        <v>46.1</v>
      </c>
      <c r="E1746" s="10">
        <v>46.4</v>
      </c>
      <c r="F1746" s="9">
        <f t="shared" si="103"/>
        <v>14.674085753072751</v>
      </c>
      <c r="G1746" s="9">
        <f t="shared" si="101"/>
        <v>14.674085753072751</v>
      </c>
      <c r="H1746" s="10">
        <f t="shared" si="102"/>
        <v>14.769578718927887</v>
      </c>
      <c r="K1746" s="11">
        <f>_xlfn.XLOOKUP(F1746,Ref!$B$3:$B$12,Ref!$C$3:$C$12,"",1)</f>
        <v>1</v>
      </c>
      <c r="L1746" s="11">
        <f>_xlfn.XLOOKUP(G1746,Ref!$B$3:$B$12,Ref!$C$3:$C$12,"",1)</f>
        <v>1</v>
      </c>
      <c r="M1746" s="11">
        <f>_xlfn.XLOOKUP(H1746,Ref!$B$3:$B$12,Ref!$C$3:$C$12,"",1)</f>
        <v>1</v>
      </c>
    </row>
    <row r="1747" spans="2:13" x14ac:dyDescent="0.25">
      <c r="B1747" s="15" t="s">
        <v>65</v>
      </c>
      <c r="C1747" s="9">
        <v>32.700000000000003</v>
      </c>
      <c r="D1747" s="9">
        <v>35</v>
      </c>
      <c r="E1747" s="10">
        <v>35.700000000000003</v>
      </c>
      <c r="F1747" s="9">
        <f t="shared" si="103"/>
        <v>10.408733278209956</v>
      </c>
      <c r="G1747" s="9">
        <f t="shared" si="101"/>
        <v>11.140846016432674</v>
      </c>
      <c r="H1747" s="10">
        <f t="shared" si="102"/>
        <v>11.363662936761328</v>
      </c>
      <c r="K1747" s="11">
        <f>_xlfn.XLOOKUP(F1747,Ref!$B$3:$B$12,Ref!$C$3:$C$12,"",1)</f>
        <v>1</v>
      </c>
      <c r="L1747" s="11">
        <f>_xlfn.XLOOKUP(G1747,Ref!$B$3:$B$12,Ref!$C$3:$C$12,"",1)</f>
        <v>1</v>
      </c>
      <c r="M1747" s="11">
        <f>_xlfn.XLOOKUP(H1747,Ref!$B$3:$B$12,Ref!$C$3:$C$12,"",1)</f>
        <v>1</v>
      </c>
    </row>
    <row r="1748" spans="2:13" x14ac:dyDescent="0.25">
      <c r="B1748" s="15" t="s">
        <v>8</v>
      </c>
      <c r="C1748" s="9">
        <v>44</v>
      </c>
      <c r="D1748" s="9">
        <v>44</v>
      </c>
      <c r="E1748" s="10">
        <v>44.5</v>
      </c>
      <c r="F1748" s="9">
        <f t="shared" si="103"/>
        <v>14.00563499208679</v>
      </c>
      <c r="G1748" s="9">
        <f t="shared" si="101"/>
        <v>14.00563499208679</v>
      </c>
      <c r="H1748" s="10">
        <f t="shared" si="102"/>
        <v>14.164789935178685</v>
      </c>
      <c r="K1748" s="11">
        <f>_xlfn.XLOOKUP(F1748,Ref!$B$3:$B$12,Ref!$C$3:$C$12,"",1)</f>
        <v>1</v>
      </c>
      <c r="L1748" s="11">
        <f>_xlfn.XLOOKUP(G1748,Ref!$B$3:$B$12,Ref!$C$3:$C$12,"",1)</f>
        <v>1</v>
      </c>
      <c r="M1748" s="11">
        <f>_xlfn.XLOOKUP(H1748,Ref!$B$3:$B$12,Ref!$C$3:$C$12,"",1)</f>
        <v>1</v>
      </c>
    </row>
    <row r="1749" spans="2:13" x14ac:dyDescent="0.25">
      <c r="B1749" s="15" t="s">
        <v>8</v>
      </c>
      <c r="C1749" s="9">
        <v>32.1</v>
      </c>
      <c r="D1749" s="9">
        <v>32.5</v>
      </c>
      <c r="E1749" s="10">
        <v>32.5</v>
      </c>
      <c r="F1749" s="9">
        <f t="shared" si="103"/>
        <v>10.217747346499682</v>
      </c>
      <c r="G1749" s="9">
        <f t="shared" si="101"/>
        <v>10.345071300973197</v>
      </c>
      <c r="H1749" s="10">
        <f t="shared" si="102"/>
        <v>10.345071300973197</v>
      </c>
      <c r="K1749" s="11">
        <f>_xlfn.XLOOKUP(F1749,Ref!$B$3:$B$12,Ref!$C$3:$C$12,"",1)</f>
        <v>1</v>
      </c>
      <c r="L1749" s="11">
        <f>_xlfn.XLOOKUP(G1749,Ref!$B$3:$B$12,Ref!$C$3:$C$12,"",1)</f>
        <v>1</v>
      </c>
      <c r="M1749" s="11">
        <f>_xlfn.XLOOKUP(H1749,Ref!$B$3:$B$12,Ref!$C$3:$C$12,"",1)</f>
        <v>1</v>
      </c>
    </row>
    <row r="1750" spans="2:13" x14ac:dyDescent="0.25">
      <c r="B1750" s="15" t="s">
        <v>8</v>
      </c>
      <c r="C1750" s="9">
        <v>34.9</v>
      </c>
      <c r="D1750" s="9">
        <v>34.9</v>
      </c>
      <c r="E1750" s="10">
        <v>35</v>
      </c>
      <c r="F1750" s="9">
        <f t="shared" si="103"/>
        <v>11.109015027814294</v>
      </c>
      <c r="G1750" s="9">
        <f t="shared" si="101"/>
        <v>11.109015027814294</v>
      </c>
      <c r="H1750" s="10">
        <f t="shared" si="102"/>
        <v>11.140846016432674</v>
      </c>
      <c r="K1750" s="11">
        <f>_xlfn.XLOOKUP(F1750,Ref!$B$3:$B$12,Ref!$C$3:$C$12,"",1)</f>
        <v>1</v>
      </c>
      <c r="L1750" s="11">
        <f>_xlfn.XLOOKUP(G1750,Ref!$B$3:$B$12,Ref!$C$3:$C$12,"",1)</f>
        <v>1</v>
      </c>
      <c r="M1750" s="11">
        <f>_xlfn.XLOOKUP(H1750,Ref!$B$3:$B$12,Ref!$C$3:$C$12,"",1)</f>
        <v>1</v>
      </c>
    </row>
    <row r="1751" spans="2:13" x14ac:dyDescent="0.25">
      <c r="B1751" s="15" t="s">
        <v>24</v>
      </c>
      <c r="C1751" s="9">
        <v>79.099999999999994</v>
      </c>
      <c r="D1751" s="9">
        <v>82.5</v>
      </c>
      <c r="E1751" s="10">
        <v>91</v>
      </c>
      <c r="F1751" s="9">
        <f t="shared" si="103"/>
        <v>25.17831199713784</v>
      </c>
      <c r="G1751" s="9">
        <f t="shared" si="101"/>
        <v>26.260565610162732</v>
      </c>
      <c r="H1751" s="10">
        <f t="shared" si="102"/>
        <v>28.966199642724952</v>
      </c>
      <c r="K1751" s="11">
        <f>_xlfn.XLOOKUP(F1751,Ref!$B$3:$B$12,Ref!$C$3:$C$12,"",1)</f>
        <v>2</v>
      </c>
      <c r="L1751" s="11">
        <f>_xlfn.XLOOKUP(G1751,Ref!$B$3:$B$12,Ref!$C$3:$C$12,"",1)</f>
        <v>2</v>
      </c>
      <c r="M1751" s="11">
        <f>_xlfn.XLOOKUP(H1751,Ref!$B$3:$B$12,Ref!$C$3:$C$12,"",1)</f>
        <v>2</v>
      </c>
    </row>
    <row r="1752" spans="2:13" x14ac:dyDescent="0.25">
      <c r="B1752" s="15" t="s">
        <v>12</v>
      </c>
      <c r="C1752" s="9">
        <v>32.799999999999997</v>
      </c>
      <c r="D1752" s="9">
        <v>32.6</v>
      </c>
      <c r="E1752" s="10">
        <v>34.299999999999997</v>
      </c>
      <c r="F1752" s="9">
        <f t="shared" si="103"/>
        <v>10.440564266828334</v>
      </c>
      <c r="G1752" s="9">
        <f t="shared" si="101"/>
        <v>10.376902289591577</v>
      </c>
      <c r="H1752" s="10">
        <f t="shared" si="102"/>
        <v>10.91802909610402</v>
      </c>
      <c r="K1752" s="11">
        <f>_xlfn.XLOOKUP(F1752,Ref!$B$3:$B$12,Ref!$C$3:$C$12,"",1)</f>
        <v>1</v>
      </c>
      <c r="L1752" s="11">
        <f>_xlfn.XLOOKUP(G1752,Ref!$B$3:$B$12,Ref!$C$3:$C$12,"",1)</f>
        <v>1</v>
      </c>
      <c r="M1752" s="11">
        <f>_xlfn.XLOOKUP(H1752,Ref!$B$3:$B$12,Ref!$C$3:$C$12,"",1)</f>
        <v>1</v>
      </c>
    </row>
    <row r="1753" spans="2:13" x14ac:dyDescent="0.25">
      <c r="B1753" s="15" t="s">
        <v>8</v>
      </c>
      <c r="C1753" s="9">
        <v>35.299999999999997</v>
      </c>
      <c r="D1753" s="9">
        <v>35.299999999999997</v>
      </c>
      <c r="E1753" s="10">
        <v>35.1</v>
      </c>
      <c r="F1753" s="9">
        <f t="shared" si="103"/>
        <v>11.23633898228781</v>
      </c>
      <c r="G1753" s="9">
        <f t="shared" si="101"/>
        <v>11.23633898228781</v>
      </c>
      <c r="H1753" s="10">
        <f t="shared" si="102"/>
        <v>11.172677005051053</v>
      </c>
      <c r="K1753" s="11">
        <f>_xlfn.XLOOKUP(F1753,Ref!$B$3:$B$12,Ref!$C$3:$C$12,"",1)</f>
        <v>1</v>
      </c>
      <c r="L1753" s="11">
        <f>_xlfn.XLOOKUP(G1753,Ref!$B$3:$B$12,Ref!$C$3:$C$12,"",1)</f>
        <v>1</v>
      </c>
      <c r="M1753" s="11">
        <f>_xlfn.XLOOKUP(H1753,Ref!$B$3:$B$12,Ref!$C$3:$C$12,"",1)</f>
        <v>1</v>
      </c>
    </row>
    <row r="1754" spans="2:13" x14ac:dyDescent="0.25">
      <c r="B1754" s="15" t="s">
        <v>10</v>
      </c>
      <c r="C1754" s="9">
        <v>34.299999999999997</v>
      </c>
      <c r="D1754" s="9">
        <v>34.299999999999997</v>
      </c>
      <c r="E1754" s="10">
        <v>34</v>
      </c>
      <c r="F1754" s="9">
        <f t="shared" si="103"/>
        <v>10.91802909610402</v>
      </c>
      <c r="G1754" s="9">
        <f t="shared" si="101"/>
        <v>10.91802909610402</v>
      </c>
      <c r="H1754" s="10">
        <f t="shared" si="102"/>
        <v>10.822536130248883</v>
      </c>
      <c r="K1754" s="11">
        <f>_xlfn.XLOOKUP(F1754,Ref!$B$3:$B$12,Ref!$C$3:$C$12,"",1)</f>
        <v>1</v>
      </c>
      <c r="L1754" s="11">
        <f>_xlfn.XLOOKUP(G1754,Ref!$B$3:$B$12,Ref!$C$3:$C$12,"",1)</f>
        <v>1</v>
      </c>
      <c r="M1754" s="11">
        <f>_xlfn.XLOOKUP(H1754,Ref!$B$3:$B$12,Ref!$C$3:$C$12,"",1)</f>
        <v>1</v>
      </c>
    </row>
    <row r="1755" spans="2:13" x14ac:dyDescent="0.25">
      <c r="B1755" s="15" t="s">
        <v>65</v>
      </c>
      <c r="C1755" s="9">
        <v>81.2</v>
      </c>
      <c r="D1755" s="9">
        <v>92.9</v>
      </c>
      <c r="E1755" s="10">
        <v>103.8</v>
      </c>
      <c r="F1755" s="9">
        <f t="shared" si="103"/>
        <v>25.846762758123806</v>
      </c>
      <c r="G1755" s="9">
        <f t="shared" si="101"/>
        <v>29.570988426474155</v>
      </c>
      <c r="H1755" s="10">
        <f t="shared" si="102"/>
        <v>33.040566185877474</v>
      </c>
      <c r="K1755" s="11">
        <f>_xlfn.XLOOKUP(F1755,Ref!$B$3:$B$12,Ref!$C$3:$C$12,"",1)</f>
        <v>2</v>
      </c>
      <c r="L1755" s="11">
        <f>_xlfn.XLOOKUP(G1755,Ref!$B$3:$B$12,Ref!$C$3:$C$12,"",1)</f>
        <v>2</v>
      </c>
      <c r="M1755" s="11">
        <f>_xlfn.XLOOKUP(H1755,Ref!$B$3:$B$12,Ref!$C$3:$C$12,"",1)</f>
        <v>3</v>
      </c>
    </row>
    <row r="1756" spans="2:13" x14ac:dyDescent="0.25">
      <c r="B1756" s="15" t="s">
        <v>8</v>
      </c>
      <c r="C1756" s="9">
        <v>31.5</v>
      </c>
      <c r="D1756" s="9">
        <v>31.5</v>
      </c>
      <c r="E1756" s="10">
        <v>31.8</v>
      </c>
      <c r="F1756" s="9">
        <f t="shared" si="103"/>
        <v>10.026761414789407</v>
      </c>
      <c r="G1756" s="9">
        <f t="shared" si="101"/>
        <v>10.026761414789407</v>
      </c>
      <c r="H1756" s="10">
        <f t="shared" si="102"/>
        <v>10.122254380644543</v>
      </c>
      <c r="K1756" s="11">
        <f>_xlfn.XLOOKUP(F1756,Ref!$B$3:$B$12,Ref!$C$3:$C$12,"",1)</f>
        <v>1</v>
      </c>
      <c r="L1756" s="11">
        <f>_xlfn.XLOOKUP(G1756,Ref!$B$3:$B$12,Ref!$C$3:$C$12,"",1)</f>
        <v>1</v>
      </c>
      <c r="M1756" s="11">
        <f>_xlfn.XLOOKUP(H1756,Ref!$B$3:$B$12,Ref!$C$3:$C$12,"",1)</f>
        <v>1</v>
      </c>
    </row>
    <row r="1757" spans="2:13" x14ac:dyDescent="0.25">
      <c r="B1757" s="15" t="s">
        <v>7</v>
      </c>
      <c r="C1757" s="9">
        <v>56.2</v>
      </c>
      <c r="D1757" s="9">
        <v>57.1</v>
      </c>
      <c r="E1757" s="10">
        <v>57.5</v>
      </c>
      <c r="F1757" s="9">
        <f t="shared" si="103"/>
        <v>17.889015603529039</v>
      </c>
      <c r="G1757" s="9">
        <f t="shared" si="101"/>
        <v>18.175494501094448</v>
      </c>
      <c r="H1757" s="10">
        <f t="shared" si="102"/>
        <v>18.302818455567966</v>
      </c>
      <c r="K1757" s="11">
        <f>_xlfn.XLOOKUP(F1757,Ref!$B$3:$B$12,Ref!$C$3:$C$12,"",1)</f>
        <v>1</v>
      </c>
      <c r="L1757" s="11">
        <f>_xlfn.XLOOKUP(G1757,Ref!$B$3:$B$12,Ref!$C$3:$C$12,"",1)</f>
        <v>1</v>
      </c>
      <c r="M1757" s="11">
        <f>_xlfn.XLOOKUP(H1757,Ref!$B$3:$B$12,Ref!$C$3:$C$12,"",1)</f>
        <v>1</v>
      </c>
    </row>
    <row r="1758" spans="2:13" x14ac:dyDescent="0.25">
      <c r="B1758" s="15" t="s">
        <v>12</v>
      </c>
      <c r="C1758" s="9">
        <v>42.7</v>
      </c>
      <c r="D1758" s="9">
        <v>43.7</v>
      </c>
      <c r="E1758" s="10">
        <v>43.7</v>
      </c>
      <c r="F1758" s="9">
        <f t="shared" si="103"/>
        <v>13.591832140047863</v>
      </c>
      <c r="G1758" s="9">
        <f t="shared" si="101"/>
        <v>13.910142026231654</v>
      </c>
      <c r="H1758" s="10">
        <f t="shared" si="102"/>
        <v>13.910142026231654</v>
      </c>
      <c r="K1758" s="11">
        <f>_xlfn.XLOOKUP(F1758,Ref!$B$3:$B$12,Ref!$C$3:$C$12,"",1)</f>
        <v>1</v>
      </c>
      <c r="L1758" s="11">
        <f>_xlfn.XLOOKUP(G1758,Ref!$B$3:$B$12,Ref!$C$3:$C$12,"",1)</f>
        <v>1</v>
      </c>
      <c r="M1758" s="11">
        <f>_xlfn.XLOOKUP(H1758,Ref!$B$3:$B$12,Ref!$C$3:$C$12,"",1)</f>
        <v>1</v>
      </c>
    </row>
    <row r="1759" spans="2:13" x14ac:dyDescent="0.25">
      <c r="B1759" s="15" t="s">
        <v>12</v>
      </c>
      <c r="C1759" s="9">
        <v>42.4</v>
      </c>
      <c r="D1759" s="9">
        <v>42.4</v>
      </c>
      <c r="E1759" s="10">
        <v>42.5</v>
      </c>
      <c r="F1759" s="9">
        <f t="shared" si="103"/>
        <v>13.496339174192725</v>
      </c>
      <c r="G1759" s="9">
        <f t="shared" si="101"/>
        <v>13.496339174192725</v>
      </c>
      <c r="H1759" s="10">
        <f t="shared" si="102"/>
        <v>13.528170162811104</v>
      </c>
      <c r="K1759" s="11">
        <f>_xlfn.XLOOKUP(F1759,Ref!$B$3:$B$12,Ref!$C$3:$C$12,"",1)</f>
        <v>1</v>
      </c>
      <c r="L1759" s="11">
        <f>_xlfn.XLOOKUP(G1759,Ref!$B$3:$B$12,Ref!$C$3:$C$12,"",1)</f>
        <v>1</v>
      </c>
      <c r="M1759" s="11">
        <f>_xlfn.XLOOKUP(H1759,Ref!$B$3:$B$12,Ref!$C$3:$C$12,"",1)</f>
        <v>1</v>
      </c>
    </row>
    <row r="1760" spans="2:13" x14ac:dyDescent="0.25">
      <c r="B1760" s="15" t="s">
        <v>8</v>
      </c>
      <c r="C1760" s="9">
        <v>188.8</v>
      </c>
      <c r="D1760" s="9">
        <v>189</v>
      </c>
      <c r="E1760" s="10">
        <v>187.5</v>
      </c>
      <c r="F1760" s="9">
        <f t="shared" si="103"/>
        <v>60.096906511499682</v>
      </c>
      <c r="G1760" s="9">
        <f t="shared" si="101"/>
        <v>60.160568488736438</v>
      </c>
      <c r="H1760" s="10">
        <f t="shared" si="102"/>
        <v>59.683103659460755</v>
      </c>
      <c r="K1760" s="11">
        <f>_xlfn.XLOOKUP(F1760,Ref!$B$3:$B$12,Ref!$C$3:$C$12,"",1)</f>
        <v>6</v>
      </c>
      <c r="L1760" s="11">
        <f>_xlfn.XLOOKUP(G1760,Ref!$B$3:$B$12,Ref!$C$3:$C$12,"",1)</f>
        <v>6</v>
      </c>
      <c r="M1760" s="11">
        <f>_xlfn.XLOOKUP(H1760,Ref!$B$3:$B$12,Ref!$C$3:$C$12,"",1)</f>
        <v>5</v>
      </c>
    </row>
    <row r="1761" spans="2:13" x14ac:dyDescent="0.25">
      <c r="B1761" s="15" t="s">
        <v>65</v>
      </c>
      <c r="C1761" s="9">
        <v>50.7</v>
      </c>
      <c r="D1761" s="9">
        <v>56.5</v>
      </c>
      <c r="E1761" s="10">
        <v>61.3</v>
      </c>
      <c r="F1761" s="9">
        <f t="shared" si="103"/>
        <v>16.138311229518187</v>
      </c>
      <c r="G1761" s="9">
        <f t="shared" si="101"/>
        <v>17.984508569384175</v>
      </c>
      <c r="H1761" s="10">
        <f t="shared" si="102"/>
        <v>19.512396023066369</v>
      </c>
      <c r="K1761" s="11">
        <f>_xlfn.XLOOKUP(F1761,Ref!$B$3:$B$12,Ref!$C$3:$C$12,"",1)</f>
        <v>1</v>
      </c>
      <c r="L1761" s="11">
        <f>_xlfn.XLOOKUP(G1761,Ref!$B$3:$B$12,Ref!$C$3:$C$12,"",1)</f>
        <v>1</v>
      </c>
      <c r="M1761" s="11">
        <f>_xlfn.XLOOKUP(H1761,Ref!$B$3:$B$12,Ref!$C$3:$C$12,"",1)</f>
        <v>1</v>
      </c>
    </row>
    <row r="1762" spans="2:13" x14ac:dyDescent="0.25">
      <c r="B1762" s="15" t="s">
        <v>12</v>
      </c>
      <c r="C1762" s="9">
        <v>38.299999999999997</v>
      </c>
      <c r="D1762" s="9">
        <v>39.799999999999997</v>
      </c>
      <c r="E1762" s="10">
        <v>40.6</v>
      </c>
      <c r="F1762" s="9">
        <f t="shared" si="103"/>
        <v>12.191268640839182</v>
      </c>
      <c r="G1762" s="9">
        <f t="shared" si="101"/>
        <v>12.668733470114868</v>
      </c>
      <c r="H1762" s="10">
        <f t="shared" si="102"/>
        <v>12.923381379061903</v>
      </c>
      <c r="K1762" s="11">
        <f>_xlfn.XLOOKUP(F1762,Ref!$B$3:$B$12,Ref!$C$3:$C$12,"",1)</f>
        <v>1</v>
      </c>
      <c r="L1762" s="11">
        <f>_xlfn.XLOOKUP(G1762,Ref!$B$3:$B$12,Ref!$C$3:$C$12,"",1)</f>
        <v>1</v>
      </c>
      <c r="M1762" s="11">
        <f>_xlfn.XLOOKUP(H1762,Ref!$B$3:$B$12,Ref!$C$3:$C$12,"",1)</f>
        <v>1</v>
      </c>
    </row>
    <row r="1763" spans="2:13" x14ac:dyDescent="0.25">
      <c r="B1763" s="15" t="s">
        <v>25</v>
      </c>
      <c r="C1763" s="9">
        <v>32</v>
      </c>
      <c r="D1763" s="9">
        <v>32</v>
      </c>
      <c r="E1763" s="10">
        <v>32</v>
      </c>
      <c r="F1763" s="9">
        <f t="shared" si="103"/>
        <v>10.185916357881302</v>
      </c>
      <c r="G1763" s="9">
        <f t="shared" si="101"/>
        <v>10.185916357881302</v>
      </c>
      <c r="H1763" s="10">
        <f t="shared" si="102"/>
        <v>10.185916357881302</v>
      </c>
      <c r="K1763" s="11">
        <f>_xlfn.XLOOKUP(F1763,Ref!$B$3:$B$12,Ref!$C$3:$C$12,"",1)</f>
        <v>1</v>
      </c>
      <c r="L1763" s="11">
        <f>_xlfn.XLOOKUP(G1763,Ref!$B$3:$B$12,Ref!$C$3:$C$12,"",1)</f>
        <v>1</v>
      </c>
      <c r="M1763" s="11">
        <f>_xlfn.XLOOKUP(H1763,Ref!$B$3:$B$12,Ref!$C$3:$C$12,"",1)</f>
        <v>1</v>
      </c>
    </row>
    <row r="1764" spans="2:13" x14ac:dyDescent="0.25">
      <c r="B1764" s="15" t="s">
        <v>55</v>
      </c>
      <c r="C1764" s="9"/>
      <c r="D1764" s="9">
        <v>31.5</v>
      </c>
      <c r="E1764" s="10">
        <v>48.7</v>
      </c>
      <c r="F1764" s="9" t="str">
        <f t="shared" si="103"/>
        <v/>
      </c>
      <c r="G1764" s="9">
        <f t="shared" si="101"/>
        <v>10.026761414789407</v>
      </c>
      <c r="H1764" s="10">
        <f t="shared" si="102"/>
        <v>15.501691457150606</v>
      </c>
      <c r="K1764" s="11" t="str">
        <f>_xlfn.XLOOKUP(F1764,Ref!$B$3:$B$12,Ref!$C$3:$C$12,"",1)</f>
        <v/>
      </c>
      <c r="L1764" s="11">
        <f>_xlfn.XLOOKUP(G1764,Ref!$B$3:$B$12,Ref!$C$3:$C$12,"",1)</f>
        <v>1</v>
      </c>
      <c r="M1764" s="11">
        <f>_xlfn.XLOOKUP(H1764,Ref!$B$3:$B$12,Ref!$C$3:$C$12,"",1)</f>
        <v>1</v>
      </c>
    </row>
    <row r="1765" spans="2:13" x14ac:dyDescent="0.25">
      <c r="B1765" s="15" t="s">
        <v>8</v>
      </c>
      <c r="C1765" s="9">
        <v>54.4</v>
      </c>
      <c r="D1765" s="9">
        <v>63</v>
      </c>
      <c r="E1765" s="10">
        <v>71.099999999999994</v>
      </c>
      <c r="F1765" s="9">
        <f t="shared" si="103"/>
        <v>17.316057808398213</v>
      </c>
      <c r="G1765" s="9">
        <f t="shared" si="101"/>
        <v>20.053522829578814</v>
      </c>
      <c r="H1765" s="10">
        <f t="shared" si="102"/>
        <v>22.631832907667516</v>
      </c>
      <c r="K1765" s="11">
        <f>_xlfn.XLOOKUP(F1765,Ref!$B$3:$B$12,Ref!$C$3:$C$12,"",1)</f>
        <v>1</v>
      </c>
      <c r="L1765" s="11">
        <f>_xlfn.XLOOKUP(G1765,Ref!$B$3:$B$12,Ref!$C$3:$C$12,"",1)</f>
        <v>2</v>
      </c>
      <c r="M1765" s="11">
        <f>_xlfn.XLOOKUP(H1765,Ref!$B$3:$B$12,Ref!$C$3:$C$12,"",1)</f>
        <v>2</v>
      </c>
    </row>
    <row r="1766" spans="2:13" x14ac:dyDescent="0.25">
      <c r="B1766" s="15" t="s">
        <v>6</v>
      </c>
      <c r="C1766" s="9"/>
      <c r="D1766" s="9">
        <v>33</v>
      </c>
      <c r="E1766" s="10">
        <v>40.200000000000003</v>
      </c>
      <c r="F1766" s="9" t="str">
        <f t="shared" si="103"/>
        <v/>
      </c>
      <c r="G1766" s="9">
        <f t="shared" si="101"/>
        <v>10.504226244065093</v>
      </c>
      <c r="H1766" s="10">
        <f t="shared" si="102"/>
        <v>12.796057424588387</v>
      </c>
      <c r="K1766" s="11" t="str">
        <f>_xlfn.XLOOKUP(F1766,Ref!$B$3:$B$12,Ref!$C$3:$C$12,"",1)</f>
        <v/>
      </c>
      <c r="L1766" s="11">
        <f>_xlfn.XLOOKUP(G1766,Ref!$B$3:$B$12,Ref!$C$3:$C$12,"",1)</f>
        <v>1</v>
      </c>
      <c r="M1766" s="11">
        <f>_xlfn.XLOOKUP(H1766,Ref!$B$3:$B$12,Ref!$C$3:$C$12,"",1)</f>
        <v>1</v>
      </c>
    </row>
    <row r="1767" spans="2:13" x14ac:dyDescent="0.25">
      <c r="B1767" s="15" t="s">
        <v>25</v>
      </c>
      <c r="C1767" s="9">
        <v>59.5</v>
      </c>
      <c r="D1767" s="9">
        <v>59.9</v>
      </c>
      <c r="E1767" s="10">
        <v>60.9</v>
      </c>
      <c r="F1767" s="9">
        <f t="shared" si="103"/>
        <v>18.939438227935547</v>
      </c>
      <c r="G1767" s="9">
        <f t="shared" si="101"/>
        <v>19.066762182409061</v>
      </c>
      <c r="H1767" s="10">
        <f t="shared" si="102"/>
        <v>19.385072068592851</v>
      </c>
      <c r="K1767" s="11">
        <f>_xlfn.XLOOKUP(F1767,Ref!$B$3:$B$12,Ref!$C$3:$C$12,"",1)</f>
        <v>1</v>
      </c>
      <c r="L1767" s="11">
        <f>_xlfn.XLOOKUP(G1767,Ref!$B$3:$B$12,Ref!$C$3:$C$12,"",1)</f>
        <v>1</v>
      </c>
      <c r="M1767" s="11">
        <f>_xlfn.XLOOKUP(H1767,Ref!$B$3:$B$12,Ref!$C$3:$C$12,"",1)</f>
        <v>1</v>
      </c>
    </row>
    <row r="1768" spans="2:13" x14ac:dyDescent="0.25">
      <c r="B1768" s="15" t="s">
        <v>26</v>
      </c>
      <c r="C1768" s="9">
        <v>128.80000000000001</v>
      </c>
      <c r="D1768" s="9">
        <v>136.69999999999999</v>
      </c>
      <c r="E1768" s="10">
        <v>146.6</v>
      </c>
      <c r="F1768" s="9">
        <f t="shared" si="103"/>
        <v>40.998313340472244</v>
      </c>
      <c r="G1768" s="9">
        <f t="shared" si="101"/>
        <v>43.51296144132418</v>
      </c>
      <c r="H1768" s="10">
        <f t="shared" si="102"/>
        <v>46.664229314543711</v>
      </c>
      <c r="K1768" s="11">
        <f>_xlfn.XLOOKUP(F1768,Ref!$B$3:$B$12,Ref!$C$3:$C$12,"",1)</f>
        <v>4</v>
      </c>
      <c r="L1768" s="11">
        <f>_xlfn.XLOOKUP(G1768,Ref!$B$3:$B$12,Ref!$C$3:$C$12,"",1)</f>
        <v>4</v>
      </c>
      <c r="M1768" s="11">
        <f>_xlfn.XLOOKUP(H1768,Ref!$B$3:$B$12,Ref!$C$3:$C$12,"",1)</f>
        <v>4</v>
      </c>
    </row>
    <row r="1769" spans="2:13" x14ac:dyDescent="0.25">
      <c r="B1769" s="15" t="s">
        <v>41</v>
      </c>
      <c r="C1769" s="9">
        <v>31.9</v>
      </c>
      <c r="D1769" s="9">
        <v>0</v>
      </c>
      <c r="E1769" s="10">
        <v>0</v>
      </c>
      <c r="F1769" s="9">
        <f t="shared" si="103"/>
        <v>10.154085369262923</v>
      </c>
      <c r="G1769" s="9">
        <f t="shared" si="101"/>
        <v>0</v>
      </c>
      <c r="H1769" s="10">
        <f t="shared" si="102"/>
        <v>0</v>
      </c>
      <c r="K1769" s="11">
        <f>_xlfn.XLOOKUP(F1769,Ref!$B$3:$B$12,Ref!$C$3:$C$12,"",1)</f>
        <v>1</v>
      </c>
      <c r="L1769" s="11" t="str">
        <f>_xlfn.XLOOKUP(G1769,Ref!$B$3:$B$12,Ref!$C$3:$C$12,"",1)</f>
        <v>Morta</v>
      </c>
      <c r="M1769" s="11" t="str">
        <f>_xlfn.XLOOKUP(H1769,Ref!$B$3:$B$12,Ref!$C$3:$C$12,"",1)</f>
        <v>Morta</v>
      </c>
    </row>
    <row r="1770" spans="2:13" x14ac:dyDescent="0.25">
      <c r="B1770" s="15" t="s">
        <v>15</v>
      </c>
      <c r="C1770" s="9">
        <v>52.1</v>
      </c>
      <c r="D1770" s="9">
        <v>54.9</v>
      </c>
      <c r="E1770" s="10">
        <v>54.9</v>
      </c>
      <c r="F1770" s="9">
        <f t="shared" si="103"/>
        <v>16.583945070175496</v>
      </c>
      <c r="G1770" s="9">
        <f t="shared" si="101"/>
        <v>17.475212751490108</v>
      </c>
      <c r="H1770" s="10">
        <f t="shared" si="102"/>
        <v>17.475212751490108</v>
      </c>
      <c r="K1770" s="11">
        <f>_xlfn.XLOOKUP(F1770,Ref!$B$3:$B$12,Ref!$C$3:$C$12,"",1)</f>
        <v>1</v>
      </c>
      <c r="L1770" s="11">
        <f>_xlfn.XLOOKUP(G1770,Ref!$B$3:$B$12,Ref!$C$3:$C$12,"",1)</f>
        <v>1</v>
      </c>
      <c r="M1770" s="11">
        <f>_xlfn.XLOOKUP(H1770,Ref!$B$3:$B$12,Ref!$C$3:$C$12,"",1)</f>
        <v>1</v>
      </c>
    </row>
    <row r="1771" spans="2:13" x14ac:dyDescent="0.25">
      <c r="B1771" s="15" t="s">
        <v>12</v>
      </c>
      <c r="C1771" s="9">
        <v>46.5</v>
      </c>
      <c r="D1771" s="9">
        <v>47.5</v>
      </c>
      <c r="E1771" s="10">
        <v>48.3</v>
      </c>
      <c r="F1771" s="9">
        <f t="shared" si="103"/>
        <v>14.801409707546267</v>
      </c>
      <c r="G1771" s="9">
        <f t="shared" si="101"/>
        <v>15.119719593730057</v>
      </c>
      <c r="H1771" s="10">
        <f t="shared" si="102"/>
        <v>15.374367502677089</v>
      </c>
      <c r="K1771" s="11">
        <f>_xlfn.XLOOKUP(F1771,Ref!$B$3:$B$12,Ref!$C$3:$C$12,"",1)</f>
        <v>1</v>
      </c>
      <c r="L1771" s="11">
        <f>_xlfn.XLOOKUP(G1771,Ref!$B$3:$B$12,Ref!$C$3:$C$12,"",1)</f>
        <v>1</v>
      </c>
      <c r="M1771" s="11">
        <f>_xlfn.XLOOKUP(H1771,Ref!$B$3:$B$12,Ref!$C$3:$C$12,"",1)</f>
        <v>1</v>
      </c>
    </row>
    <row r="1772" spans="2:13" x14ac:dyDescent="0.25">
      <c r="B1772" s="15" t="s">
        <v>12</v>
      </c>
      <c r="C1772" s="9">
        <v>39.5</v>
      </c>
      <c r="D1772" s="9">
        <v>43.7</v>
      </c>
      <c r="E1772" s="10">
        <v>43.4</v>
      </c>
      <c r="F1772" s="9">
        <f t="shared" si="103"/>
        <v>12.573240504259733</v>
      </c>
      <c r="G1772" s="9">
        <f t="shared" si="101"/>
        <v>13.910142026231654</v>
      </c>
      <c r="H1772" s="10">
        <f t="shared" si="102"/>
        <v>13.814649060376516</v>
      </c>
      <c r="K1772" s="11">
        <f>_xlfn.XLOOKUP(F1772,Ref!$B$3:$B$12,Ref!$C$3:$C$12,"",1)</f>
        <v>1</v>
      </c>
      <c r="L1772" s="11">
        <f>_xlfn.XLOOKUP(G1772,Ref!$B$3:$B$12,Ref!$C$3:$C$12,"",1)</f>
        <v>1</v>
      </c>
      <c r="M1772" s="11">
        <f>_xlfn.XLOOKUP(H1772,Ref!$B$3:$B$12,Ref!$C$3:$C$12,"",1)</f>
        <v>1</v>
      </c>
    </row>
    <row r="1773" spans="2:13" x14ac:dyDescent="0.25">
      <c r="B1773" s="15" t="s">
        <v>44</v>
      </c>
      <c r="C1773" s="9">
        <v>33.6</v>
      </c>
      <c r="D1773" s="9">
        <v>34.1</v>
      </c>
      <c r="E1773" s="10">
        <v>34.1</v>
      </c>
      <c r="F1773" s="9">
        <f t="shared" si="103"/>
        <v>10.695212175775367</v>
      </c>
      <c r="G1773" s="9">
        <f t="shared" si="101"/>
        <v>10.854367118867263</v>
      </c>
      <c r="H1773" s="10">
        <f t="shared" si="102"/>
        <v>10.854367118867263</v>
      </c>
      <c r="K1773" s="11">
        <f>_xlfn.XLOOKUP(F1773,Ref!$B$3:$B$12,Ref!$C$3:$C$12,"",1)</f>
        <v>1</v>
      </c>
      <c r="L1773" s="11">
        <f>_xlfn.XLOOKUP(G1773,Ref!$B$3:$B$12,Ref!$C$3:$C$12,"",1)</f>
        <v>1</v>
      </c>
      <c r="M1773" s="11">
        <f>_xlfn.XLOOKUP(H1773,Ref!$B$3:$B$12,Ref!$C$3:$C$12,"",1)</f>
        <v>1</v>
      </c>
    </row>
    <row r="1774" spans="2:13" x14ac:dyDescent="0.25">
      <c r="B1774" s="15" t="s">
        <v>8</v>
      </c>
      <c r="C1774" s="9">
        <v>49.9</v>
      </c>
      <c r="D1774" s="9">
        <v>49.9</v>
      </c>
      <c r="E1774" s="10">
        <v>49.7</v>
      </c>
      <c r="F1774" s="9">
        <f t="shared" si="103"/>
        <v>15.883663320571154</v>
      </c>
      <c r="G1774" s="9">
        <f t="shared" si="101"/>
        <v>15.883663320571154</v>
      </c>
      <c r="H1774" s="10">
        <f t="shared" si="102"/>
        <v>15.820001343334399</v>
      </c>
      <c r="K1774" s="11">
        <f>_xlfn.XLOOKUP(F1774,Ref!$B$3:$B$12,Ref!$C$3:$C$12,"",1)</f>
        <v>1</v>
      </c>
      <c r="L1774" s="11">
        <f>_xlfn.XLOOKUP(G1774,Ref!$B$3:$B$12,Ref!$C$3:$C$12,"",1)</f>
        <v>1</v>
      </c>
      <c r="M1774" s="11">
        <f>_xlfn.XLOOKUP(H1774,Ref!$B$3:$B$12,Ref!$C$3:$C$12,"",1)</f>
        <v>1</v>
      </c>
    </row>
    <row r="1775" spans="2:13" x14ac:dyDescent="0.25">
      <c r="B1775" s="15" t="s">
        <v>12</v>
      </c>
      <c r="C1775" s="9">
        <v>32.799999999999997</v>
      </c>
      <c r="D1775" s="9">
        <v>34.200000000000003</v>
      </c>
      <c r="E1775" s="10">
        <v>35.4</v>
      </c>
      <c r="F1775" s="9">
        <f t="shared" si="103"/>
        <v>10.440564266828334</v>
      </c>
      <c r="G1775" s="9">
        <f t="shared" si="101"/>
        <v>10.886198107485642</v>
      </c>
      <c r="H1775" s="10">
        <f t="shared" si="102"/>
        <v>11.26816997090619</v>
      </c>
      <c r="K1775" s="11">
        <f>_xlfn.XLOOKUP(F1775,Ref!$B$3:$B$12,Ref!$C$3:$C$12,"",1)</f>
        <v>1</v>
      </c>
      <c r="L1775" s="11">
        <f>_xlfn.XLOOKUP(G1775,Ref!$B$3:$B$12,Ref!$C$3:$C$12,"",1)</f>
        <v>1</v>
      </c>
      <c r="M1775" s="11">
        <f>_xlfn.XLOOKUP(H1775,Ref!$B$3:$B$12,Ref!$C$3:$C$12,"",1)</f>
        <v>1</v>
      </c>
    </row>
    <row r="1776" spans="2:13" x14ac:dyDescent="0.25">
      <c r="B1776" s="15" t="s">
        <v>75</v>
      </c>
      <c r="C1776" s="9">
        <v>66.099999999999994</v>
      </c>
      <c r="D1776" s="9">
        <v>64.2</v>
      </c>
      <c r="E1776" s="10">
        <v>0</v>
      </c>
      <c r="F1776" s="9">
        <f t="shared" si="103"/>
        <v>21.040283476748563</v>
      </c>
      <c r="G1776" s="9">
        <f t="shared" si="101"/>
        <v>20.435494692999363</v>
      </c>
      <c r="H1776" s="10">
        <f t="shared" si="102"/>
        <v>0</v>
      </c>
      <c r="K1776" s="11">
        <f>_xlfn.XLOOKUP(F1776,Ref!$B$3:$B$12,Ref!$C$3:$C$12,"",1)</f>
        <v>2</v>
      </c>
      <c r="L1776" s="11">
        <f>_xlfn.XLOOKUP(G1776,Ref!$B$3:$B$12,Ref!$C$3:$C$12,"",1)</f>
        <v>2</v>
      </c>
      <c r="M1776" s="11" t="str">
        <f>_xlfn.XLOOKUP(H1776,Ref!$B$3:$B$12,Ref!$C$3:$C$12,"",1)</f>
        <v>Morta</v>
      </c>
    </row>
    <row r="1777" spans="2:13" x14ac:dyDescent="0.25">
      <c r="B1777" s="15" t="s">
        <v>12</v>
      </c>
      <c r="C1777" s="9">
        <v>31.6</v>
      </c>
      <c r="D1777" s="9">
        <v>31.6</v>
      </c>
      <c r="E1777" s="10">
        <v>32</v>
      </c>
      <c r="F1777" s="9">
        <f t="shared" si="103"/>
        <v>10.058592403407786</v>
      </c>
      <c r="G1777" s="9">
        <f t="shared" si="101"/>
        <v>10.058592403407786</v>
      </c>
      <c r="H1777" s="10">
        <f t="shared" si="102"/>
        <v>10.185916357881302</v>
      </c>
      <c r="K1777" s="11">
        <f>_xlfn.XLOOKUP(F1777,Ref!$B$3:$B$12,Ref!$C$3:$C$12,"",1)</f>
        <v>1</v>
      </c>
      <c r="L1777" s="11">
        <f>_xlfn.XLOOKUP(G1777,Ref!$B$3:$B$12,Ref!$C$3:$C$12,"",1)</f>
        <v>1</v>
      </c>
      <c r="M1777" s="11">
        <f>_xlfn.XLOOKUP(H1777,Ref!$B$3:$B$12,Ref!$C$3:$C$12,"",1)</f>
        <v>1</v>
      </c>
    </row>
    <row r="1778" spans="2:13" x14ac:dyDescent="0.25">
      <c r="B1778" s="15" t="s">
        <v>65</v>
      </c>
      <c r="C1778" s="9">
        <v>49.9</v>
      </c>
      <c r="D1778" s="9">
        <v>50.2</v>
      </c>
      <c r="E1778" s="10">
        <v>51.2</v>
      </c>
      <c r="F1778" s="9">
        <f t="shared" si="103"/>
        <v>15.883663320571154</v>
      </c>
      <c r="G1778" s="9">
        <f t="shared" si="101"/>
        <v>15.979156286426294</v>
      </c>
      <c r="H1778" s="10">
        <f t="shared" si="102"/>
        <v>16.297466172610083</v>
      </c>
      <c r="K1778" s="11">
        <f>_xlfn.XLOOKUP(F1778,Ref!$B$3:$B$12,Ref!$C$3:$C$12,"",1)</f>
        <v>1</v>
      </c>
      <c r="L1778" s="11">
        <f>_xlfn.XLOOKUP(G1778,Ref!$B$3:$B$12,Ref!$C$3:$C$12,"",1)</f>
        <v>1</v>
      </c>
      <c r="M1778" s="11">
        <f>_xlfn.XLOOKUP(H1778,Ref!$B$3:$B$12,Ref!$C$3:$C$12,"",1)</f>
        <v>1</v>
      </c>
    </row>
    <row r="1779" spans="2:13" x14ac:dyDescent="0.25">
      <c r="B1779" s="15" t="s">
        <v>75</v>
      </c>
      <c r="C1779" s="9">
        <v>57.3</v>
      </c>
      <c r="D1779" s="9">
        <v>56.3</v>
      </c>
      <c r="E1779" s="10">
        <v>0</v>
      </c>
      <c r="F1779" s="9">
        <f t="shared" si="103"/>
        <v>18.239156478331207</v>
      </c>
      <c r="G1779" s="9">
        <f t="shared" si="101"/>
        <v>17.920846592147413</v>
      </c>
      <c r="H1779" s="10">
        <f t="shared" si="102"/>
        <v>0</v>
      </c>
      <c r="K1779" s="11">
        <f>_xlfn.XLOOKUP(F1779,Ref!$B$3:$B$12,Ref!$C$3:$C$12,"",1)</f>
        <v>1</v>
      </c>
      <c r="L1779" s="11">
        <f>_xlfn.XLOOKUP(G1779,Ref!$B$3:$B$12,Ref!$C$3:$C$12,"",1)</f>
        <v>1</v>
      </c>
      <c r="M1779" s="11" t="str">
        <f>_xlfn.XLOOKUP(H1779,Ref!$B$3:$B$12,Ref!$C$3:$C$12,"",1)</f>
        <v>Morta</v>
      </c>
    </row>
    <row r="1780" spans="2:13" x14ac:dyDescent="0.25">
      <c r="B1780" s="15" t="s">
        <v>10</v>
      </c>
      <c r="C1780" s="9">
        <v>102.8</v>
      </c>
      <c r="D1780" s="9">
        <v>103.9</v>
      </c>
      <c r="E1780" s="10">
        <v>104.4</v>
      </c>
      <c r="F1780" s="9">
        <f t="shared" si="103"/>
        <v>32.722256299693683</v>
      </c>
      <c r="G1780" s="9">
        <f t="shared" si="101"/>
        <v>33.072397174495855</v>
      </c>
      <c r="H1780" s="10">
        <f t="shared" si="102"/>
        <v>33.231552117587746</v>
      </c>
      <c r="K1780" s="11">
        <f>_xlfn.XLOOKUP(F1780,Ref!$B$3:$B$12,Ref!$C$3:$C$12,"",1)</f>
        <v>3</v>
      </c>
      <c r="L1780" s="11">
        <f>_xlfn.XLOOKUP(G1780,Ref!$B$3:$B$12,Ref!$C$3:$C$12,"",1)</f>
        <v>3</v>
      </c>
      <c r="M1780" s="11">
        <f>_xlfn.XLOOKUP(H1780,Ref!$B$3:$B$12,Ref!$C$3:$C$12,"",1)</f>
        <v>3</v>
      </c>
    </row>
    <row r="1781" spans="2:13" x14ac:dyDescent="0.25">
      <c r="B1781" s="15" t="s">
        <v>32</v>
      </c>
      <c r="C1781" s="9">
        <v>31.6</v>
      </c>
      <c r="D1781" s="9">
        <v>31.6</v>
      </c>
      <c r="E1781" s="10">
        <v>32.299999999999997</v>
      </c>
      <c r="F1781" s="9">
        <f t="shared" si="103"/>
        <v>10.058592403407786</v>
      </c>
      <c r="G1781" s="9">
        <f t="shared" si="101"/>
        <v>10.058592403407786</v>
      </c>
      <c r="H1781" s="10">
        <f t="shared" si="102"/>
        <v>10.281409323736439</v>
      </c>
      <c r="K1781" s="11">
        <f>_xlfn.XLOOKUP(F1781,Ref!$B$3:$B$12,Ref!$C$3:$C$12,"",1)</f>
        <v>1</v>
      </c>
      <c r="L1781" s="11">
        <f>_xlfn.XLOOKUP(G1781,Ref!$B$3:$B$12,Ref!$C$3:$C$12,"",1)</f>
        <v>1</v>
      </c>
      <c r="M1781" s="11">
        <f>_xlfn.XLOOKUP(H1781,Ref!$B$3:$B$12,Ref!$C$3:$C$12,"",1)</f>
        <v>1</v>
      </c>
    </row>
    <row r="1782" spans="2:13" x14ac:dyDescent="0.25">
      <c r="B1782" s="15" t="s">
        <v>33</v>
      </c>
      <c r="C1782" s="9">
        <v>109.9</v>
      </c>
      <c r="D1782" s="9">
        <v>109.9</v>
      </c>
      <c r="E1782" s="10">
        <v>109.7</v>
      </c>
      <c r="F1782" s="9">
        <f t="shared" si="103"/>
        <v>34.982256491598598</v>
      </c>
      <c r="G1782" s="9">
        <f t="shared" si="101"/>
        <v>34.982256491598598</v>
      </c>
      <c r="H1782" s="10">
        <f t="shared" si="102"/>
        <v>34.918594514361835</v>
      </c>
      <c r="K1782" s="11">
        <f>_xlfn.XLOOKUP(F1782,Ref!$B$3:$B$12,Ref!$C$3:$C$12,"",1)</f>
        <v>3</v>
      </c>
      <c r="L1782" s="11">
        <f>_xlfn.XLOOKUP(G1782,Ref!$B$3:$B$12,Ref!$C$3:$C$12,"",1)</f>
        <v>3</v>
      </c>
      <c r="M1782" s="11">
        <f>_xlfn.XLOOKUP(H1782,Ref!$B$3:$B$12,Ref!$C$3:$C$12,"",1)</f>
        <v>3</v>
      </c>
    </row>
    <row r="1783" spans="2:13" x14ac:dyDescent="0.25">
      <c r="B1783" s="15" t="s">
        <v>12</v>
      </c>
      <c r="C1783" s="9">
        <v>44.8</v>
      </c>
      <c r="D1783" s="9">
        <v>45.2</v>
      </c>
      <c r="E1783" s="10">
        <v>45</v>
      </c>
      <c r="F1783" s="9">
        <f t="shared" si="103"/>
        <v>14.260282901033822</v>
      </c>
      <c r="G1783" s="9">
        <f t="shared" si="101"/>
        <v>14.38760685550734</v>
      </c>
      <c r="H1783" s="10">
        <f t="shared" si="102"/>
        <v>14.323944878270581</v>
      </c>
      <c r="K1783" s="11">
        <f>_xlfn.XLOOKUP(F1783,Ref!$B$3:$B$12,Ref!$C$3:$C$12,"",1)</f>
        <v>1</v>
      </c>
      <c r="L1783" s="11">
        <f>_xlfn.XLOOKUP(G1783,Ref!$B$3:$B$12,Ref!$C$3:$C$12,"",1)</f>
        <v>1</v>
      </c>
      <c r="M1783" s="11">
        <f>_xlfn.XLOOKUP(H1783,Ref!$B$3:$B$12,Ref!$C$3:$C$12,"",1)</f>
        <v>1</v>
      </c>
    </row>
    <row r="1784" spans="2:13" x14ac:dyDescent="0.25">
      <c r="B1784" s="15" t="s">
        <v>12</v>
      </c>
      <c r="C1784" s="9">
        <v>31.9</v>
      </c>
      <c r="D1784" s="9">
        <v>31.9</v>
      </c>
      <c r="E1784" s="10">
        <v>31.9</v>
      </c>
      <c r="F1784" s="9">
        <f t="shared" si="103"/>
        <v>10.154085369262923</v>
      </c>
      <c r="G1784" s="9">
        <f t="shared" si="101"/>
        <v>10.154085369262923</v>
      </c>
      <c r="H1784" s="10">
        <f t="shared" si="102"/>
        <v>10.154085369262923</v>
      </c>
      <c r="K1784" s="11">
        <f>_xlfn.XLOOKUP(F1784,Ref!$B$3:$B$12,Ref!$C$3:$C$12,"",1)</f>
        <v>1</v>
      </c>
      <c r="L1784" s="11">
        <f>_xlfn.XLOOKUP(G1784,Ref!$B$3:$B$12,Ref!$C$3:$C$12,"",1)</f>
        <v>1</v>
      </c>
      <c r="M1784" s="11">
        <f>_xlfn.XLOOKUP(H1784,Ref!$B$3:$B$12,Ref!$C$3:$C$12,"",1)</f>
        <v>1</v>
      </c>
    </row>
    <row r="1785" spans="2:13" x14ac:dyDescent="0.25">
      <c r="B1785" s="15" t="s">
        <v>75</v>
      </c>
      <c r="C1785" s="9">
        <v>76.099999999999994</v>
      </c>
      <c r="D1785" s="9">
        <v>74.599999999999994</v>
      </c>
      <c r="E1785" s="10">
        <v>73.5</v>
      </c>
      <c r="F1785" s="9">
        <f t="shared" si="103"/>
        <v>24.223382338586468</v>
      </c>
      <c r="G1785" s="9">
        <f t="shared" ref="G1785:G1846" si="104">IF(D1785="", "", D1785/PI())</f>
        <v>23.745917509310782</v>
      </c>
      <c r="H1785" s="10">
        <f t="shared" ref="H1785:H1846" si="105">IF(E1785="", "", E1785/PI())</f>
        <v>23.395776634508614</v>
      </c>
      <c r="K1785" s="11">
        <f>_xlfn.XLOOKUP(F1785,Ref!$B$3:$B$12,Ref!$C$3:$C$12,"",1)</f>
        <v>2</v>
      </c>
      <c r="L1785" s="11">
        <f>_xlfn.XLOOKUP(G1785,Ref!$B$3:$B$12,Ref!$C$3:$C$12,"",1)</f>
        <v>2</v>
      </c>
      <c r="M1785" s="11">
        <f>_xlfn.XLOOKUP(H1785,Ref!$B$3:$B$12,Ref!$C$3:$C$12,"",1)</f>
        <v>2</v>
      </c>
    </row>
    <row r="1786" spans="2:13" x14ac:dyDescent="0.25">
      <c r="B1786" s="15" t="s">
        <v>26</v>
      </c>
      <c r="C1786" s="9">
        <v>132.6</v>
      </c>
      <c r="D1786" s="9">
        <v>139.30000000000001</v>
      </c>
      <c r="E1786" s="10">
        <v>146</v>
      </c>
      <c r="F1786" s="9">
        <f t="shared" si="103"/>
        <v>42.207890907970643</v>
      </c>
      <c r="G1786" s="9">
        <f t="shared" si="104"/>
        <v>44.340567145402048</v>
      </c>
      <c r="H1786" s="10">
        <f t="shared" si="105"/>
        <v>46.473243382833438</v>
      </c>
      <c r="K1786" s="11">
        <f>_xlfn.XLOOKUP(F1786,Ref!$B$3:$B$12,Ref!$C$3:$C$12,"",1)</f>
        <v>4</v>
      </c>
      <c r="L1786" s="11">
        <f>_xlfn.XLOOKUP(G1786,Ref!$B$3:$B$12,Ref!$C$3:$C$12,"",1)</f>
        <v>4</v>
      </c>
      <c r="M1786" s="11">
        <f>_xlfn.XLOOKUP(H1786,Ref!$B$3:$B$12,Ref!$C$3:$C$12,"",1)</f>
        <v>4</v>
      </c>
    </row>
    <row r="1787" spans="2:13" x14ac:dyDescent="0.25">
      <c r="B1787" s="15" t="s">
        <v>26</v>
      </c>
      <c r="C1787" s="9">
        <v>101.3</v>
      </c>
      <c r="D1787" s="9">
        <v>101.5</v>
      </c>
      <c r="E1787" s="10">
        <v>101.5</v>
      </c>
      <c r="F1787" s="9">
        <f t="shared" si="103"/>
        <v>32.244791470417994</v>
      </c>
      <c r="G1787" s="9">
        <f t="shared" si="104"/>
        <v>32.308453447654756</v>
      </c>
      <c r="H1787" s="10">
        <f t="shared" si="105"/>
        <v>32.308453447654756</v>
      </c>
      <c r="K1787" s="11">
        <f>_xlfn.XLOOKUP(F1787,Ref!$B$3:$B$12,Ref!$C$3:$C$12,"",1)</f>
        <v>3</v>
      </c>
      <c r="L1787" s="11">
        <f>_xlfn.XLOOKUP(G1787,Ref!$B$3:$B$12,Ref!$C$3:$C$12,"",1)</f>
        <v>3</v>
      </c>
      <c r="M1787" s="11">
        <f>_xlfn.XLOOKUP(H1787,Ref!$B$3:$B$12,Ref!$C$3:$C$12,"",1)</f>
        <v>3</v>
      </c>
    </row>
    <row r="1788" spans="2:13" x14ac:dyDescent="0.25">
      <c r="B1788" s="15" t="s">
        <v>12</v>
      </c>
      <c r="C1788" s="9">
        <v>32.799999999999997</v>
      </c>
      <c r="D1788" s="9">
        <v>35</v>
      </c>
      <c r="E1788" s="10">
        <v>37</v>
      </c>
      <c r="F1788" s="9">
        <f t="shared" si="103"/>
        <v>10.440564266828334</v>
      </c>
      <c r="G1788" s="9">
        <f t="shared" si="104"/>
        <v>11.140846016432674</v>
      </c>
      <c r="H1788" s="10">
        <f t="shared" si="105"/>
        <v>11.777465788800255</v>
      </c>
      <c r="K1788" s="11">
        <f>_xlfn.XLOOKUP(F1788,Ref!$B$3:$B$12,Ref!$C$3:$C$12,"",1)</f>
        <v>1</v>
      </c>
      <c r="L1788" s="11">
        <f>_xlfn.XLOOKUP(G1788,Ref!$B$3:$B$12,Ref!$C$3:$C$12,"",1)</f>
        <v>1</v>
      </c>
      <c r="M1788" s="11">
        <f>_xlfn.XLOOKUP(H1788,Ref!$B$3:$B$12,Ref!$C$3:$C$12,"",1)</f>
        <v>1</v>
      </c>
    </row>
    <row r="1789" spans="2:13" x14ac:dyDescent="0.25">
      <c r="B1789" s="15" t="s">
        <v>25</v>
      </c>
      <c r="C1789" s="9">
        <v>55.5</v>
      </c>
      <c r="D1789" s="9">
        <v>58.3</v>
      </c>
      <c r="E1789" s="10">
        <v>59.5</v>
      </c>
      <c r="F1789" s="9">
        <f t="shared" si="103"/>
        <v>17.666198683200381</v>
      </c>
      <c r="G1789" s="9">
        <f t="shared" si="104"/>
        <v>18.557466364514998</v>
      </c>
      <c r="H1789" s="10">
        <f t="shared" si="105"/>
        <v>18.939438227935547</v>
      </c>
      <c r="K1789" s="11">
        <f>_xlfn.XLOOKUP(F1789,Ref!$B$3:$B$12,Ref!$C$3:$C$12,"",1)</f>
        <v>1</v>
      </c>
      <c r="L1789" s="11">
        <f>_xlfn.XLOOKUP(G1789,Ref!$B$3:$B$12,Ref!$C$3:$C$12,"",1)</f>
        <v>1</v>
      </c>
      <c r="M1789" s="11">
        <f>_xlfn.XLOOKUP(H1789,Ref!$B$3:$B$12,Ref!$C$3:$C$12,"",1)</f>
        <v>1</v>
      </c>
    </row>
    <row r="1790" spans="2:13" x14ac:dyDescent="0.25">
      <c r="B1790" s="15" t="s">
        <v>63</v>
      </c>
      <c r="C1790" s="9">
        <v>90.7</v>
      </c>
      <c r="D1790" s="9">
        <v>91.6</v>
      </c>
      <c r="E1790" s="10">
        <v>92.5</v>
      </c>
      <c r="F1790" s="9">
        <f t="shared" si="103"/>
        <v>28.870706676869816</v>
      </c>
      <c r="G1790" s="9">
        <f t="shared" si="104"/>
        <v>29.157185574435225</v>
      </c>
      <c r="H1790" s="10">
        <f t="shared" si="105"/>
        <v>29.443664472000638</v>
      </c>
      <c r="K1790" s="11">
        <f>_xlfn.XLOOKUP(F1790,Ref!$B$3:$B$12,Ref!$C$3:$C$12,"",1)</f>
        <v>2</v>
      </c>
      <c r="L1790" s="11">
        <f>_xlfn.XLOOKUP(G1790,Ref!$B$3:$B$12,Ref!$C$3:$C$12,"",1)</f>
        <v>2</v>
      </c>
      <c r="M1790" s="11">
        <f>_xlfn.XLOOKUP(H1790,Ref!$B$3:$B$12,Ref!$C$3:$C$12,"",1)</f>
        <v>2</v>
      </c>
    </row>
    <row r="1791" spans="2:13" x14ac:dyDescent="0.25">
      <c r="B1791" s="15" t="s">
        <v>12</v>
      </c>
      <c r="C1791" s="9">
        <v>31.5</v>
      </c>
      <c r="D1791" s="9">
        <v>34.5</v>
      </c>
      <c r="E1791" s="10">
        <v>37.200000000000003</v>
      </c>
      <c r="F1791" s="9">
        <f t="shared" si="103"/>
        <v>10.026761414789407</v>
      </c>
      <c r="G1791" s="9">
        <f t="shared" si="104"/>
        <v>10.981691073340778</v>
      </c>
      <c r="H1791" s="10">
        <f t="shared" si="105"/>
        <v>11.841127766037014</v>
      </c>
      <c r="K1791" s="11">
        <f>_xlfn.XLOOKUP(F1791,Ref!$B$3:$B$12,Ref!$C$3:$C$12,"",1)</f>
        <v>1</v>
      </c>
      <c r="L1791" s="11">
        <f>_xlfn.XLOOKUP(G1791,Ref!$B$3:$B$12,Ref!$C$3:$C$12,"",1)</f>
        <v>1</v>
      </c>
      <c r="M1791" s="11">
        <f>_xlfn.XLOOKUP(H1791,Ref!$B$3:$B$12,Ref!$C$3:$C$12,"",1)</f>
        <v>1</v>
      </c>
    </row>
    <row r="1792" spans="2:13" x14ac:dyDescent="0.25">
      <c r="B1792" s="15" t="s">
        <v>25</v>
      </c>
      <c r="C1792" s="9">
        <v>34.299999999999997</v>
      </c>
      <c r="D1792" s="9">
        <v>35.1</v>
      </c>
      <c r="E1792" s="10">
        <v>35.299999999999997</v>
      </c>
      <c r="F1792" s="9">
        <f t="shared" si="103"/>
        <v>10.91802909610402</v>
      </c>
      <c r="G1792" s="9">
        <f t="shared" si="104"/>
        <v>11.172677005051053</v>
      </c>
      <c r="H1792" s="10">
        <f t="shared" si="105"/>
        <v>11.23633898228781</v>
      </c>
      <c r="K1792" s="11">
        <f>_xlfn.XLOOKUP(F1792,Ref!$B$3:$B$12,Ref!$C$3:$C$12,"",1)</f>
        <v>1</v>
      </c>
      <c r="L1792" s="11">
        <f>_xlfn.XLOOKUP(G1792,Ref!$B$3:$B$12,Ref!$C$3:$C$12,"",1)</f>
        <v>1</v>
      </c>
      <c r="M1792" s="11">
        <f>_xlfn.XLOOKUP(H1792,Ref!$B$3:$B$12,Ref!$C$3:$C$12,"",1)</f>
        <v>1</v>
      </c>
    </row>
    <row r="1793" spans="2:13" x14ac:dyDescent="0.25">
      <c r="B1793" s="15" t="s">
        <v>57</v>
      </c>
      <c r="C1793" s="9">
        <v>37.9</v>
      </c>
      <c r="D1793" s="9">
        <v>45.4</v>
      </c>
      <c r="E1793" s="10">
        <v>53.6</v>
      </c>
      <c r="F1793" s="9">
        <f t="shared" si="103"/>
        <v>12.063944686365666</v>
      </c>
      <c r="G1793" s="9">
        <f t="shared" si="104"/>
        <v>14.451268832744097</v>
      </c>
      <c r="H1793" s="10">
        <f t="shared" si="105"/>
        <v>17.061409899451181</v>
      </c>
      <c r="K1793" s="11">
        <f>_xlfn.XLOOKUP(F1793,Ref!$B$3:$B$12,Ref!$C$3:$C$12,"",1)</f>
        <v>1</v>
      </c>
      <c r="L1793" s="11">
        <f>_xlfn.XLOOKUP(G1793,Ref!$B$3:$B$12,Ref!$C$3:$C$12,"",1)</f>
        <v>1</v>
      </c>
      <c r="M1793" s="11">
        <f>_xlfn.XLOOKUP(H1793,Ref!$B$3:$B$12,Ref!$C$3:$C$12,"",1)</f>
        <v>1</v>
      </c>
    </row>
    <row r="1794" spans="2:13" x14ac:dyDescent="0.25">
      <c r="B1794" s="15" t="s">
        <v>57</v>
      </c>
      <c r="C1794" s="9">
        <v>31.7</v>
      </c>
      <c r="D1794" s="9">
        <v>33.700000000000003</v>
      </c>
      <c r="E1794" s="10">
        <v>36.4</v>
      </c>
      <c r="F1794" s="9">
        <f t="shared" si="103"/>
        <v>10.090423392026164</v>
      </c>
      <c r="G1794" s="9">
        <f t="shared" si="104"/>
        <v>10.727043164393747</v>
      </c>
      <c r="H1794" s="10">
        <f t="shared" si="105"/>
        <v>11.58647985708998</v>
      </c>
      <c r="K1794" s="11">
        <f>_xlfn.XLOOKUP(F1794,Ref!$B$3:$B$12,Ref!$C$3:$C$12,"",1)</f>
        <v>1</v>
      </c>
      <c r="L1794" s="11">
        <f>_xlfn.XLOOKUP(G1794,Ref!$B$3:$B$12,Ref!$C$3:$C$12,"",1)</f>
        <v>1</v>
      </c>
      <c r="M1794" s="11">
        <f>_xlfn.XLOOKUP(H1794,Ref!$B$3:$B$12,Ref!$C$3:$C$12,"",1)</f>
        <v>1</v>
      </c>
    </row>
    <row r="1795" spans="2:13" x14ac:dyDescent="0.25">
      <c r="B1795" s="15" t="s">
        <v>12</v>
      </c>
      <c r="C1795" s="9">
        <v>36</v>
      </c>
      <c r="D1795" s="9">
        <v>40.6</v>
      </c>
      <c r="E1795" s="10">
        <v>43.9</v>
      </c>
      <c r="F1795" s="9">
        <f t="shared" si="103"/>
        <v>11.459155902616464</v>
      </c>
      <c r="G1795" s="9">
        <f t="shared" si="104"/>
        <v>12.923381379061903</v>
      </c>
      <c r="H1795" s="10">
        <f t="shared" si="105"/>
        <v>13.973804003468411</v>
      </c>
      <c r="K1795" s="11">
        <f>_xlfn.XLOOKUP(F1795,Ref!$B$3:$B$12,Ref!$C$3:$C$12,"",1)</f>
        <v>1</v>
      </c>
      <c r="L1795" s="11">
        <f>_xlfn.XLOOKUP(G1795,Ref!$B$3:$B$12,Ref!$C$3:$C$12,"",1)</f>
        <v>1</v>
      </c>
      <c r="M1795" s="11">
        <f>_xlfn.XLOOKUP(H1795,Ref!$B$3:$B$12,Ref!$C$3:$C$12,"",1)</f>
        <v>1</v>
      </c>
    </row>
    <row r="1796" spans="2:13" x14ac:dyDescent="0.25">
      <c r="B1796" s="15" t="s">
        <v>80</v>
      </c>
      <c r="C1796" s="9">
        <v>49.6</v>
      </c>
      <c r="D1796" s="9">
        <v>0</v>
      </c>
      <c r="E1796" s="10">
        <v>0</v>
      </c>
      <c r="F1796" s="9">
        <f t="shared" si="103"/>
        <v>15.788170354716019</v>
      </c>
      <c r="G1796" s="9">
        <f t="shared" si="104"/>
        <v>0</v>
      </c>
      <c r="H1796" s="10">
        <f t="shared" si="105"/>
        <v>0</v>
      </c>
      <c r="K1796" s="11">
        <f>_xlfn.XLOOKUP(F1796,Ref!$B$3:$B$12,Ref!$C$3:$C$12,"",1)</f>
        <v>1</v>
      </c>
      <c r="L1796" s="11" t="str">
        <f>_xlfn.XLOOKUP(G1796,Ref!$B$3:$B$12,Ref!$C$3:$C$12,"",1)</f>
        <v>Morta</v>
      </c>
      <c r="M1796" s="11" t="str">
        <f>_xlfn.XLOOKUP(H1796,Ref!$B$3:$B$12,Ref!$C$3:$C$12,"",1)</f>
        <v>Morta</v>
      </c>
    </row>
    <row r="1797" spans="2:13" x14ac:dyDescent="0.25">
      <c r="B1797" s="15" t="s">
        <v>75</v>
      </c>
      <c r="C1797" s="9">
        <v>61.9</v>
      </c>
      <c r="D1797" s="9">
        <v>60.8</v>
      </c>
      <c r="E1797" s="10">
        <v>0</v>
      </c>
      <c r="F1797" s="9">
        <f t="shared" si="103"/>
        <v>19.703381954776642</v>
      </c>
      <c r="G1797" s="9">
        <f t="shared" si="104"/>
        <v>19.353241079974474</v>
      </c>
      <c r="H1797" s="10">
        <f t="shared" si="105"/>
        <v>0</v>
      </c>
      <c r="K1797" s="11">
        <f>_xlfn.XLOOKUP(F1797,Ref!$B$3:$B$12,Ref!$C$3:$C$12,"",1)</f>
        <v>1</v>
      </c>
      <c r="L1797" s="11">
        <f>_xlfn.XLOOKUP(G1797,Ref!$B$3:$B$12,Ref!$C$3:$C$12,"",1)</f>
        <v>1</v>
      </c>
      <c r="M1797" s="11" t="str">
        <f>_xlfn.XLOOKUP(H1797,Ref!$B$3:$B$12,Ref!$C$3:$C$12,"",1)</f>
        <v>Morta</v>
      </c>
    </row>
    <row r="1798" spans="2:13" x14ac:dyDescent="0.25">
      <c r="B1798" s="15" t="s">
        <v>75</v>
      </c>
      <c r="C1798" s="9">
        <v>77.400000000000006</v>
      </c>
      <c r="D1798" s="9">
        <v>82.9</v>
      </c>
      <c r="E1798" s="10">
        <v>84</v>
      </c>
      <c r="F1798" s="9">
        <f t="shared" ref="F1798:F1850" si="106">IF(C1798="", "", C1798/PI())</f>
        <v>24.637185190625402</v>
      </c>
      <c r="G1798" s="9">
        <f t="shared" si="104"/>
        <v>26.38788956463625</v>
      </c>
      <c r="H1798" s="10">
        <f t="shared" si="105"/>
        <v>26.738030439438418</v>
      </c>
      <c r="K1798" s="11">
        <f>_xlfn.XLOOKUP(F1798,Ref!$B$3:$B$12,Ref!$C$3:$C$12,"",1)</f>
        <v>2</v>
      </c>
      <c r="L1798" s="11">
        <f>_xlfn.XLOOKUP(G1798,Ref!$B$3:$B$12,Ref!$C$3:$C$12,"",1)</f>
        <v>2</v>
      </c>
      <c r="M1798" s="11">
        <f>_xlfn.XLOOKUP(H1798,Ref!$B$3:$B$12,Ref!$C$3:$C$12,"",1)</f>
        <v>2</v>
      </c>
    </row>
    <row r="1799" spans="2:13" x14ac:dyDescent="0.25">
      <c r="B1799" s="15" t="s">
        <v>75</v>
      </c>
      <c r="C1799" s="9">
        <v>55.4</v>
      </c>
      <c r="D1799" s="9">
        <v>58.3</v>
      </c>
      <c r="E1799" s="10">
        <v>61.6</v>
      </c>
      <c r="F1799" s="9">
        <f t="shared" si="106"/>
        <v>17.634367694582004</v>
      </c>
      <c r="G1799" s="9">
        <f t="shared" si="104"/>
        <v>18.557466364514998</v>
      </c>
      <c r="H1799" s="10">
        <f t="shared" si="105"/>
        <v>19.607888988921506</v>
      </c>
      <c r="K1799" s="11">
        <f>_xlfn.XLOOKUP(F1799,Ref!$B$3:$B$12,Ref!$C$3:$C$12,"",1)</f>
        <v>1</v>
      </c>
      <c r="L1799" s="11">
        <f>_xlfn.XLOOKUP(G1799,Ref!$B$3:$B$12,Ref!$C$3:$C$12,"",1)</f>
        <v>1</v>
      </c>
      <c r="M1799" s="11">
        <f>_xlfn.XLOOKUP(H1799,Ref!$B$3:$B$12,Ref!$C$3:$C$12,"",1)</f>
        <v>1</v>
      </c>
    </row>
    <row r="1800" spans="2:13" x14ac:dyDescent="0.25">
      <c r="B1800" s="15" t="s">
        <v>75</v>
      </c>
      <c r="C1800" s="9">
        <v>50.2</v>
      </c>
      <c r="D1800" s="9">
        <v>53.8</v>
      </c>
      <c r="E1800" s="10">
        <v>57</v>
      </c>
      <c r="F1800" s="9">
        <f t="shared" si="106"/>
        <v>15.979156286426294</v>
      </c>
      <c r="G1800" s="9">
        <f t="shared" si="104"/>
        <v>17.125071876687937</v>
      </c>
      <c r="H1800" s="10">
        <f t="shared" si="105"/>
        <v>18.143663512476071</v>
      </c>
      <c r="K1800" s="11">
        <f>_xlfn.XLOOKUP(F1800,Ref!$B$3:$B$12,Ref!$C$3:$C$12,"",1)</f>
        <v>1</v>
      </c>
      <c r="L1800" s="11">
        <f>_xlfn.XLOOKUP(G1800,Ref!$B$3:$B$12,Ref!$C$3:$C$12,"",1)</f>
        <v>1</v>
      </c>
      <c r="M1800" s="11">
        <f>_xlfn.XLOOKUP(H1800,Ref!$B$3:$B$12,Ref!$C$3:$C$12,"",1)</f>
        <v>1</v>
      </c>
    </row>
    <row r="1801" spans="2:13" x14ac:dyDescent="0.25">
      <c r="B1801" s="15" t="s">
        <v>80</v>
      </c>
      <c r="C1801" s="9">
        <v>46</v>
      </c>
      <c r="D1801" s="9">
        <v>46</v>
      </c>
      <c r="E1801" s="10">
        <v>46.7</v>
      </c>
      <c r="F1801" s="9">
        <f t="shared" si="106"/>
        <v>14.642254764454371</v>
      </c>
      <c r="G1801" s="9">
        <f t="shared" si="104"/>
        <v>14.642254764454371</v>
      </c>
      <c r="H1801" s="10">
        <f t="shared" si="105"/>
        <v>14.865071684783025</v>
      </c>
      <c r="K1801" s="11">
        <f>_xlfn.XLOOKUP(F1801,Ref!$B$3:$B$12,Ref!$C$3:$C$12,"",1)</f>
        <v>1</v>
      </c>
      <c r="L1801" s="11">
        <f>_xlfn.XLOOKUP(G1801,Ref!$B$3:$B$12,Ref!$C$3:$C$12,"",1)</f>
        <v>1</v>
      </c>
      <c r="M1801" s="11">
        <f>_xlfn.XLOOKUP(H1801,Ref!$B$3:$B$12,Ref!$C$3:$C$12,"",1)</f>
        <v>1</v>
      </c>
    </row>
    <row r="1802" spans="2:13" x14ac:dyDescent="0.25">
      <c r="B1802" s="15" t="s">
        <v>11</v>
      </c>
      <c r="C1802" s="9">
        <v>99.4</v>
      </c>
      <c r="D1802" s="9">
        <v>117.3</v>
      </c>
      <c r="E1802" s="10">
        <v>128.6</v>
      </c>
      <c r="F1802" s="9">
        <f t="shared" si="106"/>
        <v>31.640002686668797</v>
      </c>
      <c r="G1802" s="9">
        <f t="shared" si="104"/>
        <v>37.337749649358649</v>
      </c>
      <c r="H1802" s="10">
        <f t="shared" si="105"/>
        <v>40.934651363235481</v>
      </c>
      <c r="K1802" s="11">
        <f>_xlfn.XLOOKUP(F1802,Ref!$B$3:$B$12,Ref!$C$3:$C$12,"",1)</f>
        <v>3</v>
      </c>
      <c r="L1802" s="11">
        <f>_xlfn.XLOOKUP(G1802,Ref!$B$3:$B$12,Ref!$C$3:$C$12,"",1)</f>
        <v>3</v>
      </c>
      <c r="M1802" s="11">
        <f>_xlfn.XLOOKUP(H1802,Ref!$B$3:$B$12,Ref!$C$3:$C$12,"",1)</f>
        <v>4</v>
      </c>
    </row>
    <row r="1803" spans="2:13" x14ac:dyDescent="0.25">
      <c r="B1803" s="15" t="s">
        <v>75</v>
      </c>
      <c r="C1803" s="9">
        <v>58.2</v>
      </c>
      <c r="D1803" s="9">
        <v>56.7</v>
      </c>
      <c r="E1803" s="10">
        <v>0</v>
      </c>
      <c r="F1803" s="9">
        <f t="shared" si="106"/>
        <v>18.52563537589662</v>
      </c>
      <c r="G1803" s="9">
        <f t="shared" si="104"/>
        <v>18.048170546620934</v>
      </c>
      <c r="H1803" s="10">
        <f t="shared" si="105"/>
        <v>0</v>
      </c>
      <c r="K1803" s="11">
        <f>_xlfn.XLOOKUP(F1803,Ref!$B$3:$B$12,Ref!$C$3:$C$12,"",1)</f>
        <v>1</v>
      </c>
      <c r="L1803" s="11">
        <f>_xlfn.XLOOKUP(G1803,Ref!$B$3:$B$12,Ref!$C$3:$C$12,"",1)</f>
        <v>1</v>
      </c>
      <c r="M1803" s="11" t="str">
        <f>_xlfn.XLOOKUP(H1803,Ref!$B$3:$B$12,Ref!$C$3:$C$12,"",1)</f>
        <v>Morta</v>
      </c>
    </row>
    <row r="1804" spans="2:13" x14ac:dyDescent="0.25">
      <c r="B1804" s="15" t="s">
        <v>7</v>
      </c>
      <c r="C1804" s="9">
        <v>82.1</v>
      </c>
      <c r="D1804" s="9">
        <v>91</v>
      </c>
      <c r="E1804" s="10">
        <v>101.5</v>
      </c>
      <c r="F1804" s="9">
        <f t="shared" si="106"/>
        <v>26.133241655689215</v>
      </c>
      <c r="G1804" s="9">
        <f t="shared" si="104"/>
        <v>28.966199642724952</v>
      </c>
      <c r="H1804" s="10">
        <f t="shared" si="105"/>
        <v>32.308453447654756</v>
      </c>
      <c r="K1804" s="11">
        <f>_xlfn.XLOOKUP(F1804,Ref!$B$3:$B$12,Ref!$C$3:$C$12,"",1)</f>
        <v>2</v>
      </c>
      <c r="L1804" s="11">
        <f>_xlfn.XLOOKUP(G1804,Ref!$B$3:$B$12,Ref!$C$3:$C$12,"",1)</f>
        <v>2</v>
      </c>
      <c r="M1804" s="11">
        <f>_xlfn.XLOOKUP(H1804,Ref!$B$3:$B$12,Ref!$C$3:$C$12,"",1)</f>
        <v>3</v>
      </c>
    </row>
    <row r="1805" spans="2:13" x14ac:dyDescent="0.25">
      <c r="B1805" s="15" t="s">
        <v>41</v>
      </c>
      <c r="C1805" s="9">
        <v>102.8</v>
      </c>
      <c r="D1805" s="9">
        <v>115.3</v>
      </c>
      <c r="E1805" s="10">
        <v>124.6</v>
      </c>
      <c r="F1805" s="9">
        <f t="shared" si="106"/>
        <v>32.722256299693683</v>
      </c>
      <c r="G1805" s="9">
        <f t="shared" si="104"/>
        <v>36.701129876991068</v>
      </c>
      <c r="H1805" s="10">
        <f t="shared" si="105"/>
        <v>39.661411818500319</v>
      </c>
      <c r="K1805" s="11">
        <f>_xlfn.XLOOKUP(F1805,Ref!$B$3:$B$12,Ref!$C$3:$C$12,"",1)</f>
        <v>3</v>
      </c>
      <c r="L1805" s="11">
        <f>_xlfn.XLOOKUP(G1805,Ref!$B$3:$B$12,Ref!$C$3:$C$12,"",1)</f>
        <v>3</v>
      </c>
      <c r="M1805" s="11">
        <f>_xlfn.XLOOKUP(H1805,Ref!$B$3:$B$12,Ref!$C$3:$C$12,"",1)</f>
        <v>3</v>
      </c>
    </row>
    <row r="1806" spans="2:13" x14ac:dyDescent="0.25">
      <c r="B1806" s="15" t="s">
        <v>12</v>
      </c>
      <c r="C1806" s="9"/>
      <c r="D1806" s="9">
        <v>31.5</v>
      </c>
      <c r="E1806" s="10">
        <v>32.700000000000003</v>
      </c>
      <c r="F1806" s="9" t="str">
        <f t="shared" si="106"/>
        <v/>
      </c>
      <c r="G1806" s="9">
        <f t="shared" si="104"/>
        <v>10.026761414789407</v>
      </c>
      <c r="H1806" s="10">
        <f t="shared" si="105"/>
        <v>10.408733278209956</v>
      </c>
      <c r="K1806" s="11" t="str">
        <f>_xlfn.XLOOKUP(F1806,Ref!$B$3:$B$12,Ref!$C$3:$C$12,"",1)</f>
        <v/>
      </c>
      <c r="L1806" s="11">
        <f>_xlfn.XLOOKUP(G1806,Ref!$B$3:$B$12,Ref!$C$3:$C$12,"",1)</f>
        <v>1</v>
      </c>
      <c r="M1806" s="11">
        <f>_xlfn.XLOOKUP(H1806,Ref!$B$3:$B$12,Ref!$C$3:$C$12,"",1)</f>
        <v>1</v>
      </c>
    </row>
    <row r="1807" spans="2:13" x14ac:dyDescent="0.25">
      <c r="B1807" s="15" t="s">
        <v>12</v>
      </c>
      <c r="C1807" s="9"/>
      <c r="D1807" s="9">
        <v>36.5</v>
      </c>
      <c r="E1807" s="10">
        <v>36.5</v>
      </c>
      <c r="F1807" s="9" t="str">
        <f t="shared" si="106"/>
        <v/>
      </c>
      <c r="G1807" s="9">
        <f t="shared" si="104"/>
        <v>11.618310845708359</v>
      </c>
      <c r="H1807" s="10">
        <f t="shared" si="105"/>
        <v>11.618310845708359</v>
      </c>
      <c r="K1807" s="11" t="str">
        <f>_xlfn.XLOOKUP(F1807,Ref!$B$3:$B$12,Ref!$C$3:$C$12,"",1)</f>
        <v/>
      </c>
      <c r="L1807" s="11">
        <f>_xlfn.XLOOKUP(G1807,Ref!$B$3:$B$12,Ref!$C$3:$C$12,"",1)</f>
        <v>1</v>
      </c>
      <c r="M1807" s="11">
        <f>_xlfn.XLOOKUP(H1807,Ref!$B$3:$B$12,Ref!$C$3:$C$12,"",1)</f>
        <v>1</v>
      </c>
    </row>
    <row r="1808" spans="2:13" x14ac:dyDescent="0.25">
      <c r="B1808" s="15" t="s">
        <v>26</v>
      </c>
      <c r="C1808" s="9">
        <v>193.2</v>
      </c>
      <c r="D1808" s="9">
        <v>198</v>
      </c>
      <c r="E1808" s="10">
        <v>206.5</v>
      </c>
      <c r="F1808" s="9">
        <f t="shared" si="106"/>
        <v>61.497470010708355</v>
      </c>
      <c r="G1808" s="9">
        <f t="shared" si="104"/>
        <v>63.025357464390552</v>
      </c>
      <c r="H1808" s="10">
        <f t="shared" si="105"/>
        <v>65.730991496952782</v>
      </c>
      <c r="K1808" s="11">
        <f>_xlfn.XLOOKUP(F1808,Ref!$B$3:$B$12,Ref!$C$3:$C$12,"",1)</f>
        <v>6</v>
      </c>
      <c r="L1808" s="11">
        <f>_xlfn.XLOOKUP(G1808,Ref!$B$3:$B$12,Ref!$C$3:$C$12,"",1)</f>
        <v>6</v>
      </c>
      <c r="M1808" s="11">
        <f>_xlfn.XLOOKUP(H1808,Ref!$B$3:$B$12,Ref!$C$3:$C$12,"",1)</f>
        <v>6</v>
      </c>
    </row>
    <row r="1809" spans="2:13" x14ac:dyDescent="0.25">
      <c r="B1809" s="15" t="s">
        <v>12</v>
      </c>
      <c r="C1809" s="9"/>
      <c r="D1809" s="9"/>
      <c r="E1809" s="10">
        <v>31.6</v>
      </c>
      <c r="F1809" s="9" t="str">
        <f t="shared" si="106"/>
        <v/>
      </c>
      <c r="G1809" s="9" t="str">
        <f t="shared" si="104"/>
        <v/>
      </c>
      <c r="H1809" s="10">
        <f t="shared" si="105"/>
        <v>10.058592403407786</v>
      </c>
      <c r="K1809" s="11" t="str">
        <f>_xlfn.XLOOKUP(F1809,Ref!$B$3:$B$12,Ref!$C$3:$C$12,"",1)</f>
        <v/>
      </c>
      <c r="L1809" s="11" t="str">
        <f>_xlfn.XLOOKUP(G1809,Ref!$B$3:$B$12,Ref!$C$3:$C$12,"",1)</f>
        <v/>
      </c>
      <c r="M1809" s="11">
        <f>_xlfn.XLOOKUP(H1809,Ref!$B$3:$B$12,Ref!$C$3:$C$12,"",1)</f>
        <v>1</v>
      </c>
    </row>
    <row r="1810" spans="2:13" x14ac:dyDescent="0.25">
      <c r="B1810" s="15" t="s">
        <v>8</v>
      </c>
      <c r="C1810" s="9">
        <v>74.900000000000006</v>
      </c>
      <c r="D1810" s="9">
        <v>87.4</v>
      </c>
      <c r="E1810" s="10">
        <v>99.9</v>
      </c>
      <c r="F1810" s="9">
        <f t="shared" si="106"/>
        <v>23.841410475165922</v>
      </c>
      <c r="G1810" s="9">
        <f t="shared" si="104"/>
        <v>27.820284052463307</v>
      </c>
      <c r="H1810" s="10">
        <f t="shared" si="105"/>
        <v>31.799157629760693</v>
      </c>
      <c r="K1810" s="11">
        <f>_xlfn.XLOOKUP(F1810,Ref!$B$3:$B$12,Ref!$C$3:$C$12,"",1)</f>
        <v>2</v>
      </c>
      <c r="L1810" s="11">
        <f>_xlfn.XLOOKUP(G1810,Ref!$B$3:$B$12,Ref!$C$3:$C$12,"",1)</f>
        <v>2</v>
      </c>
      <c r="M1810" s="11">
        <f>_xlfn.XLOOKUP(H1810,Ref!$B$3:$B$12,Ref!$C$3:$C$12,"",1)</f>
        <v>3</v>
      </c>
    </row>
    <row r="1811" spans="2:13" x14ac:dyDescent="0.25">
      <c r="B1811" s="15" t="s">
        <v>80</v>
      </c>
      <c r="C1811" s="9">
        <v>44.8</v>
      </c>
      <c r="D1811" s="9">
        <v>43.4</v>
      </c>
      <c r="E1811" s="10">
        <v>0</v>
      </c>
      <c r="F1811" s="9">
        <f t="shared" si="106"/>
        <v>14.260282901033822</v>
      </c>
      <c r="G1811" s="9">
        <f t="shared" si="104"/>
        <v>13.814649060376516</v>
      </c>
      <c r="H1811" s="10">
        <f t="shared" si="105"/>
        <v>0</v>
      </c>
      <c r="K1811" s="11">
        <f>_xlfn.XLOOKUP(F1811,Ref!$B$3:$B$12,Ref!$C$3:$C$12,"",1)</f>
        <v>1</v>
      </c>
      <c r="L1811" s="11">
        <f>_xlfn.XLOOKUP(G1811,Ref!$B$3:$B$12,Ref!$C$3:$C$12,"",1)</f>
        <v>1</v>
      </c>
      <c r="M1811" s="11" t="str">
        <f>_xlfn.XLOOKUP(H1811,Ref!$B$3:$B$12,Ref!$C$3:$C$12,"",1)</f>
        <v>Morta</v>
      </c>
    </row>
    <row r="1812" spans="2:13" x14ac:dyDescent="0.25">
      <c r="B1812" s="15" t="s">
        <v>37</v>
      </c>
      <c r="C1812" s="9">
        <v>48.8</v>
      </c>
      <c r="D1812" s="9">
        <v>65.099999999999994</v>
      </c>
      <c r="E1812" s="10">
        <v>73.599999999999994</v>
      </c>
      <c r="F1812" s="9">
        <f t="shared" si="106"/>
        <v>15.533522445768984</v>
      </c>
      <c r="G1812" s="9">
        <f t="shared" si="104"/>
        <v>20.721973590564772</v>
      </c>
      <c r="H1812" s="10">
        <f t="shared" si="105"/>
        <v>23.427607623126992</v>
      </c>
      <c r="K1812" s="11">
        <f>_xlfn.XLOOKUP(F1812,Ref!$B$3:$B$12,Ref!$C$3:$C$12,"",1)</f>
        <v>1</v>
      </c>
      <c r="L1812" s="11">
        <f>_xlfn.XLOOKUP(G1812,Ref!$B$3:$B$12,Ref!$C$3:$C$12,"",1)</f>
        <v>2</v>
      </c>
      <c r="M1812" s="11">
        <f>_xlfn.XLOOKUP(H1812,Ref!$B$3:$B$12,Ref!$C$3:$C$12,"",1)</f>
        <v>2</v>
      </c>
    </row>
    <row r="1813" spans="2:13" x14ac:dyDescent="0.25">
      <c r="B1813" s="15" t="s">
        <v>6</v>
      </c>
      <c r="C1813" s="9">
        <v>37.1</v>
      </c>
      <c r="D1813" s="9">
        <v>36.200000000000003</v>
      </c>
      <c r="E1813" s="10">
        <v>0</v>
      </c>
      <c r="F1813" s="9">
        <f t="shared" si="106"/>
        <v>11.809296777418634</v>
      </c>
      <c r="G1813" s="9">
        <f t="shared" si="104"/>
        <v>11.522817879853223</v>
      </c>
      <c r="H1813" s="10">
        <f t="shared" si="105"/>
        <v>0</v>
      </c>
      <c r="K1813" s="11">
        <f>_xlfn.XLOOKUP(F1813,Ref!$B$3:$B$12,Ref!$C$3:$C$12,"",1)</f>
        <v>1</v>
      </c>
      <c r="L1813" s="11">
        <f>_xlfn.XLOOKUP(G1813,Ref!$B$3:$B$12,Ref!$C$3:$C$12,"",1)</f>
        <v>1</v>
      </c>
      <c r="M1813" s="11" t="str">
        <f>_xlfn.XLOOKUP(H1813,Ref!$B$3:$B$12,Ref!$C$3:$C$12,"",1)</f>
        <v>Morta</v>
      </c>
    </row>
    <row r="1814" spans="2:13" x14ac:dyDescent="0.25">
      <c r="B1814" s="15" t="s">
        <v>80</v>
      </c>
      <c r="C1814" s="9">
        <v>44.7</v>
      </c>
      <c r="D1814" s="9">
        <v>44.6</v>
      </c>
      <c r="E1814" s="10">
        <v>0</v>
      </c>
      <c r="F1814" s="9">
        <f t="shared" si="106"/>
        <v>14.228451912415444</v>
      </c>
      <c r="G1814" s="9">
        <f t="shared" si="104"/>
        <v>14.196620923797065</v>
      </c>
      <c r="H1814" s="10">
        <f t="shared" si="105"/>
        <v>0</v>
      </c>
      <c r="K1814" s="11">
        <f>_xlfn.XLOOKUP(F1814,Ref!$B$3:$B$12,Ref!$C$3:$C$12,"",1)</f>
        <v>1</v>
      </c>
      <c r="L1814" s="11">
        <f>_xlfn.XLOOKUP(G1814,Ref!$B$3:$B$12,Ref!$C$3:$C$12,"",1)</f>
        <v>1</v>
      </c>
      <c r="M1814" s="11" t="str">
        <f>_xlfn.XLOOKUP(H1814,Ref!$B$3:$B$12,Ref!$C$3:$C$12,"",1)</f>
        <v>Morta</v>
      </c>
    </row>
    <row r="1815" spans="2:13" x14ac:dyDescent="0.25">
      <c r="B1815" s="15" t="s">
        <v>80</v>
      </c>
      <c r="C1815" s="9">
        <v>94.2</v>
      </c>
      <c r="D1815" s="9">
        <v>94.5</v>
      </c>
      <c r="E1815" s="10">
        <v>95</v>
      </c>
      <c r="F1815" s="9">
        <f t="shared" si="106"/>
        <v>29.984791278513082</v>
      </c>
      <c r="G1815" s="9">
        <f t="shared" si="104"/>
        <v>30.080284244368219</v>
      </c>
      <c r="H1815" s="10">
        <f t="shared" si="105"/>
        <v>30.239439187460114</v>
      </c>
      <c r="K1815" s="11">
        <f>_xlfn.XLOOKUP(F1815,Ref!$B$3:$B$12,Ref!$C$3:$C$12,"",1)</f>
        <v>2</v>
      </c>
      <c r="L1815" s="11">
        <f>_xlfn.XLOOKUP(G1815,Ref!$B$3:$B$12,Ref!$C$3:$C$12,"",1)</f>
        <v>3</v>
      </c>
      <c r="M1815" s="11">
        <f>_xlfn.XLOOKUP(H1815,Ref!$B$3:$B$12,Ref!$C$3:$C$12,"",1)</f>
        <v>3</v>
      </c>
    </row>
    <row r="1816" spans="2:13" x14ac:dyDescent="0.25">
      <c r="B1816" s="15" t="s">
        <v>5</v>
      </c>
      <c r="C1816" s="9">
        <v>36.6</v>
      </c>
      <c r="D1816" s="9">
        <v>47.5</v>
      </c>
      <c r="E1816" s="10">
        <v>50.4</v>
      </c>
      <c r="F1816" s="9">
        <f t="shared" si="106"/>
        <v>11.650141834326739</v>
      </c>
      <c r="G1816" s="9">
        <f t="shared" si="104"/>
        <v>15.119719593730057</v>
      </c>
      <c r="H1816" s="10">
        <f t="shared" si="105"/>
        <v>16.042818263663051</v>
      </c>
      <c r="K1816" s="11">
        <f>_xlfn.XLOOKUP(F1816,Ref!$B$3:$B$12,Ref!$C$3:$C$12,"",1)</f>
        <v>1</v>
      </c>
      <c r="L1816" s="11">
        <f>_xlfn.XLOOKUP(G1816,Ref!$B$3:$B$12,Ref!$C$3:$C$12,"",1)</f>
        <v>1</v>
      </c>
      <c r="M1816" s="11">
        <f>_xlfn.XLOOKUP(H1816,Ref!$B$3:$B$12,Ref!$C$3:$C$12,"",1)</f>
        <v>1</v>
      </c>
    </row>
    <row r="1817" spans="2:13" x14ac:dyDescent="0.25">
      <c r="B1817" s="15" t="s">
        <v>86</v>
      </c>
      <c r="C1817" s="9">
        <v>66.900000000000006</v>
      </c>
      <c r="D1817" s="9">
        <v>80</v>
      </c>
      <c r="E1817" s="10">
        <v>89.7</v>
      </c>
      <c r="F1817" s="9">
        <f t="shared" si="106"/>
        <v>21.294931385695598</v>
      </c>
      <c r="G1817" s="9">
        <f t="shared" si="104"/>
        <v>25.464790894703256</v>
      </c>
      <c r="H1817" s="10">
        <f t="shared" si="105"/>
        <v>28.552396790686025</v>
      </c>
      <c r="K1817" s="11">
        <f>_xlfn.XLOOKUP(F1817,Ref!$B$3:$B$12,Ref!$C$3:$C$12,"",1)</f>
        <v>2</v>
      </c>
      <c r="L1817" s="11">
        <f>_xlfn.XLOOKUP(G1817,Ref!$B$3:$B$12,Ref!$C$3:$C$12,"",1)</f>
        <v>2</v>
      </c>
      <c r="M1817" s="11">
        <f>_xlfn.XLOOKUP(H1817,Ref!$B$3:$B$12,Ref!$C$3:$C$12,"",1)</f>
        <v>2</v>
      </c>
    </row>
    <row r="1818" spans="2:13" x14ac:dyDescent="0.25">
      <c r="B1818" s="15" t="s">
        <v>11</v>
      </c>
      <c r="C1818" s="9">
        <v>44.2</v>
      </c>
      <c r="D1818" s="9">
        <v>49.1</v>
      </c>
      <c r="E1818" s="10">
        <v>53</v>
      </c>
      <c r="F1818" s="9">
        <f t="shared" si="106"/>
        <v>14.069296969323549</v>
      </c>
      <c r="G1818" s="9">
        <f t="shared" si="104"/>
        <v>15.629015411624122</v>
      </c>
      <c r="H1818" s="10">
        <f t="shared" si="105"/>
        <v>16.870423967740905</v>
      </c>
      <c r="K1818" s="11">
        <f>_xlfn.XLOOKUP(F1818,Ref!$B$3:$B$12,Ref!$C$3:$C$12,"",1)</f>
        <v>1</v>
      </c>
      <c r="L1818" s="11">
        <f>_xlfn.XLOOKUP(G1818,Ref!$B$3:$B$12,Ref!$C$3:$C$12,"",1)</f>
        <v>1</v>
      </c>
      <c r="M1818" s="11">
        <f>_xlfn.XLOOKUP(H1818,Ref!$B$3:$B$12,Ref!$C$3:$C$12,"",1)</f>
        <v>1</v>
      </c>
    </row>
    <row r="1819" spans="2:13" x14ac:dyDescent="0.25">
      <c r="B1819" s="15" t="s">
        <v>25</v>
      </c>
      <c r="C1819" s="9">
        <v>32.799999999999997</v>
      </c>
      <c r="D1819" s="9">
        <v>33.299999999999997</v>
      </c>
      <c r="E1819" s="10">
        <v>34</v>
      </c>
      <c r="F1819" s="9">
        <f t="shared" si="106"/>
        <v>10.440564266828334</v>
      </c>
      <c r="G1819" s="9">
        <f t="shared" si="104"/>
        <v>10.599719209920229</v>
      </c>
      <c r="H1819" s="10">
        <f t="shared" si="105"/>
        <v>10.822536130248883</v>
      </c>
      <c r="K1819" s="11">
        <f>_xlfn.XLOOKUP(F1819,Ref!$B$3:$B$12,Ref!$C$3:$C$12,"",1)</f>
        <v>1</v>
      </c>
      <c r="L1819" s="11">
        <f>_xlfn.XLOOKUP(G1819,Ref!$B$3:$B$12,Ref!$C$3:$C$12,"",1)</f>
        <v>1</v>
      </c>
      <c r="M1819" s="11">
        <f>_xlfn.XLOOKUP(H1819,Ref!$B$3:$B$12,Ref!$C$3:$C$12,"",1)</f>
        <v>1</v>
      </c>
    </row>
    <row r="1820" spans="2:13" x14ac:dyDescent="0.25">
      <c r="B1820" s="15" t="s">
        <v>24</v>
      </c>
      <c r="C1820" s="9">
        <v>35</v>
      </c>
      <c r="D1820" s="9">
        <v>45.5</v>
      </c>
      <c r="E1820" s="10">
        <v>57.5</v>
      </c>
      <c r="F1820" s="9">
        <f t="shared" si="106"/>
        <v>11.140846016432674</v>
      </c>
      <c r="G1820" s="9">
        <f t="shared" si="104"/>
        <v>14.483099821362476</v>
      </c>
      <c r="H1820" s="10">
        <f t="shared" si="105"/>
        <v>18.302818455567966</v>
      </c>
      <c r="K1820" s="11">
        <f>_xlfn.XLOOKUP(F1820,Ref!$B$3:$B$12,Ref!$C$3:$C$12,"",1)</f>
        <v>1</v>
      </c>
      <c r="L1820" s="11">
        <f>_xlfn.XLOOKUP(G1820,Ref!$B$3:$B$12,Ref!$C$3:$C$12,"",1)</f>
        <v>1</v>
      </c>
      <c r="M1820" s="11">
        <f>_xlfn.XLOOKUP(H1820,Ref!$B$3:$B$12,Ref!$C$3:$C$12,"",1)</f>
        <v>1</v>
      </c>
    </row>
    <row r="1821" spans="2:13" x14ac:dyDescent="0.25">
      <c r="B1821" s="15" t="s">
        <v>10</v>
      </c>
      <c r="C1821" s="9">
        <v>36.1</v>
      </c>
      <c r="D1821" s="9">
        <v>40</v>
      </c>
      <c r="E1821" s="10">
        <v>42.9</v>
      </c>
      <c r="F1821" s="9">
        <f t="shared" si="106"/>
        <v>11.490986891234844</v>
      </c>
      <c r="G1821" s="9">
        <f t="shared" si="104"/>
        <v>12.732395447351628</v>
      </c>
      <c r="H1821" s="10">
        <f t="shared" si="105"/>
        <v>13.65549411728462</v>
      </c>
      <c r="K1821" s="11">
        <f>_xlfn.XLOOKUP(F1821,Ref!$B$3:$B$12,Ref!$C$3:$C$12,"",1)</f>
        <v>1</v>
      </c>
      <c r="L1821" s="11">
        <f>_xlfn.XLOOKUP(G1821,Ref!$B$3:$B$12,Ref!$C$3:$C$12,"",1)</f>
        <v>1</v>
      </c>
      <c r="M1821" s="11">
        <f>_xlfn.XLOOKUP(H1821,Ref!$B$3:$B$12,Ref!$C$3:$C$12,"",1)</f>
        <v>1</v>
      </c>
    </row>
    <row r="1822" spans="2:13" x14ac:dyDescent="0.25">
      <c r="B1822" s="15" t="s">
        <v>25</v>
      </c>
      <c r="C1822" s="9">
        <v>38.700000000000003</v>
      </c>
      <c r="D1822" s="9">
        <v>43.5</v>
      </c>
      <c r="E1822" s="10">
        <v>49.1</v>
      </c>
      <c r="F1822" s="9">
        <f t="shared" si="106"/>
        <v>12.318592595312701</v>
      </c>
      <c r="G1822" s="9">
        <f t="shared" si="104"/>
        <v>13.846480048994895</v>
      </c>
      <c r="H1822" s="10">
        <f t="shared" si="105"/>
        <v>15.629015411624122</v>
      </c>
      <c r="K1822" s="11">
        <f>_xlfn.XLOOKUP(F1822,Ref!$B$3:$B$12,Ref!$C$3:$C$12,"",1)</f>
        <v>1</v>
      </c>
      <c r="L1822" s="11">
        <f>_xlfn.XLOOKUP(G1822,Ref!$B$3:$B$12,Ref!$C$3:$C$12,"",1)</f>
        <v>1</v>
      </c>
      <c r="M1822" s="11">
        <f>_xlfn.XLOOKUP(H1822,Ref!$B$3:$B$12,Ref!$C$3:$C$12,"",1)</f>
        <v>1</v>
      </c>
    </row>
    <row r="1823" spans="2:13" x14ac:dyDescent="0.25">
      <c r="B1823" s="15" t="s">
        <v>25</v>
      </c>
      <c r="C1823" s="9"/>
      <c r="D1823" s="9">
        <v>32.5</v>
      </c>
      <c r="E1823" s="10">
        <v>35.1</v>
      </c>
      <c r="F1823" s="9" t="str">
        <f t="shared" si="106"/>
        <v/>
      </c>
      <c r="G1823" s="9">
        <f t="shared" si="104"/>
        <v>10.345071300973197</v>
      </c>
      <c r="H1823" s="10">
        <f t="shared" si="105"/>
        <v>11.172677005051053</v>
      </c>
      <c r="K1823" s="11" t="str">
        <f>_xlfn.XLOOKUP(F1823,Ref!$B$3:$B$12,Ref!$C$3:$C$12,"",1)</f>
        <v/>
      </c>
      <c r="L1823" s="11">
        <f>_xlfn.XLOOKUP(G1823,Ref!$B$3:$B$12,Ref!$C$3:$C$12,"",1)</f>
        <v>1</v>
      </c>
      <c r="M1823" s="11">
        <f>_xlfn.XLOOKUP(H1823,Ref!$B$3:$B$12,Ref!$C$3:$C$12,"",1)</f>
        <v>1</v>
      </c>
    </row>
    <row r="1824" spans="2:13" x14ac:dyDescent="0.25">
      <c r="B1824" s="15" t="s">
        <v>75</v>
      </c>
      <c r="C1824" s="9">
        <v>66.2</v>
      </c>
      <c r="D1824" s="9">
        <v>66.2</v>
      </c>
      <c r="E1824" s="10">
        <v>0</v>
      </c>
      <c r="F1824" s="9">
        <f t="shared" si="106"/>
        <v>21.072114465366944</v>
      </c>
      <c r="G1824" s="9">
        <f t="shared" si="104"/>
        <v>21.072114465366944</v>
      </c>
      <c r="H1824" s="10">
        <f t="shared" si="105"/>
        <v>0</v>
      </c>
      <c r="K1824" s="11">
        <f>_xlfn.XLOOKUP(F1824,Ref!$B$3:$B$12,Ref!$C$3:$C$12,"",1)</f>
        <v>2</v>
      </c>
      <c r="L1824" s="11">
        <f>_xlfn.XLOOKUP(G1824,Ref!$B$3:$B$12,Ref!$C$3:$C$12,"",1)</f>
        <v>2</v>
      </c>
      <c r="M1824" s="11" t="str">
        <f>_xlfn.XLOOKUP(H1824,Ref!$B$3:$B$12,Ref!$C$3:$C$12,"",1)</f>
        <v>Morta</v>
      </c>
    </row>
    <row r="1825" spans="2:13" x14ac:dyDescent="0.25">
      <c r="B1825" s="15" t="s">
        <v>12</v>
      </c>
      <c r="C1825" s="9">
        <v>37.299999999999997</v>
      </c>
      <c r="D1825" s="9">
        <v>37</v>
      </c>
      <c r="E1825" s="10">
        <v>41.8</v>
      </c>
      <c r="F1825" s="9">
        <f t="shared" si="106"/>
        <v>11.872958754655391</v>
      </c>
      <c r="G1825" s="9">
        <f t="shared" si="104"/>
        <v>11.777465788800255</v>
      </c>
      <c r="H1825" s="10">
        <f t="shared" si="105"/>
        <v>13.30535324248245</v>
      </c>
      <c r="K1825" s="11">
        <f>_xlfn.XLOOKUP(F1825,Ref!$B$3:$B$12,Ref!$C$3:$C$12,"",1)</f>
        <v>1</v>
      </c>
      <c r="L1825" s="11">
        <f>_xlfn.XLOOKUP(G1825,Ref!$B$3:$B$12,Ref!$C$3:$C$12,"",1)</f>
        <v>1</v>
      </c>
      <c r="M1825" s="11">
        <f>_xlfn.XLOOKUP(H1825,Ref!$B$3:$B$12,Ref!$C$3:$C$12,"",1)</f>
        <v>1</v>
      </c>
    </row>
    <row r="1826" spans="2:13" x14ac:dyDescent="0.25">
      <c r="B1826" s="15" t="s">
        <v>12</v>
      </c>
      <c r="C1826" s="9">
        <v>39.5</v>
      </c>
      <c r="D1826" s="9">
        <v>39.799999999999997</v>
      </c>
      <c r="E1826" s="10">
        <v>37.6</v>
      </c>
      <c r="F1826" s="9">
        <f t="shared" si="106"/>
        <v>12.573240504259733</v>
      </c>
      <c r="G1826" s="9">
        <f t="shared" si="104"/>
        <v>12.668733470114868</v>
      </c>
      <c r="H1826" s="10">
        <f t="shared" si="105"/>
        <v>11.968451720510529</v>
      </c>
      <c r="K1826" s="11">
        <f>_xlfn.XLOOKUP(F1826,Ref!$B$3:$B$12,Ref!$C$3:$C$12,"",1)</f>
        <v>1</v>
      </c>
      <c r="L1826" s="11">
        <f>_xlfn.XLOOKUP(G1826,Ref!$B$3:$B$12,Ref!$C$3:$C$12,"",1)</f>
        <v>1</v>
      </c>
      <c r="M1826" s="11">
        <f>_xlfn.XLOOKUP(H1826,Ref!$B$3:$B$12,Ref!$C$3:$C$12,"",1)</f>
        <v>1</v>
      </c>
    </row>
    <row r="1827" spans="2:13" x14ac:dyDescent="0.25">
      <c r="B1827" s="15" t="s">
        <v>75</v>
      </c>
      <c r="C1827" s="9">
        <v>60</v>
      </c>
      <c r="D1827" s="9">
        <v>59.3</v>
      </c>
      <c r="E1827" s="10">
        <v>0</v>
      </c>
      <c r="F1827" s="9">
        <f t="shared" si="106"/>
        <v>19.098593171027442</v>
      </c>
      <c r="G1827" s="9">
        <f t="shared" si="104"/>
        <v>18.875776250698788</v>
      </c>
      <c r="H1827" s="10">
        <f t="shared" si="105"/>
        <v>0</v>
      </c>
      <c r="K1827" s="11">
        <f>_xlfn.XLOOKUP(F1827,Ref!$B$3:$B$12,Ref!$C$3:$C$12,"",1)</f>
        <v>1</v>
      </c>
      <c r="L1827" s="11">
        <f>_xlfn.XLOOKUP(G1827,Ref!$B$3:$B$12,Ref!$C$3:$C$12,"",1)</f>
        <v>1</v>
      </c>
      <c r="M1827" s="11" t="str">
        <f>_xlfn.XLOOKUP(H1827,Ref!$B$3:$B$12,Ref!$C$3:$C$12,"",1)</f>
        <v>Morta</v>
      </c>
    </row>
    <row r="1828" spans="2:13" x14ac:dyDescent="0.25">
      <c r="B1828" s="15" t="s">
        <v>25</v>
      </c>
      <c r="C1828" s="9">
        <v>36.5</v>
      </c>
      <c r="D1828" s="9">
        <v>37.299999999999997</v>
      </c>
      <c r="E1828" s="10">
        <v>38.799999999999997</v>
      </c>
      <c r="F1828" s="9">
        <f t="shared" si="106"/>
        <v>11.618310845708359</v>
      </c>
      <c r="G1828" s="9">
        <f t="shared" si="104"/>
        <v>11.872958754655391</v>
      </c>
      <c r="H1828" s="10">
        <f t="shared" si="105"/>
        <v>12.350423583931077</v>
      </c>
      <c r="K1828" s="11">
        <f>_xlfn.XLOOKUP(F1828,Ref!$B$3:$B$12,Ref!$C$3:$C$12,"",1)</f>
        <v>1</v>
      </c>
      <c r="L1828" s="11">
        <f>_xlfn.XLOOKUP(G1828,Ref!$B$3:$B$12,Ref!$C$3:$C$12,"",1)</f>
        <v>1</v>
      </c>
      <c r="M1828" s="11">
        <f>_xlfn.XLOOKUP(H1828,Ref!$B$3:$B$12,Ref!$C$3:$C$12,"",1)</f>
        <v>1</v>
      </c>
    </row>
    <row r="1829" spans="2:13" x14ac:dyDescent="0.25">
      <c r="B1829" s="15" t="s">
        <v>26</v>
      </c>
      <c r="C1829" s="9">
        <v>179</v>
      </c>
      <c r="D1829" s="9">
        <v>185.7</v>
      </c>
      <c r="E1829" s="10">
        <v>189</v>
      </c>
      <c r="F1829" s="9">
        <f t="shared" si="106"/>
        <v>56.977469626898532</v>
      </c>
      <c r="G1829" s="9">
        <f t="shared" si="104"/>
        <v>59.11014586432993</v>
      </c>
      <c r="H1829" s="10">
        <f t="shared" si="105"/>
        <v>60.160568488736438</v>
      </c>
      <c r="K1829" s="11">
        <f>_xlfn.XLOOKUP(F1829,Ref!$B$3:$B$12,Ref!$C$3:$C$12,"",1)</f>
        <v>5</v>
      </c>
      <c r="L1829" s="11">
        <f>_xlfn.XLOOKUP(G1829,Ref!$B$3:$B$12,Ref!$C$3:$C$12,"",1)</f>
        <v>5</v>
      </c>
      <c r="M1829" s="11">
        <f>_xlfn.XLOOKUP(H1829,Ref!$B$3:$B$12,Ref!$C$3:$C$12,"",1)</f>
        <v>6</v>
      </c>
    </row>
    <row r="1830" spans="2:13" x14ac:dyDescent="0.25">
      <c r="B1830" s="15" t="s">
        <v>25</v>
      </c>
      <c r="C1830" s="9">
        <v>35.700000000000003</v>
      </c>
      <c r="D1830" s="9">
        <v>36.1</v>
      </c>
      <c r="E1830" s="10">
        <v>33.4</v>
      </c>
      <c r="F1830" s="9">
        <f t="shared" si="106"/>
        <v>11.363662936761328</v>
      </c>
      <c r="G1830" s="9">
        <f t="shared" si="104"/>
        <v>11.490986891234844</v>
      </c>
      <c r="H1830" s="10">
        <f t="shared" si="105"/>
        <v>10.631550198538608</v>
      </c>
      <c r="K1830" s="11">
        <f>_xlfn.XLOOKUP(F1830,Ref!$B$3:$B$12,Ref!$C$3:$C$12,"",1)</f>
        <v>1</v>
      </c>
      <c r="L1830" s="11">
        <f>_xlfn.XLOOKUP(G1830,Ref!$B$3:$B$12,Ref!$C$3:$C$12,"",1)</f>
        <v>1</v>
      </c>
      <c r="M1830" s="11">
        <f>_xlfn.XLOOKUP(H1830,Ref!$B$3:$B$12,Ref!$C$3:$C$12,"",1)</f>
        <v>1</v>
      </c>
    </row>
    <row r="1831" spans="2:13" x14ac:dyDescent="0.25">
      <c r="B1831" s="15" t="s">
        <v>41</v>
      </c>
      <c r="C1831" s="9">
        <v>31.7</v>
      </c>
      <c r="D1831" s="9">
        <v>31.7</v>
      </c>
      <c r="E1831" s="10">
        <v>31.6</v>
      </c>
      <c r="F1831" s="9">
        <f t="shared" si="106"/>
        <v>10.090423392026164</v>
      </c>
      <c r="G1831" s="9">
        <f t="shared" si="104"/>
        <v>10.090423392026164</v>
      </c>
      <c r="H1831" s="10">
        <f t="shared" si="105"/>
        <v>10.058592403407786</v>
      </c>
      <c r="K1831" s="11">
        <f>_xlfn.XLOOKUP(F1831,Ref!$B$3:$B$12,Ref!$C$3:$C$12,"",1)</f>
        <v>1</v>
      </c>
      <c r="L1831" s="11">
        <f>_xlfn.XLOOKUP(G1831,Ref!$B$3:$B$12,Ref!$C$3:$C$12,"",1)</f>
        <v>1</v>
      </c>
      <c r="M1831" s="11">
        <f>_xlfn.XLOOKUP(H1831,Ref!$B$3:$B$12,Ref!$C$3:$C$12,"",1)</f>
        <v>1</v>
      </c>
    </row>
    <row r="1832" spans="2:13" x14ac:dyDescent="0.25">
      <c r="B1832" s="15" t="s">
        <v>65</v>
      </c>
      <c r="C1832" s="9">
        <v>99.9</v>
      </c>
      <c r="D1832" s="9">
        <v>112.4</v>
      </c>
      <c r="E1832" s="10">
        <v>127.3</v>
      </c>
      <c r="F1832" s="9">
        <f t="shared" si="106"/>
        <v>31.799157629760693</v>
      </c>
      <c r="G1832" s="9">
        <f t="shared" si="104"/>
        <v>35.778031207058078</v>
      </c>
      <c r="H1832" s="10">
        <f t="shared" si="105"/>
        <v>40.520848511196554</v>
      </c>
      <c r="K1832" s="11">
        <f>_xlfn.XLOOKUP(F1832,Ref!$B$3:$B$12,Ref!$C$3:$C$12,"",1)</f>
        <v>3</v>
      </c>
      <c r="L1832" s="11">
        <f>_xlfn.XLOOKUP(G1832,Ref!$B$3:$B$12,Ref!$C$3:$C$12,"",1)</f>
        <v>3</v>
      </c>
      <c r="M1832" s="11">
        <f>_xlfn.XLOOKUP(H1832,Ref!$B$3:$B$12,Ref!$C$3:$C$12,"",1)</f>
        <v>4</v>
      </c>
    </row>
    <row r="1833" spans="2:13" x14ac:dyDescent="0.25">
      <c r="B1833" s="15" t="s">
        <v>12</v>
      </c>
      <c r="C1833" s="9">
        <v>32.200000000000003</v>
      </c>
      <c r="D1833" s="9">
        <v>35.299999999999997</v>
      </c>
      <c r="E1833" s="10">
        <v>37</v>
      </c>
      <c r="F1833" s="9">
        <f t="shared" si="106"/>
        <v>10.249578335118061</v>
      </c>
      <c r="G1833" s="9">
        <f t="shared" si="104"/>
        <v>11.23633898228781</v>
      </c>
      <c r="H1833" s="10">
        <f t="shared" si="105"/>
        <v>11.777465788800255</v>
      </c>
      <c r="K1833" s="11">
        <f>_xlfn.XLOOKUP(F1833,Ref!$B$3:$B$12,Ref!$C$3:$C$12,"",1)</f>
        <v>1</v>
      </c>
      <c r="L1833" s="11">
        <f>_xlfn.XLOOKUP(G1833,Ref!$B$3:$B$12,Ref!$C$3:$C$12,"",1)</f>
        <v>1</v>
      </c>
      <c r="M1833" s="11">
        <f>_xlfn.XLOOKUP(H1833,Ref!$B$3:$B$12,Ref!$C$3:$C$12,"",1)</f>
        <v>1</v>
      </c>
    </row>
    <row r="1834" spans="2:13" x14ac:dyDescent="0.25">
      <c r="B1834" s="15" t="s">
        <v>25</v>
      </c>
      <c r="C1834" s="9">
        <v>47.9</v>
      </c>
      <c r="D1834" s="9">
        <v>48.3</v>
      </c>
      <c r="E1834" s="10">
        <v>49.1</v>
      </c>
      <c r="F1834" s="9">
        <f t="shared" si="106"/>
        <v>15.247043548203573</v>
      </c>
      <c r="G1834" s="9">
        <f t="shared" si="104"/>
        <v>15.374367502677089</v>
      </c>
      <c r="H1834" s="10">
        <f t="shared" si="105"/>
        <v>15.629015411624122</v>
      </c>
      <c r="K1834" s="11">
        <f>_xlfn.XLOOKUP(F1834,Ref!$B$3:$B$12,Ref!$C$3:$C$12,"",1)</f>
        <v>1</v>
      </c>
      <c r="L1834" s="11">
        <f>_xlfn.XLOOKUP(G1834,Ref!$B$3:$B$12,Ref!$C$3:$C$12,"",1)</f>
        <v>1</v>
      </c>
      <c r="M1834" s="11">
        <f>_xlfn.XLOOKUP(H1834,Ref!$B$3:$B$12,Ref!$C$3:$C$12,"",1)</f>
        <v>1</v>
      </c>
    </row>
    <row r="1835" spans="2:13" x14ac:dyDescent="0.25">
      <c r="B1835" s="15" t="s">
        <v>60</v>
      </c>
      <c r="C1835" s="9">
        <v>35.799999999999997</v>
      </c>
      <c r="D1835" s="9">
        <v>38.5</v>
      </c>
      <c r="E1835" s="10">
        <v>39.200000000000003</v>
      </c>
      <c r="F1835" s="9">
        <f t="shared" si="106"/>
        <v>11.395493925379705</v>
      </c>
      <c r="G1835" s="9">
        <f t="shared" si="104"/>
        <v>12.254930618075941</v>
      </c>
      <c r="H1835" s="10">
        <f t="shared" si="105"/>
        <v>12.477747538404596</v>
      </c>
      <c r="K1835" s="11">
        <f>_xlfn.XLOOKUP(F1835,Ref!$B$3:$B$12,Ref!$C$3:$C$12,"",1)</f>
        <v>1</v>
      </c>
      <c r="L1835" s="11">
        <f>_xlfn.XLOOKUP(G1835,Ref!$B$3:$B$12,Ref!$C$3:$C$12,"",1)</f>
        <v>1</v>
      </c>
      <c r="M1835" s="11">
        <f>_xlfn.XLOOKUP(H1835,Ref!$B$3:$B$12,Ref!$C$3:$C$12,"",1)</f>
        <v>1</v>
      </c>
    </row>
    <row r="1836" spans="2:13" x14ac:dyDescent="0.25">
      <c r="B1836" s="15" t="s">
        <v>84</v>
      </c>
      <c r="C1836" s="9">
        <v>40.4</v>
      </c>
      <c r="D1836" s="9">
        <v>40.4</v>
      </c>
      <c r="E1836" s="10">
        <v>0</v>
      </c>
      <c r="F1836" s="9">
        <f t="shared" si="106"/>
        <v>12.859719401825144</v>
      </c>
      <c r="G1836" s="9">
        <f t="shared" si="104"/>
        <v>12.859719401825144</v>
      </c>
      <c r="H1836" s="10">
        <f t="shared" si="105"/>
        <v>0</v>
      </c>
      <c r="K1836" s="11">
        <f>_xlfn.XLOOKUP(F1836,Ref!$B$3:$B$12,Ref!$C$3:$C$12,"",1)</f>
        <v>1</v>
      </c>
      <c r="L1836" s="11">
        <f>_xlfn.XLOOKUP(G1836,Ref!$B$3:$B$12,Ref!$C$3:$C$12,"",1)</f>
        <v>1</v>
      </c>
      <c r="M1836" s="11" t="str">
        <f>_xlfn.XLOOKUP(H1836,Ref!$B$3:$B$12,Ref!$C$3:$C$12,"",1)</f>
        <v>Morta</v>
      </c>
    </row>
    <row r="1837" spans="2:13" x14ac:dyDescent="0.25">
      <c r="B1837" s="15" t="s">
        <v>25</v>
      </c>
      <c r="C1837" s="9">
        <v>38.799999999999997</v>
      </c>
      <c r="D1837" s="9">
        <v>41.7</v>
      </c>
      <c r="E1837" s="10">
        <v>42.2</v>
      </c>
      <c r="F1837" s="9">
        <f t="shared" si="106"/>
        <v>12.350423583931077</v>
      </c>
      <c r="G1837" s="9">
        <f t="shared" si="104"/>
        <v>13.273522253864073</v>
      </c>
      <c r="H1837" s="10">
        <f t="shared" si="105"/>
        <v>13.432677196955968</v>
      </c>
      <c r="K1837" s="11">
        <f>_xlfn.XLOOKUP(F1837,Ref!$B$3:$B$12,Ref!$C$3:$C$12,"",1)</f>
        <v>1</v>
      </c>
      <c r="L1837" s="11">
        <f>_xlfn.XLOOKUP(G1837,Ref!$B$3:$B$12,Ref!$C$3:$C$12,"",1)</f>
        <v>1</v>
      </c>
      <c r="M1837" s="11">
        <f>_xlfn.XLOOKUP(H1837,Ref!$B$3:$B$12,Ref!$C$3:$C$12,"",1)</f>
        <v>1</v>
      </c>
    </row>
    <row r="1838" spans="2:13" x14ac:dyDescent="0.25">
      <c r="B1838" s="15" t="s">
        <v>25</v>
      </c>
      <c r="C1838" s="9">
        <v>34.6</v>
      </c>
      <c r="D1838" s="9">
        <v>35</v>
      </c>
      <c r="E1838" s="10">
        <v>34.6</v>
      </c>
      <c r="F1838" s="9">
        <f t="shared" si="106"/>
        <v>11.013522061959158</v>
      </c>
      <c r="G1838" s="9">
        <f t="shared" si="104"/>
        <v>11.140846016432674</v>
      </c>
      <c r="H1838" s="10">
        <f t="shared" si="105"/>
        <v>11.013522061959158</v>
      </c>
      <c r="K1838" s="11">
        <f>_xlfn.XLOOKUP(F1838,Ref!$B$3:$B$12,Ref!$C$3:$C$12,"",1)</f>
        <v>1</v>
      </c>
      <c r="L1838" s="11">
        <f>_xlfn.XLOOKUP(G1838,Ref!$B$3:$B$12,Ref!$C$3:$C$12,"",1)</f>
        <v>1</v>
      </c>
      <c r="M1838" s="11">
        <f>_xlfn.XLOOKUP(H1838,Ref!$B$3:$B$12,Ref!$C$3:$C$12,"",1)</f>
        <v>1</v>
      </c>
    </row>
    <row r="1839" spans="2:13" x14ac:dyDescent="0.25">
      <c r="B1839" s="15" t="s">
        <v>12</v>
      </c>
      <c r="C1839" s="9">
        <v>35.9</v>
      </c>
      <c r="D1839" s="9">
        <v>37.299999999999997</v>
      </c>
      <c r="E1839" s="10">
        <v>38.5</v>
      </c>
      <c r="F1839" s="9">
        <f t="shared" si="106"/>
        <v>11.427324913998085</v>
      </c>
      <c r="G1839" s="9">
        <f t="shared" si="104"/>
        <v>11.872958754655391</v>
      </c>
      <c r="H1839" s="10">
        <f t="shared" si="105"/>
        <v>12.254930618075941</v>
      </c>
      <c r="K1839" s="11">
        <f>_xlfn.XLOOKUP(F1839,Ref!$B$3:$B$12,Ref!$C$3:$C$12,"",1)</f>
        <v>1</v>
      </c>
      <c r="L1839" s="11">
        <f>_xlfn.XLOOKUP(G1839,Ref!$B$3:$B$12,Ref!$C$3:$C$12,"",1)</f>
        <v>1</v>
      </c>
      <c r="M1839" s="11">
        <f>_xlfn.XLOOKUP(H1839,Ref!$B$3:$B$12,Ref!$C$3:$C$12,"",1)</f>
        <v>1</v>
      </c>
    </row>
    <row r="1840" spans="2:13" x14ac:dyDescent="0.25">
      <c r="B1840" s="15" t="s">
        <v>12</v>
      </c>
      <c r="C1840" s="9">
        <v>37.9</v>
      </c>
      <c r="D1840" s="9">
        <v>35.700000000000003</v>
      </c>
      <c r="E1840" s="10">
        <v>0</v>
      </c>
      <c r="F1840" s="9">
        <f t="shared" si="106"/>
        <v>12.063944686365666</v>
      </c>
      <c r="G1840" s="9">
        <f t="shared" si="104"/>
        <v>11.363662936761328</v>
      </c>
      <c r="H1840" s="10">
        <f t="shared" si="105"/>
        <v>0</v>
      </c>
      <c r="K1840" s="11">
        <f>_xlfn.XLOOKUP(F1840,Ref!$B$3:$B$12,Ref!$C$3:$C$12,"",1)</f>
        <v>1</v>
      </c>
      <c r="L1840" s="11">
        <f>_xlfn.XLOOKUP(G1840,Ref!$B$3:$B$12,Ref!$C$3:$C$12,"",1)</f>
        <v>1</v>
      </c>
      <c r="M1840" s="11" t="str">
        <f>_xlfn.XLOOKUP(H1840,Ref!$B$3:$B$12,Ref!$C$3:$C$12,"",1)</f>
        <v>Morta</v>
      </c>
    </row>
    <row r="1841" spans="2:13" x14ac:dyDescent="0.25">
      <c r="B1841" s="15" t="s">
        <v>12</v>
      </c>
      <c r="C1841" s="9">
        <v>37.200000000000003</v>
      </c>
      <c r="D1841" s="9">
        <v>0</v>
      </c>
      <c r="E1841" s="10">
        <v>37.700000000000003</v>
      </c>
      <c r="F1841" s="9">
        <f t="shared" si="106"/>
        <v>11.841127766037014</v>
      </c>
      <c r="G1841" s="9">
        <f t="shared" si="104"/>
        <v>0</v>
      </c>
      <c r="H1841" s="10">
        <f t="shared" si="105"/>
        <v>12.000282709128909</v>
      </c>
      <c r="K1841" s="11">
        <f>_xlfn.XLOOKUP(F1841,Ref!$B$3:$B$12,Ref!$C$3:$C$12,"",1)</f>
        <v>1</v>
      </c>
      <c r="L1841" s="11" t="str">
        <f>_xlfn.XLOOKUP(G1841,Ref!$B$3:$B$12,Ref!$C$3:$C$12,"",1)</f>
        <v>Morta</v>
      </c>
      <c r="M1841" s="11">
        <f>_xlfn.XLOOKUP(H1841,Ref!$B$3:$B$12,Ref!$C$3:$C$12,"",1)</f>
        <v>1</v>
      </c>
    </row>
    <row r="1842" spans="2:13" x14ac:dyDescent="0.25">
      <c r="B1842" s="15" t="s">
        <v>8</v>
      </c>
      <c r="C1842" s="9">
        <v>39.700000000000003</v>
      </c>
      <c r="D1842" s="9">
        <v>40.9</v>
      </c>
      <c r="E1842" s="10">
        <v>43.5</v>
      </c>
      <c r="F1842" s="9">
        <f t="shared" si="106"/>
        <v>12.636902481496492</v>
      </c>
      <c r="G1842" s="9">
        <f t="shared" si="104"/>
        <v>13.018874344917039</v>
      </c>
      <c r="H1842" s="10">
        <f t="shared" si="105"/>
        <v>13.846480048994895</v>
      </c>
      <c r="K1842" s="11">
        <f>_xlfn.XLOOKUP(F1842,Ref!$B$3:$B$12,Ref!$C$3:$C$12,"",1)</f>
        <v>1</v>
      </c>
      <c r="L1842" s="11">
        <f>_xlfn.XLOOKUP(G1842,Ref!$B$3:$B$12,Ref!$C$3:$C$12,"",1)</f>
        <v>1</v>
      </c>
      <c r="M1842" s="11">
        <f>_xlfn.XLOOKUP(H1842,Ref!$B$3:$B$12,Ref!$C$3:$C$12,"",1)</f>
        <v>1</v>
      </c>
    </row>
    <row r="1843" spans="2:13" x14ac:dyDescent="0.25">
      <c r="B1843" s="15" t="s">
        <v>13</v>
      </c>
      <c r="C1843" s="9">
        <v>53</v>
      </c>
      <c r="D1843" s="9">
        <v>55.6</v>
      </c>
      <c r="E1843" s="10">
        <v>59.6</v>
      </c>
      <c r="F1843" s="9">
        <f t="shared" si="106"/>
        <v>16.870423967740905</v>
      </c>
      <c r="G1843" s="9">
        <f t="shared" si="104"/>
        <v>17.698029671818762</v>
      </c>
      <c r="H1843" s="10">
        <f t="shared" si="105"/>
        <v>18.971269216553925</v>
      </c>
      <c r="K1843" s="11">
        <f>_xlfn.XLOOKUP(F1843,Ref!$B$3:$B$12,Ref!$C$3:$C$12,"",1)</f>
        <v>1</v>
      </c>
      <c r="L1843" s="11">
        <f>_xlfn.XLOOKUP(G1843,Ref!$B$3:$B$12,Ref!$C$3:$C$12,"",1)</f>
        <v>1</v>
      </c>
      <c r="M1843" s="11">
        <f>_xlfn.XLOOKUP(H1843,Ref!$B$3:$B$12,Ref!$C$3:$C$12,"",1)</f>
        <v>1</v>
      </c>
    </row>
    <row r="1844" spans="2:13" x14ac:dyDescent="0.25">
      <c r="B1844" s="15" t="s">
        <v>25</v>
      </c>
      <c r="C1844" s="9">
        <v>38.6</v>
      </c>
      <c r="D1844" s="9">
        <v>39.4</v>
      </c>
      <c r="E1844" s="10">
        <v>39.9</v>
      </c>
      <c r="F1844" s="9">
        <f t="shared" si="106"/>
        <v>12.286761606694322</v>
      </c>
      <c r="G1844" s="9">
        <f t="shared" si="104"/>
        <v>12.541409515641352</v>
      </c>
      <c r="H1844" s="10">
        <f t="shared" si="105"/>
        <v>12.700564458733249</v>
      </c>
      <c r="K1844" s="11">
        <f>_xlfn.XLOOKUP(F1844,Ref!$B$3:$B$12,Ref!$C$3:$C$12,"",1)</f>
        <v>1</v>
      </c>
      <c r="L1844" s="11">
        <f>_xlfn.XLOOKUP(G1844,Ref!$B$3:$B$12,Ref!$C$3:$C$12,"",1)</f>
        <v>1</v>
      </c>
      <c r="M1844" s="11">
        <f>_xlfn.XLOOKUP(H1844,Ref!$B$3:$B$12,Ref!$C$3:$C$12,"",1)</f>
        <v>1</v>
      </c>
    </row>
    <row r="1845" spans="2:13" x14ac:dyDescent="0.25">
      <c r="B1845" s="15" t="s">
        <v>51</v>
      </c>
      <c r="C1845" s="9">
        <v>32.799999999999997</v>
      </c>
      <c r="D1845" s="9">
        <v>34.700000000000003</v>
      </c>
      <c r="E1845" s="10">
        <v>37.799999999999997</v>
      </c>
      <c r="F1845" s="9">
        <f t="shared" si="106"/>
        <v>10.440564266828334</v>
      </c>
      <c r="G1845" s="9">
        <f t="shared" si="104"/>
        <v>11.045353050577537</v>
      </c>
      <c r="H1845" s="10">
        <f t="shared" si="105"/>
        <v>12.032113697747286</v>
      </c>
      <c r="K1845" s="11">
        <f>_xlfn.XLOOKUP(F1845,Ref!$B$3:$B$12,Ref!$C$3:$C$12,"",1)</f>
        <v>1</v>
      </c>
      <c r="L1845" s="11">
        <f>_xlfn.XLOOKUP(G1845,Ref!$B$3:$B$12,Ref!$C$3:$C$12,"",1)</f>
        <v>1</v>
      </c>
      <c r="M1845" s="11">
        <f>_xlfn.XLOOKUP(H1845,Ref!$B$3:$B$12,Ref!$C$3:$C$12,"",1)</f>
        <v>1</v>
      </c>
    </row>
    <row r="1846" spans="2:13" x14ac:dyDescent="0.25">
      <c r="B1846" s="15" t="s">
        <v>75</v>
      </c>
      <c r="C1846" s="9">
        <v>61.6</v>
      </c>
      <c r="D1846" s="9">
        <v>0</v>
      </c>
      <c r="E1846" s="10">
        <v>0</v>
      </c>
      <c r="F1846" s="9">
        <f t="shared" si="106"/>
        <v>19.607888988921506</v>
      </c>
      <c r="G1846" s="9">
        <f t="shared" si="104"/>
        <v>0</v>
      </c>
      <c r="H1846" s="10">
        <f t="shared" si="105"/>
        <v>0</v>
      </c>
      <c r="K1846" s="11">
        <f>_xlfn.XLOOKUP(F1846,Ref!$B$3:$B$12,Ref!$C$3:$C$12,"",1)</f>
        <v>1</v>
      </c>
      <c r="L1846" s="11" t="str">
        <f>_xlfn.XLOOKUP(G1846,Ref!$B$3:$B$12,Ref!$C$3:$C$12,"",1)</f>
        <v>Morta</v>
      </c>
      <c r="M1846" s="11" t="str">
        <f>_xlfn.XLOOKUP(H1846,Ref!$B$3:$B$12,Ref!$C$3:$C$12,"",1)</f>
        <v>Morta</v>
      </c>
    </row>
    <row r="1847" spans="2:13" x14ac:dyDescent="0.25">
      <c r="B1847" s="15" t="s">
        <v>2</v>
      </c>
      <c r="C1847" s="9">
        <v>35.700000000000003</v>
      </c>
      <c r="D1847" s="9">
        <v>36</v>
      </c>
      <c r="E1847" s="10">
        <v>35.9</v>
      </c>
      <c r="F1847" s="9">
        <f t="shared" si="106"/>
        <v>11.363662936761328</v>
      </c>
      <c r="G1847" s="9">
        <f t="shared" ref="G1847:G1850" si="107">IF(D1847="", "", D1847/PI())</f>
        <v>11.459155902616464</v>
      </c>
      <c r="H1847" s="10">
        <f t="shared" ref="H1847:H1850" si="108">IF(E1847="", "", E1847/PI())</f>
        <v>11.427324913998085</v>
      </c>
      <c r="K1847" s="11">
        <f>_xlfn.XLOOKUP(F1847,Ref!$B$3:$B$12,Ref!$C$3:$C$12,"",1)</f>
        <v>1</v>
      </c>
      <c r="L1847" s="11">
        <f>_xlfn.XLOOKUP(G1847,Ref!$B$3:$B$12,Ref!$C$3:$C$12,"",1)</f>
        <v>1</v>
      </c>
      <c r="M1847" s="11">
        <f>_xlfn.XLOOKUP(H1847,Ref!$B$3:$B$12,Ref!$C$3:$C$12,"",1)</f>
        <v>1</v>
      </c>
    </row>
    <row r="1848" spans="2:13" x14ac:dyDescent="0.25">
      <c r="B1848" s="15" t="s">
        <v>25</v>
      </c>
      <c r="C1848" s="9"/>
      <c r="D1848" s="9">
        <v>34.200000000000003</v>
      </c>
      <c r="E1848" s="10">
        <v>40.5</v>
      </c>
      <c r="F1848" s="9" t="str">
        <f t="shared" si="106"/>
        <v/>
      </c>
      <c r="G1848" s="9">
        <f t="shared" si="107"/>
        <v>10.886198107485642</v>
      </c>
      <c r="H1848" s="10">
        <f t="shared" si="108"/>
        <v>12.891550390443523</v>
      </c>
      <c r="K1848" s="11" t="str">
        <f>_xlfn.XLOOKUP(F1848,Ref!$B$3:$B$12,Ref!$C$3:$C$12,"",1)</f>
        <v/>
      </c>
      <c r="L1848" s="11">
        <f>_xlfn.XLOOKUP(G1848,Ref!$B$3:$B$12,Ref!$C$3:$C$12,"",1)</f>
        <v>1</v>
      </c>
      <c r="M1848" s="11">
        <f>_xlfn.XLOOKUP(H1848,Ref!$B$3:$B$12,Ref!$C$3:$C$12,"",1)</f>
        <v>1</v>
      </c>
    </row>
    <row r="1849" spans="2:13" x14ac:dyDescent="0.25">
      <c r="B1849" s="15" t="s">
        <v>14</v>
      </c>
      <c r="C1849" s="9">
        <v>48.3</v>
      </c>
      <c r="D1849" s="9">
        <v>53.8</v>
      </c>
      <c r="E1849" s="10">
        <v>60.3</v>
      </c>
      <c r="F1849" s="9">
        <f t="shared" si="106"/>
        <v>15.374367502677089</v>
      </c>
      <c r="G1849" s="9">
        <f t="shared" si="107"/>
        <v>17.125071876687937</v>
      </c>
      <c r="H1849" s="10">
        <f t="shared" si="108"/>
        <v>19.194086136882579</v>
      </c>
      <c r="K1849" s="11">
        <f>_xlfn.XLOOKUP(F1849,Ref!$B$3:$B$12,Ref!$C$3:$C$12,"",1)</f>
        <v>1</v>
      </c>
      <c r="L1849" s="11">
        <f>_xlfn.XLOOKUP(G1849,Ref!$B$3:$B$12,Ref!$C$3:$C$12,"",1)</f>
        <v>1</v>
      </c>
      <c r="M1849" s="11">
        <f>_xlfn.XLOOKUP(H1849,Ref!$B$3:$B$12,Ref!$C$3:$C$12,"",1)</f>
        <v>1</v>
      </c>
    </row>
    <row r="1850" spans="2:13" x14ac:dyDescent="0.25">
      <c r="B1850" s="15" t="s">
        <v>25</v>
      </c>
      <c r="C1850" s="9">
        <v>48.7</v>
      </c>
      <c r="D1850" s="9">
        <v>49.8</v>
      </c>
      <c r="E1850" s="10">
        <v>51</v>
      </c>
      <c r="F1850" s="9">
        <f t="shared" si="106"/>
        <v>15.501691457150606</v>
      </c>
      <c r="G1850" s="9">
        <f t="shared" si="107"/>
        <v>15.851832331952775</v>
      </c>
      <c r="H1850" s="10">
        <f t="shared" si="108"/>
        <v>16.233804195373324</v>
      </c>
      <c r="K1850" s="11">
        <f>_xlfn.XLOOKUP(F1850,Ref!$B$3:$B$12,Ref!$C$3:$C$12,"",1)</f>
        <v>1</v>
      </c>
      <c r="L1850" s="11">
        <f>_xlfn.XLOOKUP(G1850,Ref!$B$3:$B$12,Ref!$C$3:$C$12,"",1)</f>
        <v>1</v>
      </c>
      <c r="M1850" s="11">
        <f>_xlfn.XLOOKUP(H1850,Ref!$B$3:$B$12,Ref!$C$3:$C$12,"",1)</f>
        <v>1</v>
      </c>
    </row>
  </sheetData>
  <mergeCells count="11">
    <mergeCell ref="AP29:AQ29"/>
    <mergeCell ref="AP5:AQ5"/>
    <mergeCell ref="Q28:Z28"/>
    <mergeCell ref="AB12:AB13"/>
    <mergeCell ref="AF2:AK2"/>
    <mergeCell ref="AF17:AI17"/>
    <mergeCell ref="Q27:Y27"/>
    <mergeCell ref="Q2:Z2"/>
    <mergeCell ref="R3:Z3"/>
    <mergeCell ref="Q12:Z12"/>
    <mergeCell ref="AP17:AQ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</vt:lpstr>
      <vt:lpstr>Planilha6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Orso</dc:creator>
  <cp:lastModifiedBy>Gabriel Orso</cp:lastModifiedBy>
  <dcterms:created xsi:type="dcterms:W3CDTF">2026-04-28T18:06:36Z</dcterms:created>
  <dcterms:modified xsi:type="dcterms:W3CDTF">2026-04-29T12:55:31Z</dcterms:modified>
</cp:coreProperties>
</file>