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hidePivotFieldList="1"/>
  <xr:revisionPtr revIDLastSave="25" documentId="10_ncr:8100000_{6377B645-FED6-44A7-B58E-F71E01056CB0}" xr6:coauthVersionLast="47" xr6:coauthVersionMax="47" xr10:uidLastSave="{C22BED1F-5D88-4BF6-9A5C-40FD600E0561}"/>
  <bookViews>
    <workbookView xWindow="-108" yWindow="-108" windowWidth="23256" windowHeight="12456" tabRatio="851" activeTab="1" xr2:uid="{00000000-000D-0000-FFFF-FFFF00000000}"/>
  </bookViews>
  <sheets>
    <sheet name="Dados" sheetId="1" r:id="rId1"/>
    <sheet name="Ajuste" sheetId="10" r:id="rId2"/>
    <sheet name="Curva-guia" sheetId="11" r:id="rId3"/>
    <sheet name="Diferença Algébrica anamórfica" sheetId="15" state="hidden" r:id="rId4"/>
    <sheet name="Diferença Algébrica polimórfica" sheetId="16" state="hidden" r:id="rId5"/>
    <sheet name="Hammer" sheetId="18" state="hidden" r:id="rId6"/>
  </sheets>
  <definedNames>
    <definedName name="_xlnm._FilterDatabase" localSheetId="2" hidden="1">'Curva-guia'!$A$1:$C$49</definedName>
    <definedName name="_xlnm._FilterDatabase" localSheetId="3" hidden="1">'Diferença Algébrica anamórfica'!$A$1:$C$49</definedName>
    <definedName name="_xlnm._FilterDatabase" localSheetId="4" hidden="1">'Diferença Algébrica polimórfica'!$A$1:$C$49</definedName>
    <definedName name="_xlnm._FilterDatabase" localSheetId="5" hidden="1">Hammer!$A$1:$C$49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8" l="1"/>
  <c r="I11" i="18"/>
  <c r="I10" i="18"/>
  <c r="L4" i="18"/>
  <c r="M4" i="18"/>
  <c r="L4" i="16"/>
  <c r="L10" i="16" s="1"/>
  <c r="P3" i="11"/>
  <c r="S3" i="11" s="1"/>
  <c r="S4" i="11" s="1"/>
  <c r="T4" i="18"/>
  <c r="N4" i="18"/>
  <c r="O4" i="18"/>
  <c r="P4" i="18"/>
  <c r="Q4" i="18"/>
  <c r="R4" i="18"/>
  <c r="S4" i="18"/>
  <c r="M4" i="16"/>
  <c r="N4" i="16"/>
  <c r="O4" i="16"/>
  <c r="P4" i="16"/>
  <c r="Q4" i="16"/>
  <c r="R4" i="16"/>
  <c r="S4" i="16"/>
  <c r="T4" i="16"/>
  <c r="L3" i="15"/>
  <c r="P2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6" i="11"/>
  <c r="X2" i="10"/>
  <c r="R2" i="10"/>
  <c r="L6" i="16" l="1"/>
  <c r="L9" i="16"/>
  <c r="L5" i="16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2" i="10"/>
  <c r="Z50" i="10" s="1"/>
  <c r="S5" i="11"/>
  <c r="S6" i="11"/>
  <c r="S7" i="11"/>
  <c r="S8" i="11"/>
  <c r="S9" i="11"/>
  <c r="S10" i="11"/>
  <c r="P4" i="11"/>
  <c r="P6" i="11" s="1"/>
  <c r="U3" i="11" s="1"/>
  <c r="U9" i="11" s="1"/>
  <c r="L4" i="15"/>
  <c r="N3" i="15"/>
  <c r="T6" i="16"/>
  <c r="T7" i="16"/>
  <c r="T8" i="16"/>
  <c r="T9" i="16"/>
  <c r="T10" i="16"/>
  <c r="T11" i="16"/>
  <c r="T5" i="16"/>
  <c r="S6" i="16"/>
  <c r="S7" i="16"/>
  <c r="S8" i="16"/>
  <c r="S9" i="16"/>
  <c r="S10" i="16"/>
  <c r="S11" i="16"/>
  <c r="S5" i="16"/>
  <c r="R6" i="16"/>
  <c r="R7" i="16"/>
  <c r="R8" i="16"/>
  <c r="R9" i="16"/>
  <c r="R10" i="16"/>
  <c r="R11" i="16"/>
  <c r="R5" i="16"/>
  <c r="Q6" i="16"/>
  <c r="Q7" i="16"/>
  <c r="Q8" i="16"/>
  <c r="Q9" i="16"/>
  <c r="Q10" i="16"/>
  <c r="Q11" i="16"/>
  <c r="Q5" i="16"/>
  <c r="P6" i="16"/>
  <c r="P7" i="16"/>
  <c r="P8" i="16"/>
  <c r="P9" i="16"/>
  <c r="P10" i="16"/>
  <c r="P11" i="16"/>
  <c r="P5" i="16"/>
  <c r="O6" i="16"/>
  <c r="O7" i="16"/>
  <c r="O8" i="16"/>
  <c r="O9" i="16"/>
  <c r="O10" i="16"/>
  <c r="O11" i="16"/>
  <c r="O5" i="16"/>
  <c r="N6" i="16"/>
  <c r="N7" i="16"/>
  <c r="N8" i="16"/>
  <c r="N9" i="16"/>
  <c r="N10" i="16"/>
  <c r="N11" i="16"/>
  <c r="N5" i="16"/>
  <c r="M6" i="16"/>
  <c r="M7" i="16"/>
  <c r="M8" i="16"/>
  <c r="M9" i="16"/>
  <c r="M10" i="16"/>
  <c r="M11" i="16"/>
  <c r="M5" i="16"/>
  <c r="L8" i="16"/>
  <c r="L11" i="16"/>
  <c r="L7" i="16"/>
  <c r="U7" i="11"/>
  <c r="U8" i="11"/>
  <c r="T3" i="11"/>
  <c r="V3" i="11"/>
  <c r="U5" i="11"/>
  <c r="U6" i="11" l="1"/>
  <c r="U4" i="11"/>
  <c r="U10" i="11"/>
  <c r="N4" i="15"/>
  <c r="O3" i="15"/>
  <c r="M3" i="15"/>
  <c r="M4" i="15" s="1"/>
  <c r="L6" i="15"/>
  <c r="L7" i="15"/>
  <c r="L8" i="15"/>
  <c r="L9" i="15"/>
  <c r="L10" i="15"/>
  <c r="L11" i="15"/>
  <c r="L5" i="15"/>
  <c r="V6" i="11"/>
  <c r="V10" i="11"/>
  <c r="V4" i="11"/>
  <c r="X3" i="11"/>
  <c r="W3" i="11" s="1"/>
  <c r="V7" i="11"/>
  <c r="V8" i="11"/>
  <c r="V5" i="11"/>
  <c r="V9" i="11"/>
  <c r="T8" i="11"/>
  <c r="T5" i="11"/>
  <c r="T9" i="11"/>
  <c r="T6" i="11"/>
  <c r="T10" i="11"/>
  <c r="T4" i="11"/>
  <c r="T7" i="11"/>
  <c r="M6" i="15" l="1"/>
  <c r="M7" i="15"/>
  <c r="M8" i="15"/>
  <c r="M9" i="15"/>
  <c r="M10" i="15"/>
  <c r="M11" i="15"/>
  <c r="M5" i="15"/>
  <c r="O4" i="15"/>
  <c r="Q3" i="15"/>
  <c r="N6" i="15"/>
  <c r="N7" i="15"/>
  <c r="N8" i="15"/>
  <c r="N9" i="15"/>
  <c r="N10" i="15"/>
  <c r="N11" i="15"/>
  <c r="N5" i="15"/>
  <c r="W5" i="11"/>
  <c r="W9" i="11"/>
  <c r="W6" i="11"/>
  <c r="W10" i="11"/>
  <c r="W4" i="11"/>
  <c r="W7" i="11"/>
  <c r="W8" i="11"/>
  <c r="X8" i="11"/>
  <c r="X5" i="11"/>
  <c r="X9" i="11"/>
  <c r="X6" i="11"/>
  <c r="X10" i="11"/>
  <c r="X4" i="11"/>
  <c r="X7" i="11"/>
  <c r="Y3" i="11"/>
  <c r="Q4" i="15" l="1"/>
  <c r="R3" i="15"/>
  <c r="P3" i="15"/>
  <c r="P4" i="15" s="1"/>
  <c r="O6" i="15"/>
  <c r="O7" i="15"/>
  <c r="O8" i="15"/>
  <c r="O9" i="15"/>
  <c r="O10" i="15"/>
  <c r="O11" i="15"/>
  <c r="O5" i="15"/>
  <c r="Y7" i="11"/>
  <c r="Y8" i="11"/>
  <c r="Y5" i="11"/>
  <c r="Y9" i="11"/>
  <c r="AA3" i="11"/>
  <c r="Y6" i="11"/>
  <c r="Y10" i="11"/>
  <c r="Y4" i="11"/>
  <c r="Z3" i="11"/>
  <c r="E3" i="10"/>
  <c r="Q3" i="10" s="1"/>
  <c r="S3" i="10" s="1"/>
  <c r="T3" i="10" s="1"/>
  <c r="U3" i="10" s="1"/>
  <c r="E4" i="10"/>
  <c r="Q4" i="10" s="1"/>
  <c r="S4" i="10" s="1"/>
  <c r="T4" i="10" s="1"/>
  <c r="U4" i="10" s="1"/>
  <c r="E5" i="10"/>
  <c r="Q5" i="10" s="1"/>
  <c r="S5" i="10" s="1"/>
  <c r="T5" i="10" s="1"/>
  <c r="U5" i="10" s="1"/>
  <c r="E6" i="10"/>
  <c r="Q6" i="10" s="1"/>
  <c r="S6" i="10" s="1"/>
  <c r="T6" i="10" s="1"/>
  <c r="U6" i="10" s="1"/>
  <c r="E7" i="10"/>
  <c r="Q7" i="10" s="1"/>
  <c r="S7" i="10" s="1"/>
  <c r="T7" i="10" s="1"/>
  <c r="U7" i="10" s="1"/>
  <c r="E8" i="10"/>
  <c r="Q8" i="10" s="1"/>
  <c r="S8" i="10" s="1"/>
  <c r="T8" i="10" s="1"/>
  <c r="U8" i="10" s="1"/>
  <c r="E9" i="10"/>
  <c r="Q9" i="10" s="1"/>
  <c r="S9" i="10" s="1"/>
  <c r="T9" i="10" s="1"/>
  <c r="U9" i="10" s="1"/>
  <c r="E10" i="10"/>
  <c r="Q10" i="10" s="1"/>
  <c r="S10" i="10" s="1"/>
  <c r="T10" i="10" s="1"/>
  <c r="U10" i="10" s="1"/>
  <c r="E11" i="10"/>
  <c r="Q11" i="10" s="1"/>
  <c r="S11" i="10" s="1"/>
  <c r="T11" i="10" s="1"/>
  <c r="U11" i="10" s="1"/>
  <c r="E12" i="10"/>
  <c r="Q12" i="10" s="1"/>
  <c r="S12" i="10" s="1"/>
  <c r="T12" i="10" s="1"/>
  <c r="U12" i="10" s="1"/>
  <c r="E13" i="10"/>
  <c r="Q13" i="10" s="1"/>
  <c r="S13" i="10" s="1"/>
  <c r="T13" i="10" s="1"/>
  <c r="U13" i="10" s="1"/>
  <c r="E14" i="10"/>
  <c r="Q14" i="10" s="1"/>
  <c r="S14" i="10" s="1"/>
  <c r="T14" i="10" s="1"/>
  <c r="U14" i="10" s="1"/>
  <c r="E15" i="10"/>
  <c r="Q15" i="10" s="1"/>
  <c r="S15" i="10" s="1"/>
  <c r="T15" i="10" s="1"/>
  <c r="U15" i="10" s="1"/>
  <c r="E16" i="10"/>
  <c r="Q16" i="10" s="1"/>
  <c r="S16" i="10" s="1"/>
  <c r="T16" i="10" s="1"/>
  <c r="U16" i="10" s="1"/>
  <c r="E17" i="10"/>
  <c r="Q17" i="10" s="1"/>
  <c r="S17" i="10" s="1"/>
  <c r="T17" i="10" s="1"/>
  <c r="U17" i="10" s="1"/>
  <c r="E18" i="10"/>
  <c r="Q18" i="10" s="1"/>
  <c r="S18" i="10" s="1"/>
  <c r="T18" i="10" s="1"/>
  <c r="U18" i="10" s="1"/>
  <c r="E19" i="10"/>
  <c r="Q19" i="10" s="1"/>
  <c r="S19" i="10" s="1"/>
  <c r="T19" i="10" s="1"/>
  <c r="U19" i="10" s="1"/>
  <c r="E20" i="10"/>
  <c r="Q20" i="10" s="1"/>
  <c r="S20" i="10" s="1"/>
  <c r="T20" i="10" s="1"/>
  <c r="U20" i="10" s="1"/>
  <c r="E21" i="10"/>
  <c r="Q21" i="10" s="1"/>
  <c r="S21" i="10" s="1"/>
  <c r="T21" i="10" s="1"/>
  <c r="U21" i="10" s="1"/>
  <c r="E22" i="10"/>
  <c r="Q22" i="10" s="1"/>
  <c r="S22" i="10" s="1"/>
  <c r="T22" i="10" s="1"/>
  <c r="U22" i="10" s="1"/>
  <c r="E23" i="10"/>
  <c r="Q23" i="10" s="1"/>
  <c r="S23" i="10" s="1"/>
  <c r="T23" i="10" s="1"/>
  <c r="U23" i="10" s="1"/>
  <c r="E24" i="10"/>
  <c r="Q24" i="10" s="1"/>
  <c r="S24" i="10" s="1"/>
  <c r="T24" i="10" s="1"/>
  <c r="U24" i="10" s="1"/>
  <c r="E25" i="10"/>
  <c r="Q25" i="10" s="1"/>
  <c r="S25" i="10" s="1"/>
  <c r="T25" i="10" s="1"/>
  <c r="U25" i="10" s="1"/>
  <c r="E26" i="10"/>
  <c r="Q26" i="10" s="1"/>
  <c r="S26" i="10" s="1"/>
  <c r="T26" i="10" s="1"/>
  <c r="U26" i="10" s="1"/>
  <c r="E27" i="10"/>
  <c r="Q27" i="10" s="1"/>
  <c r="S27" i="10" s="1"/>
  <c r="T27" i="10" s="1"/>
  <c r="U27" i="10" s="1"/>
  <c r="E28" i="10"/>
  <c r="Q28" i="10" s="1"/>
  <c r="S28" i="10" s="1"/>
  <c r="T28" i="10" s="1"/>
  <c r="U28" i="10" s="1"/>
  <c r="E29" i="10"/>
  <c r="Q29" i="10" s="1"/>
  <c r="S29" i="10" s="1"/>
  <c r="T29" i="10" s="1"/>
  <c r="U29" i="10" s="1"/>
  <c r="E30" i="10"/>
  <c r="Q30" i="10" s="1"/>
  <c r="S30" i="10" s="1"/>
  <c r="T30" i="10" s="1"/>
  <c r="U30" i="10" s="1"/>
  <c r="E31" i="10"/>
  <c r="Q31" i="10" s="1"/>
  <c r="S31" i="10" s="1"/>
  <c r="T31" i="10" s="1"/>
  <c r="U31" i="10" s="1"/>
  <c r="E32" i="10"/>
  <c r="Q32" i="10" s="1"/>
  <c r="S32" i="10" s="1"/>
  <c r="T32" i="10" s="1"/>
  <c r="U32" i="10" s="1"/>
  <c r="E33" i="10"/>
  <c r="Q33" i="10" s="1"/>
  <c r="S33" i="10" s="1"/>
  <c r="T33" i="10" s="1"/>
  <c r="U33" i="10" s="1"/>
  <c r="E34" i="10"/>
  <c r="Q34" i="10" s="1"/>
  <c r="S34" i="10" s="1"/>
  <c r="T34" i="10" s="1"/>
  <c r="U34" i="10" s="1"/>
  <c r="E35" i="10"/>
  <c r="Q35" i="10" s="1"/>
  <c r="S35" i="10" s="1"/>
  <c r="T35" i="10" s="1"/>
  <c r="U35" i="10" s="1"/>
  <c r="E36" i="10"/>
  <c r="Q36" i="10" s="1"/>
  <c r="S36" i="10" s="1"/>
  <c r="T36" i="10" s="1"/>
  <c r="U36" i="10" s="1"/>
  <c r="E37" i="10"/>
  <c r="Q37" i="10" s="1"/>
  <c r="S37" i="10" s="1"/>
  <c r="T37" i="10" s="1"/>
  <c r="U37" i="10" s="1"/>
  <c r="E38" i="10"/>
  <c r="Q38" i="10" s="1"/>
  <c r="S38" i="10" s="1"/>
  <c r="T38" i="10" s="1"/>
  <c r="U38" i="10" s="1"/>
  <c r="E39" i="10"/>
  <c r="Q39" i="10" s="1"/>
  <c r="S39" i="10" s="1"/>
  <c r="T39" i="10" s="1"/>
  <c r="U39" i="10" s="1"/>
  <c r="E40" i="10"/>
  <c r="Q40" i="10" s="1"/>
  <c r="S40" i="10" s="1"/>
  <c r="T40" i="10" s="1"/>
  <c r="U40" i="10" s="1"/>
  <c r="E41" i="10"/>
  <c r="Q41" i="10" s="1"/>
  <c r="S41" i="10" s="1"/>
  <c r="T41" i="10" s="1"/>
  <c r="U41" i="10" s="1"/>
  <c r="E42" i="10"/>
  <c r="Q42" i="10" s="1"/>
  <c r="S42" i="10" s="1"/>
  <c r="T42" i="10" s="1"/>
  <c r="U42" i="10" s="1"/>
  <c r="E43" i="10"/>
  <c r="Q43" i="10" s="1"/>
  <c r="S43" i="10" s="1"/>
  <c r="T43" i="10" s="1"/>
  <c r="U43" i="10" s="1"/>
  <c r="E44" i="10"/>
  <c r="Q44" i="10" s="1"/>
  <c r="S44" i="10" s="1"/>
  <c r="T44" i="10" s="1"/>
  <c r="U44" i="10" s="1"/>
  <c r="E45" i="10"/>
  <c r="Q45" i="10" s="1"/>
  <c r="S45" i="10" s="1"/>
  <c r="T45" i="10" s="1"/>
  <c r="U45" i="10" s="1"/>
  <c r="E46" i="10"/>
  <c r="Q46" i="10" s="1"/>
  <c r="S46" i="10" s="1"/>
  <c r="T46" i="10" s="1"/>
  <c r="U46" i="10" s="1"/>
  <c r="E47" i="10"/>
  <c r="Q47" i="10" s="1"/>
  <c r="S47" i="10" s="1"/>
  <c r="T47" i="10" s="1"/>
  <c r="U47" i="10" s="1"/>
  <c r="E48" i="10"/>
  <c r="Q48" i="10" s="1"/>
  <c r="S48" i="10" s="1"/>
  <c r="T48" i="10" s="1"/>
  <c r="U48" i="10" s="1"/>
  <c r="E49" i="10"/>
  <c r="Q49" i="10" s="1"/>
  <c r="S49" i="10" s="1"/>
  <c r="T49" i="10" s="1"/>
  <c r="U49" i="10" s="1"/>
  <c r="E2" i="10"/>
  <c r="Q2" i="10" s="1"/>
  <c r="S2" i="10" s="1"/>
  <c r="T2" i="10" s="1"/>
  <c r="U2" i="10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2" i="10"/>
  <c r="P6" i="15" l="1"/>
  <c r="P7" i="15"/>
  <c r="P8" i="15"/>
  <c r="P9" i="15"/>
  <c r="P10" i="15"/>
  <c r="P11" i="15"/>
  <c r="P5" i="15"/>
  <c r="R4" i="15"/>
  <c r="T3" i="15"/>
  <c r="Q6" i="15"/>
  <c r="Q7" i="15"/>
  <c r="Q8" i="15"/>
  <c r="Q9" i="15"/>
  <c r="Q10" i="15"/>
  <c r="Q11" i="15"/>
  <c r="Q5" i="15"/>
  <c r="Z6" i="11"/>
  <c r="Z10" i="11"/>
  <c r="Z4" i="11"/>
  <c r="Z7" i="11"/>
  <c r="Z8" i="11"/>
  <c r="Z5" i="11"/>
  <c r="Z9" i="11"/>
  <c r="AA5" i="11"/>
  <c r="AA9" i="11"/>
  <c r="AA6" i="11"/>
  <c r="AA10" i="11"/>
  <c r="AA4" i="11"/>
  <c r="AA7" i="11"/>
  <c r="AA8" i="11"/>
  <c r="T4" i="15" l="1"/>
  <c r="S3" i="15"/>
  <c r="S4" i="15" s="1"/>
  <c r="R6" i="15"/>
  <c r="R7" i="15"/>
  <c r="R8" i="15"/>
  <c r="R9" i="15"/>
  <c r="R10" i="15"/>
  <c r="R11" i="15"/>
  <c r="R5" i="15"/>
  <c r="S6" i="15" l="1"/>
  <c r="S7" i="15"/>
  <c r="S8" i="15"/>
  <c r="S9" i="15"/>
  <c r="S10" i="15"/>
  <c r="S11" i="15"/>
  <c r="S5" i="15"/>
  <c r="T6" i="15"/>
  <c r="T7" i="15"/>
  <c r="T8" i="15"/>
  <c r="T9" i="15"/>
  <c r="T10" i="15"/>
  <c r="T11" i="15"/>
  <c r="T5" i="15"/>
  <c r="M5" i="18"/>
  <c r="V2" i="10"/>
  <c r="W2" i="10"/>
  <c r="Y2" i="10"/>
  <c r="AA2" i="10"/>
  <c r="AB2" i="10"/>
  <c r="O10" i="18" l="1"/>
  <c r="Q10" i="18"/>
  <c r="S6" i="18"/>
  <c r="M8" i="18"/>
  <c r="P9" i="18"/>
  <c r="S10" i="18"/>
  <c r="N5" i="18"/>
  <c r="O6" i="18"/>
  <c r="S7" i="18"/>
  <c r="T10" i="18"/>
  <c r="L7" i="18"/>
  <c r="O8" i="18"/>
  <c r="R9" i="18"/>
  <c r="L11" i="18"/>
  <c r="P5" i="18"/>
  <c r="P10" i="18"/>
  <c r="O5" i="18"/>
  <c r="M7" i="18"/>
  <c r="P8" i="18"/>
  <c r="S9" i="18"/>
  <c r="M11" i="18"/>
  <c r="Q5" i="18"/>
  <c r="M9" i="18"/>
  <c r="N7" i="18"/>
  <c r="Q8" i="18"/>
  <c r="T9" i="18"/>
  <c r="N11" i="18"/>
  <c r="R5" i="18"/>
  <c r="R7" i="18"/>
  <c r="P6" i="18"/>
  <c r="Q6" i="18"/>
  <c r="N8" i="18"/>
  <c r="O7" i="18"/>
  <c r="R8" i="18"/>
  <c r="L10" i="18"/>
  <c r="O11" i="18"/>
  <c r="S5" i="18"/>
  <c r="R11" i="18"/>
  <c r="N9" i="18"/>
  <c r="T6" i="18"/>
  <c r="L6" i="18"/>
  <c r="M6" i="18"/>
  <c r="P7" i="18"/>
  <c r="S8" i="18"/>
  <c r="M10" i="18"/>
  <c r="P11" i="18"/>
  <c r="T5" i="18"/>
  <c r="S11" i="18"/>
  <c r="Q9" i="18"/>
  <c r="N6" i="18"/>
  <c r="Q7" i="18"/>
  <c r="T8" i="18"/>
  <c r="N10" i="18"/>
  <c r="Q11" i="18"/>
  <c r="L9" i="18"/>
  <c r="T7" i="18"/>
  <c r="T11" i="18"/>
  <c r="R6" i="18"/>
  <c r="L8" i="18"/>
  <c r="O9" i="18"/>
  <c r="R10" i="18"/>
</calcChain>
</file>

<file path=xl/sharedStrings.xml><?xml version="1.0" encoding="utf-8"?>
<sst xmlns="http://schemas.openxmlformats.org/spreadsheetml/2006/main" count="217" uniqueCount="101">
  <si>
    <t>Parcela</t>
  </si>
  <si>
    <t>hdom (m)</t>
  </si>
  <si>
    <t>Idade (ano)</t>
  </si>
  <si>
    <t>CURVA-GUIA</t>
  </si>
  <si>
    <t>Modelo de Schumacher</t>
  </si>
  <si>
    <t>a) Ajustar o modelo e construir a curva-guia;</t>
  </si>
  <si>
    <t>ln(hdom) = b0 + b1.(1/I)</t>
  </si>
  <si>
    <t>b) Rearranjar a equação de sítio para construção das curvas de sítio;</t>
  </si>
  <si>
    <t>ln(S) = b0 + b1.(1/Iref)</t>
  </si>
  <si>
    <t>* Descolar eixo-Y para Iref, em que: hdom = S e I = Iref</t>
  </si>
  <si>
    <t>* Reeescrever o modelo</t>
  </si>
  <si>
    <t>c) Isolar b0 no modelo;</t>
  </si>
  <si>
    <t>b0 = ln(S) - b1.(1/Iref)</t>
  </si>
  <si>
    <t>d) Substituir a expressão de b0 no modelo original;</t>
  </si>
  <si>
    <t>ln(hdom) = ln(S) + b1.[(1/I)-(1/Iref)]</t>
  </si>
  <si>
    <t>e) Traçar as curvas de sítio, tendo S e Iref constantes para cada classe.</t>
  </si>
  <si>
    <t>DIFERENÇA ALGÉBRICA</t>
  </si>
  <si>
    <t>Método de Alder (1980)</t>
  </si>
  <si>
    <t>a) Ajustar modelo conforme o método da curva-guia;</t>
  </si>
  <si>
    <t>b) Manipular o modelo para curvas anamórficas ou polimórficas:</t>
  </si>
  <si>
    <t>b0 = ln(hdom) - b1.(1/I)</t>
  </si>
  <si>
    <t>, considerando hdom = S e I = Iref</t>
  </si>
  <si>
    <t>b1 = [ln(hdom)-b0].I</t>
  </si>
  <si>
    <t>Método de Bailey e Clutter (1974)</t>
  </si>
  <si>
    <t>Possibilita identificar qual é o índice de sítio de uma parcela permanente:</t>
  </si>
  <si>
    <t>- curvas anamórficas</t>
  </si>
  <si>
    <r>
      <t>hdom2 = hdom1.</t>
    </r>
    <r>
      <rPr>
        <i/>
        <sz val="11"/>
        <color theme="1"/>
        <rFont val="Calibri"/>
        <family val="2"/>
        <scheme val="minor"/>
      </rPr>
      <t>e</t>
    </r>
    <r>
      <rPr>
        <vertAlign val="superscript"/>
        <sz val="11"/>
        <color theme="1"/>
        <rFont val="Calibri"/>
        <family val="2"/>
        <scheme val="minor"/>
      </rPr>
      <t>{b1.[(1/I1)-(1/I2)]}</t>
    </r>
  </si>
  <si>
    <t>, considerando hdom2 = S e I2 = Iref</t>
  </si>
  <si>
    <t xml:space="preserve">- curvas polimórficas </t>
  </si>
  <si>
    <t>hdom2 = b0.(hdom1/b0)^(I1/I2)</t>
  </si>
  <si>
    <t>HAMMER</t>
  </si>
  <si>
    <t>Desenvolvido por Hammer (1981);</t>
  </si>
  <si>
    <t>Variação do método da curva-guia;</t>
  </si>
  <si>
    <t>b) Isolar b0 no modelo e obtê-lo para cada índice de sítio (S);</t>
  </si>
  <si>
    <t>c) Ajustar um modelo linear para bo em função do S;</t>
  </si>
  <si>
    <r>
      <t xml:space="preserve">b0 = </t>
    </r>
    <r>
      <rPr>
        <sz val="11"/>
        <color theme="1"/>
        <rFont val="Calibri"/>
        <family val="2"/>
      </rPr>
      <t>α0 + α1.S</t>
    </r>
  </si>
  <si>
    <t>d) Substituir o modelo linear na equação de sítio.</t>
  </si>
  <si>
    <t>ln(hdom) = (α0 + α1.S)+ b1.(1/I)</t>
  </si>
  <si>
    <t>ln(hdom)</t>
  </si>
  <si>
    <t>1/I</t>
  </si>
  <si>
    <t>Modelo de Schumacher: ln(hdom) = b0 + b1.(1/I)</t>
  </si>
  <si>
    <t>hom est</t>
  </si>
  <si>
    <t>FCM</t>
  </si>
  <si>
    <t>hom est cor</t>
  </si>
  <si>
    <t>Resíduos</t>
  </si>
  <si>
    <t>Resíduos %</t>
  </si>
  <si>
    <t>SQE</t>
  </si>
  <si>
    <t>Syx</t>
  </si>
  <si>
    <t>Média hdom</t>
  </si>
  <si>
    <t>Syx%</t>
  </si>
  <si>
    <t>SQT</t>
  </si>
  <si>
    <t>R²</t>
  </si>
  <si>
    <t>R²aj.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</si>
  <si>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</si>
  <si>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</si>
  <si>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</si>
  <si>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</si>
  <si>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</si>
  <si>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</si>
  <si>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</si>
  <si>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</si>
  <si>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gl</t>
  </si>
  <si>
    <t>SQ</t>
  </si>
  <si>
    <t>MQ</t>
  </si>
  <si>
    <t>F</t>
  </si>
  <si>
    <t>F de significação</t>
  </si>
  <si>
    <t>Regressão</t>
  </si>
  <si>
    <t>Resíduo</t>
  </si>
  <si>
    <t>Total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</si>
  <si>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</si>
  <si>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</si>
  <si>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</si>
  <si>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</si>
  <si>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</si>
  <si>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</si>
  <si>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</si>
  <si>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Interseção</t>
  </si>
  <si>
    <t>Iref (ano)</t>
  </si>
  <si>
    <t>Idade</t>
  </si>
  <si>
    <t>I</t>
  </si>
  <si>
    <t>II</t>
  </si>
  <si>
    <t>III</t>
  </si>
  <si>
    <t>b0</t>
  </si>
  <si>
    <t>Mínimo na Iref</t>
  </si>
  <si>
    <t>(ano)</t>
  </si>
  <si>
    <t>LS</t>
  </si>
  <si>
    <t>CC</t>
  </si>
  <si>
    <t>LI</t>
  </si>
  <si>
    <t>b1</t>
  </si>
  <si>
    <t>Máximo na Iref</t>
  </si>
  <si>
    <t>S</t>
  </si>
  <si>
    <t>Amplitude (m)</t>
  </si>
  <si>
    <t>hdom est</t>
  </si>
  <si>
    <t>Nº classes</t>
  </si>
  <si>
    <t>Intervalo</t>
  </si>
  <si>
    <t>b1 = [ln(S)-b0].Iref</t>
  </si>
  <si>
    <t>Regressão:</t>
  </si>
  <si>
    <t xml:space="preserve">α0 </t>
  </si>
  <si>
    <t>α1</t>
  </si>
  <si>
    <t>- b0 variando para todos os sítios = curvas anamórficas</t>
  </si>
  <si>
    <t xml:space="preserve">- b1 variando para todos os sítios = curvas polimórficas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</si>
</sst>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4" fontId="0" fillId="0" borderId="0" xfId="0" applyNumberFormat="1"/>
    <xf numFmtId="166" fontId="0" fillId="0" borderId="0" xfId="0" applyNumberFormat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/>
    <xf numFmtId="0" fontId="0" fillId="0" borderId="1" xfId="0" applyBorder="1"/>
    <xf numFmtId="0" fontId="1" fillId="0" borderId="1" xfId="0" applyFont="1" applyBorder="1"/>
    <xf numFmtId="2" fontId="0" fillId="2" borderId="0" xfId="0" applyNumberFormat="1" applyFill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0" xfId="0" applyFont="1"/>
    <xf numFmtId="164" fontId="0" fillId="3" borderId="7" xfId="0" applyNumberForma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166" fontId="0" fillId="3" borderId="0" xfId="0" applyNumberFormat="1" applyFill="1" applyAlignment="1">
      <alignment horizontal="center"/>
    </xf>
    <xf numFmtId="0" fontId="0" fillId="4" borderId="10" xfId="0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4" borderId="9" xfId="0" applyNumberFormat="1" applyFill="1" applyBorder="1" applyAlignment="1">
      <alignment horizontal="center"/>
    </xf>
    <xf numFmtId="165" fontId="0" fillId="4" borderId="1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5" fontId="0" fillId="4" borderId="12" xfId="0" applyNumberFormat="1" applyFill="1" applyBorder="1" applyAlignment="1">
      <alignment horizontal="center"/>
    </xf>
    <xf numFmtId="0" fontId="0" fillId="0" borderId="0" xfId="0" quotePrefix="1"/>
    <xf numFmtId="0" fontId="0" fillId="0" borderId="13" xfId="0" applyBorder="1"/>
    <xf numFmtId="0" fontId="2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Continuous"/>
    </xf>
    <xf numFmtId="164" fontId="0" fillId="3" borderId="3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Resíduo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Ajuste!$S$2:$S$49</c:f>
              <c:numCache>
                <c:formatCode>0.00</c:formatCode>
                <c:ptCount val="48"/>
                <c:pt idx="0">
                  <c:v>13.535568221493101</c:v>
                </c:pt>
                <c:pt idx="1">
                  <c:v>13.535568221493101</c:v>
                </c:pt>
                <c:pt idx="2">
                  <c:v>13.535568221493101</c:v>
                </c:pt>
                <c:pt idx="3">
                  <c:v>13.535568221493101</c:v>
                </c:pt>
                <c:pt idx="4">
                  <c:v>13.535568221493101</c:v>
                </c:pt>
                <c:pt idx="5">
                  <c:v>13.535568221493101</c:v>
                </c:pt>
                <c:pt idx="6">
                  <c:v>13.535568221493101</c:v>
                </c:pt>
                <c:pt idx="7">
                  <c:v>13.535568221493101</c:v>
                </c:pt>
                <c:pt idx="8">
                  <c:v>13.535568221493101</c:v>
                </c:pt>
                <c:pt idx="9">
                  <c:v>13.535568221493101</c:v>
                </c:pt>
                <c:pt idx="10">
                  <c:v>17.797887854931471</c:v>
                </c:pt>
                <c:pt idx="11">
                  <c:v>17.797887854931471</c:v>
                </c:pt>
                <c:pt idx="12">
                  <c:v>17.797887854931471</c:v>
                </c:pt>
                <c:pt idx="13">
                  <c:v>17.797887854931471</c:v>
                </c:pt>
                <c:pt idx="14">
                  <c:v>17.797887854931471</c:v>
                </c:pt>
                <c:pt idx="15">
                  <c:v>17.797887854931471</c:v>
                </c:pt>
                <c:pt idx="16">
                  <c:v>17.797887854931471</c:v>
                </c:pt>
                <c:pt idx="17">
                  <c:v>17.797887854931471</c:v>
                </c:pt>
                <c:pt idx="18">
                  <c:v>17.797887854931471</c:v>
                </c:pt>
                <c:pt idx="19">
                  <c:v>17.797887854931471</c:v>
                </c:pt>
                <c:pt idx="20">
                  <c:v>20.408658227415547</c:v>
                </c:pt>
                <c:pt idx="21">
                  <c:v>20.408658227415547</c:v>
                </c:pt>
                <c:pt idx="22">
                  <c:v>20.408658227415547</c:v>
                </c:pt>
                <c:pt idx="23">
                  <c:v>20.408658227415547</c:v>
                </c:pt>
                <c:pt idx="24">
                  <c:v>20.408658227415547</c:v>
                </c:pt>
                <c:pt idx="25">
                  <c:v>20.408658227415547</c:v>
                </c:pt>
                <c:pt idx="26">
                  <c:v>20.408658227415547</c:v>
                </c:pt>
                <c:pt idx="27">
                  <c:v>20.408658227415547</c:v>
                </c:pt>
                <c:pt idx="28">
                  <c:v>20.408658227415547</c:v>
                </c:pt>
                <c:pt idx="29">
                  <c:v>20.408658227415547</c:v>
                </c:pt>
                <c:pt idx="30">
                  <c:v>22.155524970019577</c:v>
                </c:pt>
                <c:pt idx="31">
                  <c:v>22.155524970019577</c:v>
                </c:pt>
                <c:pt idx="32">
                  <c:v>22.155524970019577</c:v>
                </c:pt>
                <c:pt idx="33">
                  <c:v>22.155524970019577</c:v>
                </c:pt>
                <c:pt idx="34">
                  <c:v>22.155524970019577</c:v>
                </c:pt>
                <c:pt idx="35">
                  <c:v>22.155524970019577</c:v>
                </c:pt>
                <c:pt idx="36">
                  <c:v>22.155524970019577</c:v>
                </c:pt>
                <c:pt idx="37">
                  <c:v>22.155524970019577</c:v>
                </c:pt>
                <c:pt idx="38">
                  <c:v>22.155524970019577</c:v>
                </c:pt>
                <c:pt idx="39">
                  <c:v>22.155524970019577</c:v>
                </c:pt>
                <c:pt idx="40">
                  <c:v>23.402402242244033</c:v>
                </c:pt>
                <c:pt idx="41">
                  <c:v>23.402402242244033</c:v>
                </c:pt>
                <c:pt idx="42">
                  <c:v>23.402402242244033</c:v>
                </c:pt>
                <c:pt idx="43">
                  <c:v>23.402402242244033</c:v>
                </c:pt>
                <c:pt idx="44">
                  <c:v>23.402402242244033</c:v>
                </c:pt>
                <c:pt idx="45">
                  <c:v>23.402402242244033</c:v>
                </c:pt>
                <c:pt idx="46">
                  <c:v>23.402402242244033</c:v>
                </c:pt>
                <c:pt idx="47">
                  <c:v>23.402402242244033</c:v>
                </c:pt>
              </c:numCache>
            </c:numRef>
          </c:xVal>
          <c:yVal>
            <c:numRef>
              <c:f>Ajuste!$U$2:$U$49</c:f>
              <c:numCache>
                <c:formatCode>0.00</c:formatCode>
                <c:ptCount val="48"/>
                <c:pt idx="0">
                  <c:v>-20.853287691902693</c:v>
                </c:pt>
                <c:pt idx="1">
                  <c:v>-21.72273580479408</c:v>
                </c:pt>
                <c:pt idx="2">
                  <c:v>5.3456767727755237</c:v>
                </c:pt>
                <c:pt idx="3">
                  <c:v>13.344633665217021</c:v>
                </c:pt>
                <c:pt idx="4">
                  <c:v>0.18017535772049928</c:v>
                </c:pt>
                <c:pt idx="5">
                  <c:v>10.59730368894914</c:v>
                </c:pt>
                <c:pt idx="6">
                  <c:v>14.005284488608002</c:v>
                </c:pt>
                <c:pt idx="7">
                  <c:v>10.002870867732037</c:v>
                </c:pt>
                <c:pt idx="8">
                  <c:v>-10.045270093439838</c:v>
                </c:pt>
                <c:pt idx="9">
                  <c:v>-7.4251446150246121</c:v>
                </c:pt>
                <c:pt idx="10">
                  <c:v>-18.652585699543138</c:v>
                </c:pt>
                <c:pt idx="11">
                  <c:v>-16.022736994338143</c:v>
                </c:pt>
                <c:pt idx="12">
                  <c:v>-1.7022163138941184</c:v>
                </c:pt>
                <c:pt idx="13">
                  <c:v>8.4470789355377072</c:v>
                </c:pt>
                <c:pt idx="14">
                  <c:v>-7.6051260878565401</c:v>
                </c:pt>
                <c:pt idx="15">
                  <c:v>-3.2360084392776813</c:v>
                </c:pt>
                <c:pt idx="16">
                  <c:v>-9.1894960425243557</c:v>
                </c:pt>
                <c:pt idx="17">
                  <c:v>-16.630982011346468</c:v>
                </c:pt>
                <c:pt idx="18">
                  <c:v>14.433231466675625</c:v>
                </c:pt>
                <c:pt idx="19">
                  <c:v>23.614215214886393</c:v>
                </c:pt>
                <c:pt idx="20">
                  <c:v>-24.747299678579139</c:v>
                </c:pt>
                <c:pt idx="21">
                  <c:v>-16.487775270636686</c:v>
                </c:pt>
                <c:pt idx="22">
                  <c:v>4.0946511869570221</c:v>
                </c:pt>
                <c:pt idx="23">
                  <c:v>-8.2113373669965384</c:v>
                </c:pt>
                <c:pt idx="24">
                  <c:v>-12.755017831025112</c:v>
                </c:pt>
                <c:pt idx="25">
                  <c:v>-8.2113373669965384</c:v>
                </c:pt>
                <c:pt idx="26">
                  <c:v>0.44556962236318631</c:v>
                </c:pt>
                <c:pt idx="27">
                  <c:v>-13.381434596753039</c:v>
                </c:pt>
                <c:pt idx="28">
                  <c:v>8.3992000564831866</c:v>
                </c:pt>
                <c:pt idx="29">
                  <c:v>21.685885543301811</c:v>
                </c:pt>
                <c:pt idx="30">
                  <c:v>-19.759594432538254</c:v>
                </c:pt>
                <c:pt idx="31">
                  <c:v>-12.693412868868654</c:v>
                </c:pt>
                <c:pt idx="32">
                  <c:v>6.0410306614945766</c:v>
                </c:pt>
                <c:pt idx="33">
                  <c:v>-2.4769887604975778</c:v>
                </c:pt>
                <c:pt idx="34">
                  <c:v>-4.7047493857257896</c:v>
                </c:pt>
                <c:pt idx="35">
                  <c:v>-2.7621751856195669</c:v>
                </c:pt>
                <c:pt idx="36">
                  <c:v>5.6408646932726709</c:v>
                </c:pt>
                <c:pt idx="37">
                  <c:v>-2.1933808580238821</c:v>
                </c:pt>
                <c:pt idx="38">
                  <c:v>8.6746703626563235</c:v>
                </c:pt>
                <c:pt idx="39">
                  <c:v>25.402272828216908</c:v>
                </c:pt>
                <c:pt idx="40">
                  <c:v>-11.333978317050589</c:v>
                </c:pt>
                <c:pt idx="41">
                  <c:v>-11.333978317050589</c:v>
                </c:pt>
                <c:pt idx="42">
                  <c:v>3.5350278555480967</c:v>
                </c:pt>
                <c:pt idx="43">
                  <c:v>3.3757132855324756</c:v>
                </c:pt>
                <c:pt idx="44">
                  <c:v>-7.4490461076401839</c:v>
                </c:pt>
                <c:pt idx="45">
                  <c:v>-10.388689821905821</c:v>
                </c:pt>
                <c:pt idx="46">
                  <c:v>10.881941194805666</c:v>
                </c:pt>
                <c:pt idx="47">
                  <c:v>22.147697131590039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EF-4345-8803-4E92DD91A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781528"/>
        <c:axId val="582777592"/>
      </c:scatterChart>
      <c:valAx>
        <c:axId val="582781528"/>
        <c:scaling>
          <c:orientation val="minMax"/>
          <c:max val="30"/>
          <c:min val="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Hdom 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82777592"/>
        <c:crosses val="autoZero"/>
        <c:crossBetween val="midCat"/>
      </c:valAx>
      <c:valAx>
        <c:axId val="582777592"/>
        <c:scaling>
          <c:orientation val="minMax"/>
          <c:max val="100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Resíduo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58278152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/>
              <a:t>Curva-guia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Observado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'Curva-guia'!$C$2:$C$49</c:f>
              <c:numCache>
                <c:formatCode>0.0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xVal>
          <c:yVal>
            <c:numRef>
              <c:f>'Curva-guia'!$B$2:$B$49</c:f>
              <c:numCache>
                <c:formatCode>0.0</c:formatCode>
                <c:ptCount val="48"/>
                <c:pt idx="0">
                  <c:v>11.2</c:v>
                </c:pt>
                <c:pt idx="1">
                  <c:v>11.12</c:v>
                </c:pt>
                <c:pt idx="2">
                  <c:v>14.3</c:v>
                </c:pt>
                <c:pt idx="3">
                  <c:v>15.62</c:v>
                </c:pt>
                <c:pt idx="4">
                  <c:v>13.56</c:v>
                </c:pt>
                <c:pt idx="5">
                  <c:v>15.14</c:v>
                </c:pt>
                <c:pt idx="6">
                  <c:v>15.74</c:v>
                </c:pt>
                <c:pt idx="7">
                  <c:v>15.04</c:v>
                </c:pt>
                <c:pt idx="8">
                  <c:v>12.3</c:v>
                </c:pt>
                <c:pt idx="9">
                  <c:v>12.6</c:v>
                </c:pt>
                <c:pt idx="10">
                  <c:v>15</c:v>
                </c:pt>
                <c:pt idx="11">
                  <c:v>15.34</c:v>
                </c:pt>
                <c:pt idx="12">
                  <c:v>17.5</c:v>
                </c:pt>
                <c:pt idx="13">
                  <c:v>19.440000000000001</c:v>
                </c:pt>
                <c:pt idx="14">
                  <c:v>16.54</c:v>
                </c:pt>
                <c:pt idx="15">
                  <c:v>17.239999999999998</c:v>
                </c:pt>
                <c:pt idx="16">
                  <c:v>16.3</c:v>
                </c:pt>
                <c:pt idx="17">
                  <c:v>15.26</c:v>
                </c:pt>
                <c:pt idx="18">
                  <c:v>20.8</c:v>
                </c:pt>
                <c:pt idx="19">
                  <c:v>23.3</c:v>
                </c:pt>
                <c:pt idx="20">
                  <c:v>16.36</c:v>
                </c:pt>
                <c:pt idx="21">
                  <c:v>17.52</c:v>
                </c:pt>
                <c:pt idx="22">
                  <c:v>21.28</c:v>
                </c:pt>
                <c:pt idx="23">
                  <c:v>18.86</c:v>
                </c:pt>
                <c:pt idx="24">
                  <c:v>18.100000000000001</c:v>
                </c:pt>
                <c:pt idx="25">
                  <c:v>18.86</c:v>
                </c:pt>
                <c:pt idx="26">
                  <c:v>20.5</c:v>
                </c:pt>
                <c:pt idx="27">
                  <c:v>18</c:v>
                </c:pt>
                <c:pt idx="28">
                  <c:v>22.28</c:v>
                </c:pt>
                <c:pt idx="29">
                  <c:v>26.06</c:v>
                </c:pt>
                <c:pt idx="30">
                  <c:v>18.5</c:v>
                </c:pt>
                <c:pt idx="31">
                  <c:v>19.66</c:v>
                </c:pt>
                <c:pt idx="32">
                  <c:v>23.58</c:v>
                </c:pt>
                <c:pt idx="33">
                  <c:v>21.62</c:v>
                </c:pt>
                <c:pt idx="34">
                  <c:v>21.16</c:v>
                </c:pt>
                <c:pt idx="35">
                  <c:v>21.56</c:v>
                </c:pt>
                <c:pt idx="36">
                  <c:v>23.48</c:v>
                </c:pt>
                <c:pt idx="37">
                  <c:v>21.68</c:v>
                </c:pt>
                <c:pt idx="38">
                  <c:v>24.26</c:v>
                </c:pt>
                <c:pt idx="39">
                  <c:v>29.7</c:v>
                </c:pt>
                <c:pt idx="40">
                  <c:v>21.02</c:v>
                </c:pt>
                <c:pt idx="41">
                  <c:v>21.02</c:v>
                </c:pt>
                <c:pt idx="42">
                  <c:v>24.26</c:v>
                </c:pt>
                <c:pt idx="43">
                  <c:v>24.22</c:v>
                </c:pt>
                <c:pt idx="44">
                  <c:v>21.78</c:v>
                </c:pt>
                <c:pt idx="45">
                  <c:v>21.2</c:v>
                </c:pt>
                <c:pt idx="46">
                  <c:v>26.26</c:v>
                </c:pt>
                <c:pt idx="47">
                  <c:v>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18-4107-8365-BAE95CD5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23088"/>
        <c:axId val="618823744"/>
      </c:scatterChart>
      <c:scatterChart>
        <c:scatterStyle val="smoothMarker"/>
        <c:varyColors val="0"/>
        <c:ser>
          <c:idx val="0"/>
          <c:order val="0"/>
          <c:tx>
            <c:v>Curva Guia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'Curva-guia'!$F$6:$F$22</c:f>
              <c:numCache>
                <c:formatCode>General</c:formatCode>
                <c:ptCount val="17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3.5</c:v>
                </c:pt>
                <c:pt idx="4">
                  <c:v>4</c:v>
                </c:pt>
                <c:pt idx="5">
                  <c:v>4.5</c:v>
                </c:pt>
                <c:pt idx="6">
                  <c:v>5</c:v>
                </c:pt>
                <c:pt idx="7">
                  <c:v>5.5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  <c:pt idx="13">
                  <c:v>8.5</c:v>
                </c:pt>
                <c:pt idx="14">
                  <c:v>9</c:v>
                </c:pt>
                <c:pt idx="15">
                  <c:v>9.5</c:v>
                </c:pt>
                <c:pt idx="16">
                  <c:v>10</c:v>
                </c:pt>
              </c:numCache>
            </c:numRef>
          </c:xVal>
          <c:yVal>
            <c:numRef>
              <c:f>'Curva-guia'!$E$6:$E$22</c:f>
              <c:numCache>
                <c:formatCode>0.00</c:formatCode>
                <c:ptCount val="17"/>
                <c:pt idx="0">
                  <c:v>13.41812680056502</c:v>
                </c:pt>
                <c:pt idx="1">
                  <c:v>15.813466246029952</c:v>
                </c:pt>
                <c:pt idx="2">
                  <c:v>17.643464397785227</c:v>
                </c:pt>
                <c:pt idx="3">
                  <c:v>19.078885463859677</c:v>
                </c:pt>
                <c:pt idx="4">
                  <c:v>20.231582408931818</c:v>
                </c:pt>
                <c:pt idx="5">
                  <c:v>21.176061097114818</c:v>
                </c:pt>
                <c:pt idx="6">
                  <c:v>21.9632924540802</c:v>
                </c:pt>
                <c:pt idx="7">
                  <c:v>22.629110232394588</c:v>
                </c:pt>
                <c:pt idx="8">
                  <c:v>23.199351189825308</c:v>
                </c:pt>
                <c:pt idx="9">
                  <c:v>23.693072082583253</c:v>
                </c:pt>
                <c:pt idx="10">
                  <c:v>24.124615872055777</c:v>
                </c:pt>
                <c:pt idx="11">
                  <c:v>24.504973321013338</c:v>
                </c:pt>
                <c:pt idx="12">
                  <c:v>24.842702165395014</c:v>
                </c:pt>
                <c:pt idx="13">
                  <c:v>25.144561532578138</c:v>
                </c:pt>
                <c:pt idx="14">
                  <c:v>25.415958764029941</c:v>
                </c:pt>
                <c:pt idx="15">
                  <c:v>25.661269952660408</c:v>
                </c:pt>
                <c:pt idx="16">
                  <c:v>25.8840737635343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18-4107-8365-BAE95CD5A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823088"/>
        <c:axId val="618823744"/>
      </c:scatterChart>
      <c:valAx>
        <c:axId val="618823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Idade (anos)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18823744"/>
        <c:crosses val="autoZero"/>
        <c:crossBetween val="midCat"/>
      </c:valAx>
      <c:valAx>
        <c:axId val="618823744"/>
        <c:scaling>
          <c:orientation val="minMax"/>
          <c:max val="40"/>
          <c:min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pt-BR"/>
                  <a:t>Hdom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618823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7"/>
          <c:order val="7"/>
          <c:tx>
            <c:v>Obs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'Curva-guia'!$C$2:$C$49</c:f>
              <c:numCache>
                <c:formatCode>0.0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xVal>
          <c:yVal>
            <c:numRef>
              <c:f>'Curva-guia'!$B$2:$B$49</c:f>
              <c:numCache>
                <c:formatCode>0.0</c:formatCode>
                <c:ptCount val="48"/>
                <c:pt idx="0">
                  <c:v>11.2</c:v>
                </c:pt>
                <c:pt idx="1">
                  <c:v>11.12</c:v>
                </c:pt>
                <c:pt idx="2">
                  <c:v>14.3</c:v>
                </c:pt>
                <c:pt idx="3">
                  <c:v>15.62</c:v>
                </c:pt>
                <c:pt idx="4">
                  <c:v>13.56</c:v>
                </c:pt>
                <c:pt idx="5">
                  <c:v>15.14</c:v>
                </c:pt>
                <c:pt idx="6">
                  <c:v>15.74</c:v>
                </c:pt>
                <c:pt idx="7">
                  <c:v>15.04</c:v>
                </c:pt>
                <c:pt idx="8">
                  <c:v>12.3</c:v>
                </c:pt>
                <c:pt idx="9">
                  <c:v>12.6</c:v>
                </c:pt>
                <c:pt idx="10">
                  <c:v>15</c:v>
                </c:pt>
                <c:pt idx="11">
                  <c:v>15.34</c:v>
                </c:pt>
                <c:pt idx="12">
                  <c:v>17.5</c:v>
                </c:pt>
                <c:pt idx="13">
                  <c:v>19.440000000000001</c:v>
                </c:pt>
                <c:pt idx="14">
                  <c:v>16.54</c:v>
                </c:pt>
                <c:pt idx="15">
                  <c:v>17.239999999999998</c:v>
                </c:pt>
                <c:pt idx="16">
                  <c:v>16.3</c:v>
                </c:pt>
                <c:pt idx="17">
                  <c:v>15.26</c:v>
                </c:pt>
                <c:pt idx="18">
                  <c:v>20.8</c:v>
                </c:pt>
                <c:pt idx="19">
                  <c:v>23.3</c:v>
                </c:pt>
                <c:pt idx="20">
                  <c:v>16.36</c:v>
                </c:pt>
                <c:pt idx="21">
                  <c:v>17.52</c:v>
                </c:pt>
                <c:pt idx="22">
                  <c:v>21.28</c:v>
                </c:pt>
                <c:pt idx="23">
                  <c:v>18.86</c:v>
                </c:pt>
                <c:pt idx="24">
                  <c:v>18.100000000000001</c:v>
                </c:pt>
                <c:pt idx="25">
                  <c:v>18.86</c:v>
                </c:pt>
                <c:pt idx="26">
                  <c:v>20.5</c:v>
                </c:pt>
                <c:pt idx="27">
                  <c:v>18</c:v>
                </c:pt>
                <c:pt idx="28">
                  <c:v>22.28</c:v>
                </c:pt>
                <c:pt idx="29">
                  <c:v>26.06</c:v>
                </c:pt>
                <c:pt idx="30">
                  <c:v>18.5</c:v>
                </c:pt>
                <c:pt idx="31">
                  <c:v>19.66</c:v>
                </c:pt>
                <c:pt idx="32">
                  <c:v>23.58</c:v>
                </c:pt>
                <c:pt idx="33">
                  <c:v>21.62</c:v>
                </c:pt>
                <c:pt idx="34">
                  <c:v>21.16</c:v>
                </c:pt>
                <c:pt idx="35">
                  <c:v>21.56</c:v>
                </c:pt>
                <c:pt idx="36">
                  <c:v>23.48</c:v>
                </c:pt>
                <c:pt idx="37">
                  <c:v>21.68</c:v>
                </c:pt>
                <c:pt idx="38">
                  <c:v>24.26</c:v>
                </c:pt>
                <c:pt idx="39">
                  <c:v>29.7</c:v>
                </c:pt>
                <c:pt idx="40">
                  <c:v>21.02</c:v>
                </c:pt>
                <c:pt idx="41">
                  <c:v>21.02</c:v>
                </c:pt>
                <c:pt idx="42">
                  <c:v>24.26</c:v>
                </c:pt>
                <c:pt idx="43">
                  <c:v>24.22</c:v>
                </c:pt>
                <c:pt idx="44">
                  <c:v>21.78</c:v>
                </c:pt>
                <c:pt idx="45">
                  <c:v>21.2</c:v>
                </c:pt>
                <c:pt idx="46">
                  <c:v>26.26</c:v>
                </c:pt>
                <c:pt idx="47">
                  <c:v>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DD0-476E-9C7D-4D56E39D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409656"/>
        <c:axId val="623400472"/>
      </c:scatterChart>
      <c:scatterChart>
        <c:scatterStyle val="smoothMarker"/>
        <c:varyColors val="0"/>
        <c:ser>
          <c:idx val="0"/>
          <c:order val="0"/>
          <c:tx>
            <c:v>LS 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'Curva-guia'!$S$4:$S$10</c:f>
              <c:numCache>
                <c:formatCode>0.0</c:formatCode>
                <c:ptCount val="7"/>
                <c:pt idx="0">
                  <c:v>18.144746139950755</c:v>
                </c:pt>
                <c:pt idx="1">
                  <c:v>23.858485411957169</c:v>
                </c:pt>
                <c:pt idx="2">
                  <c:v>27.358284228175801</c:v>
                </c:pt>
                <c:pt idx="3">
                  <c:v>29.7</c:v>
                </c:pt>
                <c:pt idx="4">
                  <c:v>31.371468179389911</c:v>
                </c:pt>
                <c:pt idx="5">
                  <c:v>32.622663150257779</c:v>
                </c:pt>
                <c:pt idx="6">
                  <c:v>33.593699845086881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0-476E-9C7D-4D56E39D2B4F}"/>
            </c:ext>
          </c:extLst>
        </c:ser>
        <c:ser>
          <c:idx val="1"/>
          <c:order val="1"/>
          <c:tx>
            <c:v>LS II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'Curva-guia'!$V$4:$V$10</c:f>
              <c:numCache>
                <c:formatCode>0.0</c:formatCode>
                <c:ptCount val="7"/>
                <c:pt idx="0">
                  <c:v>15.863925076343026</c:v>
                </c:pt>
                <c:pt idx="1">
                  <c:v>20.85943898531384</c:v>
                </c:pt>
                <c:pt idx="2">
                  <c:v>23.919307984005552</c:v>
                </c:pt>
                <c:pt idx="3">
                  <c:v>25.966666666666661</c:v>
                </c:pt>
                <c:pt idx="4">
                  <c:v>27.428028857177036</c:v>
                </c:pt>
                <c:pt idx="5">
                  <c:v>28.521946794669816</c:v>
                </c:pt>
                <c:pt idx="6">
                  <c:v>29.370922760182577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D0-476E-9C7D-4D56E39D2B4F}"/>
            </c:ext>
          </c:extLst>
        </c:ser>
        <c:ser>
          <c:idx val="2"/>
          <c:order val="2"/>
          <c:tx>
            <c:v>LS III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'Curva-guia'!$Y$4:$Y$10</c:f>
              <c:numCache>
                <c:formatCode>0.0</c:formatCode>
                <c:ptCount val="7"/>
                <c:pt idx="0">
                  <c:v>13.583104012735301</c:v>
                </c:pt>
                <c:pt idx="1">
                  <c:v>17.860392558670519</c:v>
                </c:pt>
                <c:pt idx="2">
                  <c:v>20.480331739835307</c:v>
                </c:pt>
                <c:pt idx="3">
                  <c:v>22.233333333333334</c:v>
                </c:pt>
                <c:pt idx="4">
                  <c:v>23.484589534964165</c:v>
                </c:pt>
                <c:pt idx="5">
                  <c:v>24.421230439081864</c:v>
                </c:pt>
                <c:pt idx="6">
                  <c:v>25.148145675278283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DD0-476E-9C7D-4D56E39D2B4F}"/>
            </c:ext>
          </c:extLst>
        </c:ser>
        <c:ser>
          <c:idx val="3"/>
          <c:order val="3"/>
          <c:tx>
            <c:v>LI III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'Curva-guia'!$AA$4:$AA$10</c:f>
              <c:numCache>
                <c:formatCode>0.0</c:formatCode>
                <c:ptCount val="7"/>
                <c:pt idx="0">
                  <c:v>11.302282949127573</c:v>
                </c:pt>
                <c:pt idx="1">
                  <c:v>14.86134613202719</c:v>
                </c:pt>
                <c:pt idx="2">
                  <c:v>17.041355495665059</c:v>
                </c:pt>
                <c:pt idx="3">
                  <c:v>18.499999999999996</c:v>
                </c:pt>
                <c:pt idx="4">
                  <c:v>19.54115021275129</c:v>
                </c:pt>
                <c:pt idx="5">
                  <c:v>20.320514083493901</c:v>
                </c:pt>
                <c:pt idx="6">
                  <c:v>20.925368590373978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DD0-476E-9C7D-4D56E39D2B4F}"/>
            </c:ext>
          </c:extLst>
        </c:ser>
        <c:ser>
          <c:idx val="4"/>
          <c:order val="4"/>
          <c:tx>
            <c:v>S I</c:v>
          </c:tx>
          <c:spPr>
            <a:ln w="19050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'Curva-guia'!$T$4:$T$10</c:f>
              <c:numCache>
                <c:formatCode>0.0</c:formatCode>
                <c:ptCount val="7"/>
                <c:pt idx="0">
                  <c:v>17.004335608146889</c:v>
                </c:pt>
                <c:pt idx="1">
                  <c:v>22.358962198635506</c:v>
                </c:pt>
                <c:pt idx="2">
                  <c:v>25.638796106090677</c:v>
                </c:pt>
                <c:pt idx="3">
                  <c:v>27.833333333333332</c:v>
                </c:pt>
                <c:pt idx="4">
                  <c:v>29.399748518283474</c:v>
                </c:pt>
                <c:pt idx="5">
                  <c:v>30.572304972463797</c:v>
                </c:pt>
                <c:pt idx="6">
                  <c:v>31.482311302634727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DD0-476E-9C7D-4D56E39D2B4F}"/>
            </c:ext>
          </c:extLst>
        </c:ser>
        <c:ser>
          <c:idx val="5"/>
          <c:order val="5"/>
          <c:tx>
            <c:v>S II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'Curva-guia'!$W$4:$W$10</c:f>
              <c:numCache>
                <c:formatCode>0.0</c:formatCode>
                <c:ptCount val="7"/>
                <c:pt idx="0">
                  <c:v>14.723514544539164</c:v>
                </c:pt>
                <c:pt idx="1">
                  <c:v>19.359915771992181</c:v>
                </c:pt>
                <c:pt idx="2">
                  <c:v>22.199819861920432</c:v>
                </c:pt>
                <c:pt idx="3">
                  <c:v>24.1</c:v>
                </c:pt>
                <c:pt idx="4">
                  <c:v>25.456309196070602</c:v>
                </c:pt>
                <c:pt idx="5">
                  <c:v>26.471588616875842</c:v>
                </c:pt>
                <c:pt idx="6">
                  <c:v>27.259534217730433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DD0-476E-9C7D-4D56E39D2B4F}"/>
            </c:ext>
          </c:extLst>
        </c:ser>
        <c:ser>
          <c:idx val="6"/>
          <c:order val="6"/>
          <c:tx>
            <c:v>S III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'Curva-guia'!$R$4:$R$10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'Curva-guia'!$Z$4:$Z$10</c:f>
              <c:numCache>
                <c:formatCode>0.0</c:formatCode>
                <c:ptCount val="7"/>
                <c:pt idx="0">
                  <c:v>12.442693480931435</c:v>
                </c:pt>
                <c:pt idx="1">
                  <c:v>16.360869345348853</c:v>
                </c:pt>
                <c:pt idx="2">
                  <c:v>18.760843617750179</c:v>
                </c:pt>
                <c:pt idx="3">
                  <c:v>20.36666666666666</c:v>
                </c:pt>
                <c:pt idx="4">
                  <c:v>21.512869873857724</c:v>
                </c:pt>
                <c:pt idx="5">
                  <c:v>22.370872261287879</c:v>
                </c:pt>
                <c:pt idx="6">
                  <c:v>23.036757132826125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DD0-476E-9C7D-4D56E39D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409656"/>
        <c:axId val="623400472"/>
      </c:scatterChart>
      <c:valAx>
        <c:axId val="623409656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3400472"/>
        <c:crosses val="autoZero"/>
        <c:crossBetween val="midCat"/>
      </c:valAx>
      <c:valAx>
        <c:axId val="623400472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3409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Classes de Sítio</a:t>
            </a:r>
          </a:p>
        </c:rich>
      </c:tx>
      <c:layout>
        <c:manualLayout>
          <c:xMode val="edge"/>
          <c:yMode val="edge"/>
          <c:x val="0.41744444444444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01902887139108"/>
          <c:y val="0.12884295713035873"/>
          <c:w val="0.69175316458526159"/>
          <c:h val="0.712159886264216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anamórfica'!$L$5:$L$11</c:f>
              <c:numCache>
                <c:formatCode>0.0</c:formatCode>
                <c:ptCount val="7"/>
                <c:pt idx="0">
                  <c:v>18.144746139950755</c:v>
                </c:pt>
                <c:pt idx="1">
                  <c:v>23.858485411957179</c:v>
                </c:pt>
                <c:pt idx="2">
                  <c:v>27.358284228175812</c:v>
                </c:pt>
                <c:pt idx="3">
                  <c:v>29.7</c:v>
                </c:pt>
                <c:pt idx="4">
                  <c:v>31.371468179389925</c:v>
                </c:pt>
                <c:pt idx="5">
                  <c:v>32.622663150257779</c:v>
                </c:pt>
                <c:pt idx="6">
                  <c:v>33.593699845086896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DD-4924-A9C8-FD89D49958E7}"/>
            </c:ext>
          </c:extLst>
        </c:ser>
        <c:ser>
          <c:idx val="1"/>
          <c:order val="1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anamórfica'!$N$5:$N$11</c:f>
              <c:numCache>
                <c:formatCode>0.0</c:formatCode>
                <c:ptCount val="7"/>
                <c:pt idx="0">
                  <c:v>15.863925076343019</c:v>
                </c:pt>
                <c:pt idx="1">
                  <c:v>20.85943898531384</c:v>
                </c:pt>
                <c:pt idx="2">
                  <c:v>23.919307984005552</c:v>
                </c:pt>
                <c:pt idx="3">
                  <c:v>25.966666666666651</c:v>
                </c:pt>
                <c:pt idx="4">
                  <c:v>27.428028857177036</c:v>
                </c:pt>
                <c:pt idx="5">
                  <c:v>28.521946794669805</c:v>
                </c:pt>
                <c:pt idx="6">
                  <c:v>29.370922760182577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D-4924-A9C8-FD89D49958E7}"/>
            </c:ext>
          </c:extLst>
        </c:ser>
        <c:ser>
          <c:idx val="2"/>
          <c:order val="2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anamórfica'!$Q$5:$Q$11</c:f>
              <c:numCache>
                <c:formatCode>0.0</c:formatCode>
                <c:ptCount val="7"/>
                <c:pt idx="0">
                  <c:v>13.583104012735301</c:v>
                </c:pt>
                <c:pt idx="1">
                  <c:v>17.860392558670526</c:v>
                </c:pt>
                <c:pt idx="2">
                  <c:v>20.480331739835318</c:v>
                </c:pt>
                <c:pt idx="3">
                  <c:v>22.233333333333334</c:v>
                </c:pt>
                <c:pt idx="4">
                  <c:v>23.484589534964176</c:v>
                </c:pt>
                <c:pt idx="5">
                  <c:v>24.421230439081864</c:v>
                </c:pt>
                <c:pt idx="6">
                  <c:v>25.148145675278293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D-4924-A9C8-FD89D49958E7}"/>
            </c:ext>
          </c:extLst>
        </c:ser>
        <c:ser>
          <c:idx val="3"/>
          <c:order val="3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anamórfica'!$T$5:$T$11</c:f>
              <c:numCache>
                <c:formatCode>0.0</c:formatCode>
                <c:ptCount val="7"/>
                <c:pt idx="0">
                  <c:v>11.302282949127568</c:v>
                </c:pt>
                <c:pt idx="1">
                  <c:v>14.86134613202719</c:v>
                </c:pt>
                <c:pt idx="2">
                  <c:v>17.041355495665059</c:v>
                </c:pt>
                <c:pt idx="3">
                  <c:v>18.499999999999989</c:v>
                </c:pt>
                <c:pt idx="4">
                  <c:v>19.54115021275129</c:v>
                </c:pt>
                <c:pt idx="5">
                  <c:v>20.32051408349389</c:v>
                </c:pt>
                <c:pt idx="6">
                  <c:v>20.925368590373978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DD-4924-A9C8-FD89D49958E7}"/>
            </c:ext>
          </c:extLst>
        </c:ser>
        <c:ser>
          <c:idx val="4"/>
          <c:order val="4"/>
          <c:tx>
            <c:v>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anamórfica'!$M$5:$M$11</c:f>
              <c:numCache>
                <c:formatCode>0.0</c:formatCode>
                <c:ptCount val="7"/>
                <c:pt idx="0">
                  <c:v>17.004335608146889</c:v>
                </c:pt>
                <c:pt idx="1">
                  <c:v>22.358962198635513</c:v>
                </c:pt>
                <c:pt idx="2">
                  <c:v>25.638796106090687</c:v>
                </c:pt>
                <c:pt idx="3">
                  <c:v>27.833333333333332</c:v>
                </c:pt>
                <c:pt idx="4">
                  <c:v>29.399748518283488</c:v>
                </c:pt>
                <c:pt idx="5">
                  <c:v>30.572304972463797</c:v>
                </c:pt>
                <c:pt idx="6">
                  <c:v>31.482311302634741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DD-4924-A9C8-FD89D49958E7}"/>
            </c:ext>
          </c:extLst>
        </c:ser>
        <c:ser>
          <c:idx val="5"/>
          <c:order val="5"/>
          <c:tx>
            <c:v>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anamórfica'!$P$5:$P$11</c:f>
              <c:numCache>
                <c:formatCode>0.0</c:formatCode>
                <c:ptCount val="7"/>
                <c:pt idx="0">
                  <c:v>14.723514544539158</c:v>
                </c:pt>
                <c:pt idx="1">
                  <c:v>19.359915771992181</c:v>
                </c:pt>
                <c:pt idx="2">
                  <c:v>22.199819861920432</c:v>
                </c:pt>
                <c:pt idx="3">
                  <c:v>24.099999999999991</c:v>
                </c:pt>
                <c:pt idx="4">
                  <c:v>25.456309196070602</c:v>
                </c:pt>
                <c:pt idx="5">
                  <c:v>26.471588616875831</c:v>
                </c:pt>
                <c:pt idx="6">
                  <c:v>27.259534217730433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DD-4924-A9C8-FD89D49958E7}"/>
            </c:ext>
          </c:extLst>
        </c:ser>
        <c:ser>
          <c:idx val="6"/>
          <c:order val="6"/>
          <c:tx>
            <c:v>III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anamórfica'!$K$5:$K$11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anamórfica'!$S$5:$S$11</c:f>
              <c:numCache>
                <c:formatCode>0.0</c:formatCode>
                <c:ptCount val="7"/>
                <c:pt idx="0">
                  <c:v>12.442693480931435</c:v>
                </c:pt>
                <c:pt idx="1">
                  <c:v>16.36086934534886</c:v>
                </c:pt>
                <c:pt idx="2">
                  <c:v>18.76084361775019</c:v>
                </c:pt>
                <c:pt idx="3">
                  <c:v>20.36666666666666</c:v>
                </c:pt>
                <c:pt idx="4">
                  <c:v>21.512869873857735</c:v>
                </c:pt>
                <c:pt idx="5">
                  <c:v>22.370872261287879</c:v>
                </c:pt>
                <c:pt idx="6">
                  <c:v>23.036757132826136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6DD-4924-A9C8-FD89D49958E7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'Diferença Algébrica anamórfica'!$C$2:$C$49</c:f>
              <c:numCache>
                <c:formatCode>0.0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xVal>
          <c:yVal>
            <c:numRef>
              <c:f>'Diferença Algébrica anamórfica'!$B$2:$B$49</c:f>
              <c:numCache>
                <c:formatCode>0.0</c:formatCode>
                <c:ptCount val="48"/>
                <c:pt idx="0">
                  <c:v>11.2</c:v>
                </c:pt>
                <c:pt idx="1">
                  <c:v>11.12</c:v>
                </c:pt>
                <c:pt idx="2">
                  <c:v>14.3</c:v>
                </c:pt>
                <c:pt idx="3">
                  <c:v>15.62</c:v>
                </c:pt>
                <c:pt idx="4">
                  <c:v>13.56</c:v>
                </c:pt>
                <c:pt idx="5">
                  <c:v>15.14</c:v>
                </c:pt>
                <c:pt idx="6">
                  <c:v>15.74</c:v>
                </c:pt>
                <c:pt idx="7">
                  <c:v>15.04</c:v>
                </c:pt>
                <c:pt idx="8">
                  <c:v>12.3</c:v>
                </c:pt>
                <c:pt idx="9">
                  <c:v>12.6</c:v>
                </c:pt>
                <c:pt idx="10">
                  <c:v>15</c:v>
                </c:pt>
                <c:pt idx="11">
                  <c:v>15.34</c:v>
                </c:pt>
                <c:pt idx="12">
                  <c:v>17.5</c:v>
                </c:pt>
                <c:pt idx="13">
                  <c:v>19.440000000000001</c:v>
                </c:pt>
                <c:pt idx="14">
                  <c:v>16.54</c:v>
                </c:pt>
                <c:pt idx="15">
                  <c:v>17.239999999999998</c:v>
                </c:pt>
                <c:pt idx="16">
                  <c:v>16.3</c:v>
                </c:pt>
                <c:pt idx="17">
                  <c:v>15.26</c:v>
                </c:pt>
                <c:pt idx="18">
                  <c:v>20.8</c:v>
                </c:pt>
                <c:pt idx="19">
                  <c:v>23.3</c:v>
                </c:pt>
                <c:pt idx="20">
                  <c:v>16.36</c:v>
                </c:pt>
                <c:pt idx="21">
                  <c:v>17.52</c:v>
                </c:pt>
                <c:pt idx="22">
                  <c:v>21.28</c:v>
                </c:pt>
                <c:pt idx="23">
                  <c:v>18.86</c:v>
                </c:pt>
                <c:pt idx="24">
                  <c:v>18.100000000000001</c:v>
                </c:pt>
                <c:pt idx="25">
                  <c:v>18.86</c:v>
                </c:pt>
                <c:pt idx="26">
                  <c:v>20.5</c:v>
                </c:pt>
                <c:pt idx="27">
                  <c:v>18</c:v>
                </c:pt>
                <c:pt idx="28">
                  <c:v>22.28</c:v>
                </c:pt>
                <c:pt idx="29">
                  <c:v>26.06</c:v>
                </c:pt>
                <c:pt idx="30">
                  <c:v>18.5</c:v>
                </c:pt>
                <c:pt idx="31">
                  <c:v>19.66</c:v>
                </c:pt>
                <c:pt idx="32">
                  <c:v>23.58</c:v>
                </c:pt>
                <c:pt idx="33">
                  <c:v>21.62</c:v>
                </c:pt>
                <c:pt idx="34">
                  <c:v>21.16</c:v>
                </c:pt>
                <c:pt idx="35">
                  <c:v>21.56</c:v>
                </c:pt>
                <c:pt idx="36">
                  <c:v>23.48</c:v>
                </c:pt>
                <c:pt idx="37">
                  <c:v>21.68</c:v>
                </c:pt>
                <c:pt idx="38">
                  <c:v>24.26</c:v>
                </c:pt>
                <c:pt idx="39">
                  <c:v>29.7</c:v>
                </c:pt>
                <c:pt idx="40">
                  <c:v>21.02</c:v>
                </c:pt>
                <c:pt idx="41">
                  <c:v>21.02</c:v>
                </c:pt>
                <c:pt idx="42">
                  <c:v>24.26</c:v>
                </c:pt>
                <c:pt idx="43">
                  <c:v>24.22</c:v>
                </c:pt>
                <c:pt idx="44">
                  <c:v>21.78</c:v>
                </c:pt>
                <c:pt idx="45">
                  <c:v>21.2</c:v>
                </c:pt>
                <c:pt idx="46">
                  <c:v>26.26</c:v>
                </c:pt>
                <c:pt idx="47">
                  <c:v>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6DD-4924-A9C8-FD89D4995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51632"/>
        <c:axId val="828448024"/>
      </c:scatterChart>
      <c:valAx>
        <c:axId val="828451632"/>
        <c:scaling>
          <c:orientation val="minMax"/>
          <c:max val="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Idade (ano)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48024"/>
        <c:crosses val="autoZero"/>
        <c:crossBetween val="midCat"/>
        <c:majorUnit val="1"/>
      </c:valAx>
      <c:valAx>
        <c:axId val="828448024"/>
        <c:scaling>
          <c:orientation val="minMax"/>
          <c:max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hdim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5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4770299234983681"/>
          <c:y val="0.14861803732866724"/>
          <c:w val="0.12155622338252492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Classes de Sítio</a:t>
            </a:r>
          </a:p>
        </c:rich>
      </c:tx>
      <c:layout>
        <c:manualLayout>
          <c:xMode val="edge"/>
          <c:yMode val="edge"/>
          <c:x val="0.41744444444444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01902887139108"/>
          <c:y val="0.12884295713035873"/>
          <c:w val="0.69175316458526159"/>
          <c:h val="0.712159886264216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polimórfica'!$L$5:$L$11</c:f>
              <c:numCache>
                <c:formatCode>0.0</c:formatCode>
                <c:ptCount val="7"/>
                <c:pt idx="0">
                  <c:v>28.532472257632168</c:v>
                </c:pt>
                <c:pt idx="1">
                  <c:v>29.175314086902695</c:v>
                </c:pt>
                <c:pt idx="2">
                  <c:v>29.502146031493169</c:v>
                </c:pt>
                <c:pt idx="3">
                  <c:v>29.7</c:v>
                </c:pt>
                <c:pt idx="4">
                  <c:v>29.832639260403898</c:v>
                </c:pt>
                <c:pt idx="5">
                  <c:v>29.927744106295574</c:v>
                </c:pt>
                <c:pt idx="6">
                  <c:v>29.999271655770151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D-4B4D-BAFC-99AD0C6FE8F4}"/>
            </c:ext>
          </c:extLst>
        </c:ser>
        <c:ser>
          <c:idx val="1"/>
          <c:order val="1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polimórfica'!$N$5:$N$11</c:f>
              <c:numCache>
                <c:formatCode>0.0</c:formatCode>
                <c:ptCount val="7"/>
                <c:pt idx="0">
                  <c:v>20.393360091090784</c:v>
                </c:pt>
                <c:pt idx="1">
                  <c:v>23.322859508523926</c:v>
                </c:pt>
                <c:pt idx="2">
                  <c:v>24.941829173612586</c:v>
                </c:pt>
                <c:pt idx="3">
                  <c:v>25.966666666666661</c:v>
                </c:pt>
                <c:pt idx="4">
                  <c:v>26.673180546249558</c:v>
                </c:pt>
                <c:pt idx="5">
                  <c:v>27.189572376047408</c:v>
                </c:pt>
                <c:pt idx="6">
                  <c:v>27.583416473413621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D-4B4D-BAFC-99AD0C6FE8F4}"/>
            </c:ext>
          </c:extLst>
        </c:ser>
        <c:ser>
          <c:idx val="2"/>
          <c:order val="2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polimórfica'!$Q$5:$Q$11</c:f>
              <c:numCache>
                <c:formatCode>0.0</c:formatCode>
                <c:ptCount val="7"/>
                <c:pt idx="0">
                  <c:v>13.834380883915468</c:v>
                </c:pt>
                <c:pt idx="1">
                  <c:v>18.006491068506797</c:v>
                </c:pt>
                <c:pt idx="2">
                  <c:v>20.54299548620569</c:v>
                </c:pt>
                <c:pt idx="3">
                  <c:v>22.233333333333334</c:v>
                </c:pt>
                <c:pt idx="4">
                  <c:v>23.436807423538923</c:v>
                </c:pt>
                <c:pt idx="5">
                  <c:v>24.336113233913302</c:v>
                </c:pt>
                <c:pt idx="6">
                  <c:v>25.033166728354608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AD-4B4D-BAFC-99AD0C6FE8F4}"/>
            </c:ext>
          </c:extLst>
        </c:ser>
        <c:ser>
          <c:idx val="3"/>
          <c:order val="3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polimórfica'!$T$5:$T$11</c:f>
              <c:numCache>
                <c:formatCode>0.0</c:formatCode>
                <c:ptCount val="7"/>
                <c:pt idx="0">
                  <c:v>8.7373071154087771</c:v>
                </c:pt>
                <c:pt idx="1">
                  <c:v>13.254835388736458</c:v>
                </c:pt>
                <c:pt idx="2">
                  <c:v>16.325733665449018</c:v>
                </c:pt>
                <c:pt idx="3">
                  <c:v>18.499999999999996</c:v>
                </c:pt>
                <c:pt idx="4">
                  <c:v>20.108101828383603</c:v>
                </c:pt>
                <c:pt idx="5">
                  <c:v>21.341638173562341</c:v>
                </c:pt>
                <c:pt idx="6">
                  <c:v>22.316200781646867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AD-4B4D-BAFC-99AD0C6FE8F4}"/>
            </c:ext>
          </c:extLst>
        </c:ser>
        <c:ser>
          <c:idx val="4"/>
          <c:order val="4"/>
          <c:tx>
            <c:v>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polimórfica'!$M$5:$M$11</c:f>
              <c:numCache>
                <c:formatCode>0.0</c:formatCode>
                <c:ptCount val="7"/>
                <c:pt idx="0">
                  <c:v>24.258354162130463</c:v>
                </c:pt>
                <c:pt idx="1">
                  <c:v>26.18364832070554</c:v>
                </c:pt>
                <c:pt idx="2">
                  <c:v>27.202860392318986</c:v>
                </c:pt>
                <c:pt idx="3">
                  <c:v>27.833333333333332</c:v>
                </c:pt>
                <c:pt idx="4">
                  <c:v>28.261745821678424</c:v>
                </c:pt>
                <c:pt idx="5">
                  <c:v>28.571786089338641</c:v>
                </c:pt>
                <c:pt idx="6">
                  <c:v>28.806546319961253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AD-4B4D-BAFC-99AD0C6FE8F4}"/>
            </c:ext>
          </c:extLst>
        </c:ser>
        <c:ser>
          <c:idx val="5"/>
          <c:order val="5"/>
          <c:tx>
            <c:v>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polimórfica'!$P$5:$P$11</c:f>
              <c:numCache>
                <c:formatCode>0.0</c:formatCode>
                <c:ptCount val="7"/>
                <c:pt idx="0">
                  <c:v>16.923527319273738</c:v>
                </c:pt>
                <c:pt idx="1">
                  <c:v>20.596014815984066</c:v>
                </c:pt>
                <c:pt idx="2">
                  <c:v>22.721099834503068</c:v>
                </c:pt>
                <c:pt idx="3">
                  <c:v>24.1</c:v>
                </c:pt>
                <c:pt idx="4">
                  <c:v>25.06544990872737</c:v>
                </c:pt>
                <c:pt idx="5">
                  <c:v>25.778647019165767</c:v>
                </c:pt>
                <c:pt idx="6">
                  <c:v>26.326830753815113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DAD-4B4D-BAFC-99AD0C6FE8F4}"/>
            </c:ext>
          </c:extLst>
        </c:ser>
        <c:ser>
          <c:idx val="6"/>
          <c:order val="6"/>
          <c:tx>
            <c:v>III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'Diferença Algébrica polimórfica'!$K$5:$K$11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'Diferença Algébrica polimórfica'!$S$5:$S$11</c:f>
              <c:numCache>
                <c:formatCode>0.0</c:formatCode>
                <c:ptCount val="7"/>
                <c:pt idx="0">
                  <c:v>11.110872632976992</c:v>
                </c:pt>
                <c:pt idx="1">
                  <c:v>15.558034032373648</c:v>
                </c:pt>
                <c:pt idx="2">
                  <c:v>18.41017815279578</c:v>
                </c:pt>
                <c:pt idx="3">
                  <c:v>20.36666666666666</c:v>
                </c:pt>
                <c:pt idx="4">
                  <c:v>21.785185641862792</c:v>
                </c:pt>
                <c:pt idx="5">
                  <c:v>22.858509827463923</c:v>
                </c:pt>
                <c:pt idx="6">
                  <c:v>23.698065860266993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DAD-4B4D-BAFC-99AD0C6FE8F4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'Diferença Algébrica polimórfica'!$C$2:$C$49</c:f>
              <c:numCache>
                <c:formatCode>0.0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xVal>
          <c:yVal>
            <c:numRef>
              <c:f>'Diferença Algébrica polimórfica'!$B$2:$B$49</c:f>
              <c:numCache>
                <c:formatCode>0.0</c:formatCode>
                <c:ptCount val="48"/>
                <c:pt idx="0">
                  <c:v>11.2</c:v>
                </c:pt>
                <c:pt idx="1">
                  <c:v>11.12</c:v>
                </c:pt>
                <c:pt idx="2">
                  <c:v>14.3</c:v>
                </c:pt>
                <c:pt idx="3">
                  <c:v>15.62</c:v>
                </c:pt>
                <c:pt idx="4">
                  <c:v>13.56</c:v>
                </c:pt>
                <c:pt idx="5">
                  <c:v>15.14</c:v>
                </c:pt>
                <c:pt idx="6">
                  <c:v>15.74</c:v>
                </c:pt>
                <c:pt idx="7">
                  <c:v>15.04</c:v>
                </c:pt>
                <c:pt idx="8">
                  <c:v>12.3</c:v>
                </c:pt>
                <c:pt idx="9">
                  <c:v>12.6</c:v>
                </c:pt>
                <c:pt idx="10">
                  <c:v>15</c:v>
                </c:pt>
                <c:pt idx="11">
                  <c:v>15.34</c:v>
                </c:pt>
                <c:pt idx="12">
                  <c:v>17.5</c:v>
                </c:pt>
                <c:pt idx="13">
                  <c:v>19.440000000000001</c:v>
                </c:pt>
                <c:pt idx="14">
                  <c:v>16.54</c:v>
                </c:pt>
                <c:pt idx="15">
                  <c:v>17.239999999999998</c:v>
                </c:pt>
                <c:pt idx="16">
                  <c:v>16.3</c:v>
                </c:pt>
                <c:pt idx="17">
                  <c:v>15.26</c:v>
                </c:pt>
                <c:pt idx="18">
                  <c:v>20.8</c:v>
                </c:pt>
                <c:pt idx="19">
                  <c:v>23.3</c:v>
                </c:pt>
                <c:pt idx="20">
                  <c:v>16.36</c:v>
                </c:pt>
                <c:pt idx="21">
                  <c:v>17.52</c:v>
                </c:pt>
                <c:pt idx="22">
                  <c:v>21.28</c:v>
                </c:pt>
                <c:pt idx="23">
                  <c:v>18.86</c:v>
                </c:pt>
                <c:pt idx="24">
                  <c:v>18.100000000000001</c:v>
                </c:pt>
                <c:pt idx="25">
                  <c:v>18.86</c:v>
                </c:pt>
                <c:pt idx="26">
                  <c:v>20.5</c:v>
                </c:pt>
                <c:pt idx="27">
                  <c:v>18</c:v>
                </c:pt>
                <c:pt idx="28">
                  <c:v>22.28</c:v>
                </c:pt>
                <c:pt idx="29">
                  <c:v>26.06</c:v>
                </c:pt>
                <c:pt idx="30">
                  <c:v>18.5</c:v>
                </c:pt>
                <c:pt idx="31">
                  <c:v>19.66</c:v>
                </c:pt>
                <c:pt idx="32">
                  <c:v>23.58</c:v>
                </c:pt>
                <c:pt idx="33">
                  <c:v>21.62</c:v>
                </c:pt>
                <c:pt idx="34">
                  <c:v>21.16</c:v>
                </c:pt>
                <c:pt idx="35">
                  <c:v>21.56</c:v>
                </c:pt>
                <c:pt idx="36">
                  <c:v>23.48</c:v>
                </c:pt>
                <c:pt idx="37">
                  <c:v>21.68</c:v>
                </c:pt>
                <c:pt idx="38">
                  <c:v>24.26</c:v>
                </c:pt>
                <c:pt idx="39">
                  <c:v>29.7</c:v>
                </c:pt>
                <c:pt idx="40">
                  <c:v>21.02</c:v>
                </c:pt>
                <c:pt idx="41">
                  <c:v>21.02</c:v>
                </c:pt>
                <c:pt idx="42">
                  <c:v>24.26</c:v>
                </c:pt>
                <c:pt idx="43">
                  <c:v>24.22</c:v>
                </c:pt>
                <c:pt idx="44">
                  <c:v>21.78</c:v>
                </c:pt>
                <c:pt idx="45">
                  <c:v>21.2</c:v>
                </c:pt>
                <c:pt idx="46">
                  <c:v>26.26</c:v>
                </c:pt>
                <c:pt idx="47">
                  <c:v>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DAD-4B4D-BAFC-99AD0C6FE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51632"/>
        <c:axId val="828448024"/>
      </c:scatterChart>
      <c:valAx>
        <c:axId val="828451632"/>
        <c:scaling>
          <c:orientation val="minMax"/>
          <c:max val="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Idade (ano)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48024"/>
        <c:crosses val="autoZero"/>
        <c:crossBetween val="midCat"/>
        <c:majorUnit val="1"/>
      </c:valAx>
      <c:valAx>
        <c:axId val="828448024"/>
        <c:scaling>
          <c:orientation val="minMax"/>
          <c:max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hdim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5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4770299234983681"/>
          <c:y val="0.14861803732866724"/>
          <c:w val="0.12155622338252492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 sz="1400"/>
              <a:t>Classes de Sítio</a:t>
            </a:r>
          </a:p>
        </c:rich>
      </c:tx>
      <c:layout>
        <c:manualLayout>
          <c:xMode val="edge"/>
          <c:yMode val="edge"/>
          <c:x val="0.41744444444444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001902887139108"/>
          <c:y val="0.12884295713035873"/>
          <c:w val="0.69175316458526159"/>
          <c:h val="0.7121598862642168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Hammer!$L$5:$L$11</c:f>
              <c:numCache>
                <c:formatCode>0.0</c:formatCode>
                <c:ptCount val="7"/>
                <c:pt idx="0">
                  <c:v>18.444505432431917</c:v>
                </c:pt>
                <c:pt idx="1">
                  <c:v>24.252638223553358</c:v>
                </c:pt>
                <c:pt idx="2">
                  <c:v>27.810255275909569</c:v>
                </c:pt>
                <c:pt idx="3">
                  <c:v>30.190657235875484</c:v>
                </c:pt>
                <c:pt idx="4">
                  <c:v>31.889738814482694</c:v>
                </c:pt>
                <c:pt idx="5">
                  <c:v>33.161604083867289</c:v>
                </c:pt>
                <c:pt idx="6">
                  <c:v>34.148682737639788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9B-4D9D-ABD4-B14F54ABBA85}"/>
            </c:ext>
          </c:extLst>
        </c:ser>
        <c:ser>
          <c:idx val="1"/>
          <c:order val="1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Hammer!$N$5:$N$11</c:f>
              <c:numCache>
                <c:formatCode>0.0</c:formatCode>
                <c:ptCount val="7"/>
                <c:pt idx="0">
                  <c:v>15.764340927988078</c:v>
                </c:pt>
                <c:pt idx="1">
                  <c:v>20.72849601524068</c:v>
                </c:pt>
                <c:pt idx="2">
                  <c:v>23.769157002872966</c:v>
                </c:pt>
                <c:pt idx="3">
                  <c:v>25.803663603227289</c:v>
                </c:pt>
                <c:pt idx="4">
                  <c:v>27.255852243782041</c:v>
                </c:pt>
                <c:pt idx="5">
                  <c:v>28.342903224601024</c:v>
                </c:pt>
                <c:pt idx="6">
                  <c:v>29.186549831326953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9B-4D9D-ABD4-B14F54ABBA85}"/>
            </c:ext>
          </c:extLst>
        </c:ser>
        <c:ser>
          <c:idx val="2"/>
          <c:order val="2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Hammer!$Q$5:$Q$11</c:f>
              <c:numCache>
                <c:formatCode>0.0</c:formatCode>
                <c:ptCount val="7"/>
                <c:pt idx="0">
                  <c:v>13.473630171555831</c:v>
                </c:pt>
                <c:pt idx="1">
                  <c:v>17.716445654005895</c:v>
                </c:pt>
                <c:pt idx="2">
                  <c:v>20.315269278258974</c:v>
                </c:pt>
                <c:pt idx="3">
                  <c:v>22.054142450311208</c:v>
                </c:pt>
                <c:pt idx="4">
                  <c:v>23.295314077564658</c:v>
                </c:pt>
                <c:pt idx="5">
                  <c:v>24.224406068158348</c:v>
                </c:pt>
                <c:pt idx="6">
                  <c:v>24.94546268742571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9B-4D9D-ABD4-B14F54ABBA85}"/>
            </c:ext>
          </c:extLst>
        </c:ser>
        <c:ser>
          <c:idx val="3"/>
          <c:order val="3"/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Hammer!$T$5:$T$11</c:f>
              <c:numCache>
                <c:formatCode>0.0</c:formatCode>
                <c:ptCount val="7"/>
                <c:pt idx="0">
                  <c:v>11.51578177794639</c:v>
                </c:pt>
                <c:pt idx="1">
                  <c:v>15.142075256235128</c:v>
                </c:pt>
                <c:pt idx="2">
                  <c:v>17.363264746759373</c:v>
                </c:pt>
                <c:pt idx="3">
                  <c:v>18.849462878511027</c:v>
                </c:pt>
                <c:pt idx="4">
                  <c:v>19.910280299387207</c:v>
                </c:pt>
                <c:pt idx="5">
                  <c:v>20.704366264274523</c:v>
                </c:pt>
                <c:pt idx="6">
                  <c:v>21.320646403427837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9B-4D9D-ABD4-B14F54ABBA85}"/>
            </c:ext>
          </c:extLst>
        </c:ser>
        <c:ser>
          <c:idx val="4"/>
          <c:order val="4"/>
          <c:tx>
            <c:v>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Hammer!$M$5:$M$11</c:f>
              <c:numCache>
                <c:formatCode>0.0</c:formatCode>
                <c:ptCount val="7"/>
                <c:pt idx="0">
                  <c:v>17.051846582847993</c:v>
                </c:pt>
                <c:pt idx="1">
                  <c:v>22.421434271161147</c:v>
                </c:pt>
                <c:pt idx="2">
                  <c:v>25.710432200627636</c:v>
                </c:pt>
                <c:pt idx="3">
                  <c:v>27.911101076003256</c:v>
                </c:pt>
                <c:pt idx="4">
                  <c:v>29.481892904295357</c:v>
                </c:pt>
                <c:pt idx="5">
                  <c:v>30.657725540580866</c:v>
                </c:pt>
                <c:pt idx="6">
                  <c:v>31.570274474516339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9B-4D9D-ABD4-B14F54ABBA85}"/>
            </c:ext>
          </c:extLst>
        </c:ser>
        <c:ser>
          <c:idx val="5"/>
          <c:order val="5"/>
          <c:tx>
            <c:v>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Hammer!$P$5:$P$11</c:f>
              <c:numCache>
                <c:formatCode>0.0</c:formatCode>
                <c:ptCount val="7"/>
                <c:pt idx="0">
                  <c:v>14.574048839016308</c:v>
                </c:pt>
                <c:pt idx="1">
                  <c:v>19.163383655901939</c:v>
                </c:pt>
                <c:pt idx="2">
                  <c:v>21.97445846956369</c:v>
                </c:pt>
                <c:pt idx="3">
                  <c:v>23.855348935731055</c:v>
                </c:pt>
                <c:pt idx="4">
                  <c:v>25.197889563822564</c:v>
                </c:pt>
                <c:pt idx="5">
                  <c:v>26.202862379199143</c:v>
                </c:pt>
                <c:pt idx="6">
                  <c:v>26.982809153089633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9B-4D9D-ABD4-B14F54ABBA85}"/>
            </c:ext>
          </c:extLst>
        </c:ser>
        <c:ser>
          <c:idx val="6"/>
          <c:order val="6"/>
          <c:tx>
            <c:v>III</c:v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Hammer!$K$5:$K$11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numCache>
            </c:numRef>
          </c:xVal>
          <c:yVal>
            <c:numRef>
              <c:f>Hammer!$S$5:$S$11</c:f>
              <c:numCache>
                <c:formatCode>0.0</c:formatCode>
                <c:ptCount val="7"/>
                <c:pt idx="0">
                  <c:v>12.456299001404524</c:v>
                </c:pt>
                <c:pt idx="1">
                  <c:v>16.378759213260242</c:v>
                </c:pt>
                <c:pt idx="2">
                  <c:v>18.78135774857925</c:v>
                </c:pt>
                <c:pt idx="3">
                  <c:v>20.388936692101797</c:v>
                </c:pt>
                <c:pt idx="4">
                  <c:v>21.536393220466909</c:v>
                </c:pt>
                <c:pt idx="5">
                  <c:v>22.395333794557846</c:v>
                </c:pt>
                <c:pt idx="6">
                  <c:v>23.061946780974633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9B-4D9D-ABD4-B14F54ABBA85}"/>
            </c:ext>
          </c:extLst>
        </c:ser>
        <c:ser>
          <c:idx val="7"/>
          <c:order val="7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Hammer!$C$2:$C$49</c:f>
              <c:numCache>
                <c:formatCode>0.0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</c:numCache>
            </c:numRef>
          </c:xVal>
          <c:yVal>
            <c:numRef>
              <c:f>Hammer!$B$2:$B$49</c:f>
              <c:numCache>
                <c:formatCode>0.0</c:formatCode>
                <c:ptCount val="48"/>
                <c:pt idx="0">
                  <c:v>11.2</c:v>
                </c:pt>
                <c:pt idx="1">
                  <c:v>11.12</c:v>
                </c:pt>
                <c:pt idx="2">
                  <c:v>14.3</c:v>
                </c:pt>
                <c:pt idx="3">
                  <c:v>15.62</c:v>
                </c:pt>
                <c:pt idx="4">
                  <c:v>13.56</c:v>
                </c:pt>
                <c:pt idx="5">
                  <c:v>15.14</c:v>
                </c:pt>
                <c:pt idx="6">
                  <c:v>15.74</c:v>
                </c:pt>
                <c:pt idx="7">
                  <c:v>15.04</c:v>
                </c:pt>
                <c:pt idx="8">
                  <c:v>12.3</c:v>
                </c:pt>
                <c:pt idx="9">
                  <c:v>12.6</c:v>
                </c:pt>
                <c:pt idx="10">
                  <c:v>15</c:v>
                </c:pt>
                <c:pt idx="11">
                  <c:v>15.34</c:v>
                </c:pt>
                <c:pt idx="12">
                  <c:v>17.5</c:v>
                </c:pt>
                <c:pt idx="13">
                  <c:v>19.440000000000001</c:v>
                </c:pt>
                <c:pt idx="14">
                  <c:v>16.54</c:v>
                </c:pt>
                <c:pt idx="15">
                  <c:v>17.239999999999998</c:v>
                </c:pt>
                <c:pt idx="16">
                  <c:v>16.3</c:v>
                </c:pt>
                <c:pt idx="17">
                  <c:v>15.26</c:v>
                </c:pt>
                <c:pt idx="18">
                  <c:v>20.8</c:v>
                </c:pt>
                <c:pt idx="19">
                  <c:v>23.3</c:v>
                </c:pt>
                <c:pt idx="20">
                  <c:v>16.36</c:v>
                </c:pt>
                <c:pt idx="21">
                  <c:v>17.52</c:v>
                </c:pt>
                <c:pt idx="22">
                  <c:v>21.28</c:v>
                </c:pt>
                <c:pt idx="23">
                  <c:v>18.86</c:v>
                </c:pt>
                <c:pt idx="24">
                  <c:v>18.100000000000001</c:v>
                </c:pt>
                <c:pt idx="25">
                  <c:v>18.86</c:v>
                </c:pt>
                <c:pt idx="26">
                  <c:v>20.5</c:v>
                </c:pt>
                <c:pt idx="27">
                  <c:v>18</c:v>
                </c:pt>
                <c:pt idx="28">
                  <c:v>22.28</c:v>
                </c:pt>
                <c:pt idx="29">
                  <c:v>26.06</c:v>
                </c:pt>
                <c:pt idx="30">
                  <c:v>18.5</c:v>
                </c:pt>
                <c:pt idx="31">
                  <c:v>19.66</c:v>
                </c:pt>
                <c:pt idx="32">
                  <c:v>23.58</c:v>
                </c:pt>
                <c:pt idx="33">
                  <c:v>21.62</c:v>
                </c:pt>
                <c:pt idx="34">
                  <c:v>21.16</c:v>
                </c:pt>
                <c:pt idx="35">
                  <c:v>21.56</c:v>
                </c:pt>
                <c:pt idx="36">
                  <c:v>23.48</c:v>
                </c:pt>
                <c:pt idx="37">
                  <c:v>21.68</c:v>
                </c:pt>
                <c:pt idx="38">
                  <c:v>24.26</c:v>
                </c:pt>
                <c:pt idx="39">
                  <c:v>29.7</c:v>
                </c:pt>
                <c:pt idx="40">
                  <c:v>21.02</c:v>
                </c:pt>
                <c:pt idx="41">
                  <c:v>21.02</c:v>
                </c:pt>
                <c:pt idx="42">
                  <c:v>24.26</c:v>
                </c:pt>
                <c:pt idx="43">
                  <c:v>24.22</c:v>
                </c:pt>
                <c:pt idx="44">
                  <c:v>21.78</c:v>
                </c:pt>
                <c:pt idx="45">
                  <c:v>21.2</c:v>
                </c:pt>
                <c:pt idx="46">
                  <c:v>26.26</c:v>
                </c:pt>
                <c:pt idx="47">
                  <c:v>30.06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D9B-4D9D-ABD4-B14F54ABB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451632"/>
        <c:axId val="828448024"/>
      </c:scatterChart>
      <c:valAx>
        <c:axId val="828451632"/>
        <c:scaling>
          <c:orientation val="minMax"/>
          <c:max val="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Idade (ano)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48024"/>
        <c:crosses val="autoZero"/>
        <c:crossBetween val="midCat"/>
        <c:majorUnit val="1"/>
      </c:valAx>
      <c:valAx>
        <c:axId val="828448024"/>
        <c:scaling>
          <c:orientation val="minMax"/>
          <c:max val="3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hdim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8451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84770299234983681"/>
          <c:y val="0.14861803732866724"/>
          <c:w val="0.12155622338252492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21</xdr:row>
      <xdr:rowOff>166687</xdr:rowOff>
    </xdr:from>
    <xdr:to>
      <xdr:col>13</xdr:col>
      <xdr:colOff>314325</xdr:colOff>
      <xdr:row>36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F0F596-4C00-4FA2-A070-1791842A0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</xdr:row>
      <xdr:rowOff>157162</xdr:rowOff>
    </xdr:from>
    <xdr:to>
      <xdr:col>13</xdr:col>
      <xdr:colOff>466725</xdr:colOff>
      <xdr:row>16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3024EA-4D61-4835-A8CE-06A93EABA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9525</xdr:colOff>
      <xdr:row>13</xdr:row>
      <xdr:rowOff>109537</xdr:rowOff>
    </xdr:from>
    <xdr:to>
      <xdr:col>24</xdr:col>
      <xdr:colOff>314325</xdr:colOff>
      <xdr:row>27</xdr:row>
      <xdr:rowOff>185737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8CA156-DF15-47B4-8AA1-868B0AD89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12</xdr:row>
      <xdr:rowOff>71437</xdr:rowOff>
    </xdr:from>
    <xdr:to>
      <xdr:col>17</xdr:col>
      <xdr:colOff>314325</xdr:colOff>
      <xdr:row>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760FEF-092F-44F5-839A-83722FD9B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12</xdr:row>
      <xdr:rowOff>71437</xdr:rowOff>
    </xdr:from>
    <xdr:to>
      <xdr:col>17</xdr:col>
      <xdr:colOff>314325</xdr:colOff>
      <xdr:row>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24688E-739B-40F3-B921-AA8073305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</xdr:colOff>
      <xdr:row>12</xdr:row>
      <xdr:rowOff>23812</xdr:rowOff>
    </xdr:from>
    <xdr:to>
      <xdr:col>17</xdr:col>
      <xdr:colOff>238125</xdr:colOff>
      <xdr:row>26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B2FDC30-3AA0-4196-96F3-EEB890B99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workbookViewId="0">
      <selection activeCell="G17" sqref="G17"/>
    </sheetView>
  </sheetViews>
  <sheetFormatPr defaultColWidth="9.109375"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12" max="12" width="10.6640625" customWidth="1"/>
    <col min="15" max="15" width="12.109375" customWidth="1"/>
  </cols>
  <sheetData>
    <row r="1" spans="1:16" x14ac:dyDescent="0.3">
      <c r="A1" s="2" t="s">
        <v>0</v>
      </c>
      <c r="B1" s="2" t="s">
        <v>1</v>
      </c>
      <c r="C1" s="2" t="s">
        <v>2</v>
      </c>
      <c r="F1" s="19" t="s">
        <v>3</v>
      </c>
      <c r="M1" s="25" t="s">
        <v>4</v>
      </c>
    </row>
    <row r="2" spans="1:16" x14ac:dyDescent="0.3">
      <c r="A2" s="1">
        <v>1</v>
      </c>
      <c r="B2" s="4">
        <v>11.2</v>
      </c>
      <c r="C2" s="4">
        <v>2</v>
      </c>
      <c r="D2" s="11"/>
      <c r="F2" t="s">
        <v>5</v>
      </c>
      <c r="M2" t="s">
        <v>6</v>
      </c>
    </row>
    <row r="3" spans="1:16" x14ac:dyDescent="0.3">
      <c r="A3" s="1">
        <v>2</v>
      </c>
      <c r="B3" s="4">
        <v>11.12</v>
      </c>
      <c r="C3" s="4">
        <v>2</v>
      </c>
      <c r="D3" s="11"/>
      <c r="F3" t="s">
        <v>7</v>
      </c>
      <c r="M3" t="s">
        <v>8</v>
      </c>
    </row>
    <row r="4" spans="1:16" x14ac:dyDescent="0.3">
      <c r="A4" s="1">
        <v>3</v>
      </c>
      <c r="B4" s="4">
        <v>14.3</v>
      </c>
      <c r="C4" s="4">
        <v>2</v>
      </c>
      <c r="D4" s="11"/>
      <c r="G4" t="s">
        <v>9</v>
      </c>
    </row>
    <row r="5" spans="1:16" x14ac:dyDescent="0.3">
      <c r="A5" s="1">
        <v>4</v>
      </c>
      <c r="B5" s="4">
        <v>15.62</v>
      </c>
      <c r="C5" s="4">
        <v>2</v>
      </c>
      <c r="D5" s="11"/>
      <c r="G5" t="s">
        <v>10</v>
      </c>
    </row>
    <row r="6" spans="1:16" x14ac:dyDescent="0.3">
      <c r="A6" s="1">
        <v>5</v>
      </c>
      <c r="B6" s="4">
        <v>13.56</v>
      </c>
      <c r="C6" s="4">
        <v>2</v>
      </c>
      <c r="D6" s="11"/>
      <c r="F6" t="s">
        <v>11</v>
      </c>
      <c r="M6" t="s">
        <v>12</v>
      </c>
    </row>
    <row r="7" spans="1:16" x14ac:dyDescent="0.3">
      <c r="A7" s="1">
        <v>6</v>
      </c>
      <c r="B7" s="4">
        <v>15.14</v>
      </c>
      <c r="C7" s="4">
        <v>2</v>
      </c>
      <c r="D7" s="11"/>
      <c r="F7" t="s">
        <v>13</v>
      </c>
      <c r="M7" t="s">
        <v>14</v>
      </c>
    </row>
    <row r="8" spans="1:16" x14ac:dyDescent="0.3">
      <c r="A8" s="1">
        <v>7</v>
      </c>
      <c r="B8" s="4">
        <v>15.74</v>
      </c>
      <c r="C8" s="4">
        <v>2</v>
      </c>
      <c r="D8" s="11"/>
      <c r="F8" t="s">
        <v>15</v>
      </c>
    </row>
    <row r="9" spans="1:16" x14ac:dyDescent="0.3">
      <c r="A9" s="1">
        <v>8</v>
      </c>
      <c r="B9" s="4">
        <v>15.04</v>
      </c>
      <c r="C9" s="4">
        <v>2</v>
      </c>
      <c r="D9" s="11"/>
    </row>
    <row r="10" spans="1:16" x14ac:dyDescent="0.3">
      <c r="A10" s="1">
        <v>9</v>
      </c>
      <c r="B10" s="4">
        <v>12.3</v>
      </c>
      <c r="C10" s="4">
        <v>2</v>
      </c>
      <c r="D10" s="11"/>
    </row>
    <row r="11" spans="1:16" x14ac:dyDescent="0.3">
      <c r="A11" s="1">
        <v>10</v>
      </c>
      <c r="B11" s="4">
        <v>12.6</v>
      </c>
      <c r="C11" s="4">
        <v>2</v>
      </c>
      <c r="D11" s="11"/>
      <c r="F11" s="25" t="s">
        <v>16</v>
      </c>
      <c r="M11" s="25" t="s">
        <v>4</v>
      </c>
    </row>
    <row r="12" spans="1:16" x14ac:dyDescent="0.3">
      <c r="A12" s="1">
        <v>1</v>
      </c>
      <c r="B12" s="4">
        <v>15</v>
      </c>
      <c r="C12" s="4">
        <v>3</v>
      </c>
      <c r="D12" s="11"/>
      <c r="F12" s="25" t="s">
        <v>17</v>
      </c>
    </row>
    <row r="13" spans="1:16" x14ac:dyDescent="0.3">
      <c r="A13" s="1">
        <v>2</v>
      </c>
      <c r="B13" s="4">
        <v>15.34</v>
      </c>
      <c r="C13" s="4">
        <v>3</v>
      </c>
      <c r="D13" s="11"/>
      <c r="F13" t="s">
        <v>18</v>
      </c>
      <c r="M13" t="s">
        <v>6</v>
      </c>
    </row>
    <row r="14" spans="1:16" x14ac:dyDescent="0.3">
      <c r="A14" s="1">
        <v>3</v>
      </c>
      <c r="B14" s="4">
        <v>17.5</v>
      </c>
      <c r="C14" s="4">
        <v>3</v>
      </c>
      <c r="D14" s="11"/>
      <c r="F14" t="s">
        <v>19</v>
      </c>
    </row>
    <row r="15" spans="1:16" x14ac:dyDescent="0.3">
      <c r="A15" s="1">
        <v>4</v>
      </c>
      <c r="B15" s="4">
        <v>19.440000000000001</v>
      </c>
      <c r="C15" s="4">
        <v>3</v>
      </c>
      <c r="D15" s="11"/>
      <c r="G15" s="50" t="s">
        <v>99</v>
      </c>
      <c r="M15" t="s">
        <v>20</v>
      </c>
      <c r="P15" t="s">
        <v>21</v>
      </c>
    </row>
    <row r="16" spans="1:16" x14ac:dyDescent="0.3">
      <c r="A16" s="1">
        <v>5</v>
      </c>
      <c r="B16" s="4">
        <v>16.54</v>
      </c>
      <c r="C16" s="4">
        <v>3</v>
      </c>
      <c r="D16" s="11"/>
      <c r="G16" s="50" t="s">
        <v>100</v>
      </c>
      <c r="M16" t="s">
        <v>22</v>
      </c>
      <c r="P16" t="s">
        <v>21</v>
      </c>
    </row>
    <row r="17" spans="1:16" x14ac:dyDescent="0.3">
      <c r="A17" s="1">
        <v>6</v>
      </c>
      <c r="B17" s="4">
        <v>17.239999999999998</v>
      </c>
      <c r="C17" s="4">
        <v>3</v>
      </c>
      <c r="D17" s="11"/>
    </row>
    <row r="18" spans="1:16" x14ac:dyDescent="0.3">
      <c r="A18" s="1">
        <v>7</v>
      </c>
      <c r="B18" s="4">
        <v>16.3</v>
      </c>
      <c r="C18" s="4">
        <v>3</v>
      </c>
      <c r="D18" s="11"/>
      <c r="F18" s="25" t="s">
        <v>23</v>
      </c>
    </row>
    <row r="19" spans="1:16" x14ac:dyDescent="0.3">
      <c r="A19" s="1">
        <v>8</v>
      </c>
      <c r="B19" s="4">
        <v>15.26</v>
      </c>
      <c r="C19" s="4">
        <v>3</v>
      </c>
      <c r="D19" s="11"/>
      <c r="F19" t="s">
        <v>24</v>
      </c>
    </row>
    <row r="20" spans="1:16" ht="16.2" x14ac:dyDescent="0.3">
      <c r="A20" s="1">
        <v>9</v>
      </c>
      <c r="B20" s="4">
        <v>20.8</v>
      </c>
      <c r="C20" s="4">
        <v>3</v>
      </c>
      <c r="D20" s="11"/>
      <c r="G20" s="50" t="s">
        <v>25</v>
      </c>
      <c r="M20" t="s">
        <v>26</v>
      </c>
      <c r="P20" t="s">
        <v>27</v>
      </c>
    </row>
    <row r="21" spans="1:16" x14ac:dyDescent="0.3">
      <c r="A21" s="1">
        <v>10</v>
      </c>
      <c r="B21" s="4">
        <v>23.3</v>
      </c>
      <c r="C21" s="4">
        <v>3</v>
      </c>
      <c r="D21" s="11"/>
      <c r="G21" s="50" t="s">
        <v>28</v>
      </c>
      <c r="M21" t="s">
        <v>29</v>
      </c>
      <c r="P21" t="s">
        <v>27</v>
      </c>
    </row>
    <row r="22" spans="1:16" x14ac:dyDescent="0.3">
      <c r="A22" s="1">
        <v>1</v>
      </c>
      <c r="B22" s="4">
        <v>16.36</v>
      </c>
      <c r="C22" s="4">
        <v>4</v>
      </c>
      <c r="D22" s="11"/>
    </row>
    <row r="23" spans="1:16" x14ac:dyDescent="0.3">
      <c r="A23" s="1">
        <v>2</v>
      </c>
      <c r="B23" s="4">
        <v>17.52</v>
      </c>
      <c r="C23" s="4">
        <v>4</v>
      </c>
      <c r="D23" s="11"/>
    </row>
    <row r="24" spans="1:16" x14ac:dyDescent="0.3">
      <c r="A24" s="1">
        <v>3</v>
      </c>
      <c r="B24" s="4">
        <v>21.28</v>
      </c>
      <c r="C24" s="4">
        <v>4</v>
      </c>
      <c r="D24" s="11"/>
      <c r="F24" s="25" t="s">
        <v>30</v>
      </c>
    </row>
    <row r="25" spans="1:16" x14ac:dyDescent="0.3">
      <c r="A25" s="1">
        <v>4</v>
      </c>
      <c r="B25" s="4">
        <v>18.86</v>
      </c>
      <c r="C25" s="4">
        <v>4</v>
      </c>
      <c r="D25" s="11"/>
      <c r="F25" t="s">
        <v>31</v>
      </c>
    </row>
    <row r="26" spans="1:16" x14ac:dyDescent="0.3">
      <c r="A26" s="1">
        <v>5</v>
      </c>
      <c r="B26" s="4">
        <v>18.100000000000001</v>
      </c>
      <c r="C26" s="4">
        <v>4</v>
      </c>
      <c r="D26" s="11"/>
      <c r="F26" t="s">
        <v>32</v>
      </c>
      <c r="M26" s="25" t="s">
        <v>4</v>
      </c>
    </row>
    <row r="27" spans="1:16" x14ac:dyDescent="0.3">
      <c r="A27" s="1">
        <v>6</v>
      </c>
      <c r="B27" s="4">
        <v>18.86</v>
      </c>
      <c r="C27" s="4">
        <v>4</v>
      </c>
      <c r="D27" s="11"/>
    </row>
    <row r="28" spans="1:16" x14ac:dyDescent="0.3">
      <c r="A28" s="1">
        <v>7</v>
      </c>
      <c r="B28" s="4">
        <v>20.5</v>
      </c>
      <c r="C28" s="4">
        <v>4</v>
      </c>
      <c r="D28" s="11"/>
      <c r="F28" t="s">
        <v>18</v>
      </c>
      <c r="M28" t="s">
        <v>6</v>
      </c>
    </row>
    <row r="29" spans="1:16" x14ac:dyDescent="0.3">
      <c r="A29" s="1">
        <v>8</v>
      </c>
      <c r="B29" s="4">
        <v>18</v>
      </c>
      <c r="C29" s="4">
        <v>4</v>
      </c>
      <c r="D29" s="11"/>
      <c r="F29" t="s">
        <v>33</v>
      </c>
      <c r="M29" t="s">
        <v>12</v>
      </c>
    </row>
    <row r="30" spans="1:16" x14ac:dyDescent="0.3">
      <c r="A30" s="1">
        <v>9</v>
      </c>
      <c r="B30" s="4">
        <v>22.28</v>
      </c>
      <c r="C30" s="4">
        <v>4</v>
      </c>
      <c r="D30" s="11"/>
      <c r="F30" t="s">
        <v>34</v>
      </c>
      <c r="M30" t="s">
        <v>35</v>
      </c>
    </row>
    <row r="31" spans="1:16" x14ac:dyDescent="0.3">
      <c r="A31" s="1">
        <v>10</v>
      </c>
      <c r="B31" s="4">
        <v>26.06</v>
      </c>
      <c r="C31" s="4">
        <v>4</v>
      </c>
      <c r="D31" s="11"/>
      <c r="F31" t="s">
        <v>36</v>
      </c>
      <c r="M31" t="s">
        <v>37</v>
      </c>
    </row>
    <row r="32" spans="1:16" x14ac:dyDescent="0.3">
      <c r="A32" s="1">
        <v>1</v>
      </c>
      <c r="B32" s="4">
        <v>18.5</v>
      </c>
      <c r="C32" s="4">
        <v>5</v>
      </c>
      <c r="D32" s="11"/>
    </row>
    <row r="33" spans="1:4" x14ac:dyDescent="0.3">
      <c r="A33" s="1">
        <v>2</v>
      </c>
      <c r="B33" s="4">
        <v>19.66</v>
      </c>
      <c r="C33" s="4">
        <v>5</v>
      </c>
      <c r="D33" s="11"/>
    </row>
    <row r="34" spans="1:4" x14ac:dyDescent="0.3">
      <c r="A34" s="1">
        <v>3</v>
      </c>
      <c r="B34" s="4">
        <v>23.58</v>
      </c>
      <c r="C34" s="4">
        <v>5</v>
      </c>
      <c r="D34" s="11"/>
    </row>
    <row r="35" spans="1:4" x14ac:dyDescent="0.3">
      <c r="A35" s="1">
        <v>4</v>
      </c>
      <c r="B35" s="4">
        <v>21.62</v>
      </c>
      <c r="C35" s="4">
        <v>5</v>
      </c>
      <c r="D35" s="11"/>
    </row>
    <row r="36" spans="1:4" x14ac:dyDescent="0.3">
      <c r="A36" s="1">
        <v>5</v>
      </c>
      <c r="B36" s="4">
        <v>21.16</v>
      </c>
      <c r="C36" s="4">
        <v>5</v>
      </c>
      <c r="D36" s="11"/>
    </row>
    <row r="37" spans="1:4" x14ac:dyDescent="0.3">
      <c r="A37" s="1">
        <v>6</v>
      </c>
      <c r="B37" s="4">
        <v>21.56</v>
      </c>
      <c r="C37" s="4">
        <v>5</v>
      </c>
      <c r="D37" s="11"/>
    </row>
    <row r="38" spans="1:4" x14ac:dyDescent="0.3">
      <c r="A38" s="1">
        <v>7</v>
      </c>
      <c r="B38" s="4">
        <v>23.48</v>
      </c>
      <c r="C38" s="4">
        <v>5</v>
      </c>
      <c r="D38" s="11"/>
    </row>
    <row r="39" spans="1:4" x14ac:dyDescent="0.3">
      <c r="A39" s="1">
        <v>8</v>
      </c>
      <c r="B39" s="4">
        <v>21.68</v>
      </c>
      <c r="C39" s="4">
        <v>5</v>
      </c>
      <c r="D39" s="11"/>
    </row>
    <row r="40" spans="1:4" x14ac:dyDescent="0.3">
      <c r="A40" s="1">
        <v>9</v>
      </c>
      <c r="B40" s="4">
        <v>24.26</v>
      </c>
      <c r="C40" s="4">
        <v>5</v>
      </c>
      <c r="D40" s="11"/>
    </row>
    <row r="41" spans="1:4" x14ac:dyDescent="0.3">
      <c r="A41" s="1">
        <v>10</v>
      </c>
      <c r="B41" s="4">
        <v>29.7</v>
      </c>
      <c r="C41" s="4">
        <v>5</v>
      </c>
      <c r="D41" s="11"/>
    </row>
    <row r="42" spans="1:4" x14ac:dyDescent="0.3">
      <c r="A42" s="1">
        <v>1</v>
      </c>
      <c r="B42" s="4">
        <v>21.02</v>
      </c>
      <c r="C42" s="4">
        <v>6</v>
      </c>
      <c r="D42" s="11"/>
    </row>
    <row r="43" spans="1:4" x14ac:dyDescent="0.3">
      <c r="A43" s="1">
        <v>2</v>
      </c>
      <c r="B43" s="4">
        <v>21.02</v>
      </c>
      <c r="C43" s="4">
        <v>6</v>
      </c>
      <c r="D43" s="11"/>
    </row>
    <row r="44" spans="1:4" x14ac:dyDescent="0.3">
      <c r="A44" s="1">
        <v>3</v>
      </c>
      <c r="B44" s="4">
        <v>24.26</v>
      </c>
      <c r="C44" s="4">
        <v>6</v>
      </c>
      <c r="D44" s="11"/>
    </row>
    <row r="45" spans="1:4" x14ac:dyDescent="0.3">
      <c r="A45" s="1">
        <v>4</v>
      </c>
      <c r="B45" s="4">
        <v>24.22</v>
      </c>
      <c r="C45" s="4">
        <v>6</v>
      </c>
      <c r="D45" s="11"/>
    </row>
    <row r="46" spans="1:4" x14ac:dyDescent="0.3">
      <c r="A46" s="1">
        <v>5</v>
      </c>
      <c r="B46" s="4">
        <v>21.78</v>
      </c>
      <c r="C46" s="4">
        <v>6</v>
      </c>
      <c r="D46" s="11"/>
    </row>
    <row r="47" spans="1:4" x14ac:dyDescent="0.3">
      <c r="A47" s="1">
        <v>6</v>
      </c>
      <c r="B47" s="4">
        <v>21.2</v>
      </c>
      <c r="C47" s="4">
        <v>6</v>
      </c>
      <c r="D47" s="11"/>
    </row>
    <row r="48" spans="1:4" x14ac:dyDescent="0.3">
      <c r="A48" s="1">
        <v>7</v>
      </c>
      <c r="B48" s="4">
        <v>26.26</v>
      </c>
      <c r="C48" s="4">
        <v>6</v>
      </c>
      <c r="D48" s="11"/>
    </row>
    <row r="49" spans="1:4" x14ac:dyDescent="0.3">
      <c r="A49" s="1">
        <v>8</v>
      </c>
      <c r="B49" s="4">
        <v>30.06</v>
      </c>
      <c r="C49" s="4">
        <v>6</v>
      </c>
      <c r="D49" s="11"/>
    </row>
  </sheetData>
  <sortState xmlns:xlrd2="http://schemas.microsoft.com/office/spreadsheetml/2017/richdata2" ref="A2:C49">
    <sortCondition ref="C2:C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2E3E9-CAF5-4DCF-8896-68E15938F5DD}">
  <dimension ref="A1:AB50"/>
  <sheetViews>
    <sheetView showGridLines="0" tabSelected="1" workbookViewId="0">
      <selection activeCell="R2" sqref="R2"/>
    </sheetView>
  </sheetViews>
  <sheetFormatPr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7" max="7" width="11.109375" customWidth="1"/>
    <col min="19" max="19" width="11.33203125" bestFit="1" customWidth="1"/>
    <col min="20" max="21" width="11.33203125" customWidth="1"/>
    <col min="24" max="24" width="12.33203125" bestFit="1" customWidth="1"/>
  </cols>
  <sheetData>
    <row r="1" spans="1:28" x14ac:dyDescent="0.3">
      <c r="A1" s="2" t="s">
        <v>0</v>
      </c>
      <c r="B1" s="2" t="s">
        <v>1</v>
      </c>
      <c r="C1" s="2" t="s">
        <v>2</v>
      </c>
      <c r="D1" s="2" t="s">
        <v>38</v>
      </c>
      <c r="E1" s="2" t="s">
        <v>39</v>
      </c>
      <c r="G1" s="19" t="s">
        <v>40</v>
      </c>
      <c r="Q1" s="2" t="s">
        <v>41</v>
      </c>
      <c r="R1" s="2" t="s">
        <v>42</v>
      </c>
      <c r="S1" s="2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</row>
    <row r="2" spans="1:28" x14ac:dyDescent="0.3">
      <c r="A2" s="1">
        <v>1</v>
      </c>
      <c r="B2" s="4">
        <v>11.2</v>
      </c>
      <c r="C2" s="4">
        <v>2</v>
      </c>
      <c r="D2" s="5">
        <f>LN(B2)</f>
        <v>2.4159137783010487</v>
      </c>
      <c r="E2" s="3">
        <f>1/C2</f>
        <v>0.5</v>
      </c>
      <c r="Q2" s="3">
        <f>EXP($H$19+$H$20*E2)</f>
        <v>13.41812680056502</v>
      </c>
      <c r="R2" s="5">
        <f>EXP((H9^2)*0.5)</f>
        <v>1.0087524453057886</v>
      </c>
      <c r="S2" s="3">
        <f>Q2*$R$2</f>
        <v>13.535568221493101</v>
      </c>
      <c r="T2" s="3">
        <f>B2-S2</f>
        <v>-2.3355682214931015</v>
      </c>
      <c r="U2" s="3">
        <f>T2/B2*100</f>
        <v>-20.853287691902693</v>
      </c>
      <c r="V2" s="3">
        <f>SUMXMY2(B2:B49,S2:S49)</f>
        <v>331.01689169780855</v>
      </c>
      <c r="W2" s="5">
        <f>SQRT(V2/(H10-2))</f>
        <v>2.6825397265902637</v>
      </c>
      <c r="X2" s="4">
        <f>AVERAGE(B2:B49)</f>
        <v>19.295416666666664</v>
      </c>
      <c r="Y2" s="3">
        <f>W2/X2*100</f>
        <v>13.902471104572832</v>
      </c>
      <c r="Z2" s="3">
        <f>(B2-$X$2)^2</f>
        <v>65.535771006944415</v>
      </c>
      <c r="AA2" s="5">
        <f>1-(V2/Z50)</f>
        <v>0.64475550159982875</v>
      </c>
      <c r="AB2" s="5">
        <f>1-((V2/Z50)*((48-1)/(48-2)))</f>
        <v>0.63703279511286848</v>
      </c>
    </row>
    <row r="3" spans="1:28" x14ac:dyDescent="0.3">
      <c r="A3" s="1">
        <v>2</v>
      </c>
      <c r="B3" s="4">
        <v>11.12</v>
      </c>
      <c r="C3" s="4">
        <v>2</v>
      </c>
      <c r="D3" s="5">
        <f t="shared" ref="D3:D49" si="0">LN(B3)</f>
        <v>2.4087452888224363</v>
      </c>
      <c r="E3" s="3">
        <f t="shared" ref="E3:E49" si="1">1/C3</f>
        <v>0.5</v>
      </c>
      <c r="G3" t="s">
        <v>53</v>
      </c>
      <c r="Q3" s="3">
        <f t="shared" ref="Q3:Q49" si="2">EXP($H$19+$H$20*E3)</f>
        <v>13.41812680056502</v>
      </c>
      <c r="S3" s="3">
        <f t="shared" ref="S3:S49" si="3">Q3*$R$2</f>
        <v>13.535568221493101</v>
      </c>
      <c r="T3" s="3">
        <f t="shared" ref="T3:T49" si="4">B3-S3</f>
        <v>-2.4155682214931016</v>
      </c>
      <c r="U3" s="3">
        <f t="shared" ref="U3:U49" si="5">T3/B3*100</f>
        <v>-21.72273580479408</v>
      </c>
      <c r="Z3" s="3">
        <f t="shared" ref="Z3:Z49" si="6">(B3-$X$2)^2</f>
        <v>66.837437673611092</v>
      </c>
    </row>
    <row r="4" spans="1:28" ht="15" thickBot="1" x14ac:dyDescent="0.35">
      <c r="A4" s="1">
        <v>3</v>
      </c>
      <c r="B4" s="4">
        <v>14.3</v>
      </c>
      <c r="C4" s="4">
        <v>2</v>
      </c>
      <c r="D4" s="5">
        <f t="shared" si="0"/>
        <v>2.6602595372658615</v>
      </c>
      <c r="E4" s="3">
        <f t="shared" si="1"/>
        <v>0.5</v>
      </c>
      <c r="Q4" s="3">
        <f t="shared" si="2"/>
        <v>13.41812680056502</v>
      </c>
      <c r="S4" s="3">
        <f t="shared" si="3"/>
        <v>13.535568221493101</v>
      </c>
      <c r="T4" s="3">
        <f t="shared" si="4"/>
        <v>0.76443177850689992</v>
      </c>
      <c r="U4" s="3">
        <f t="shared" si="5"/>
        <v>5.3456767727755237</v>
      </c>
      <c r="Z4" s="3">
        <f t="shared" si="6"/>
        <v>24.954187673611081</v>
      </c>
    </row>
    <row r="5" spans="1:28" x14ac:dyDescent="0.3">
      <c r="A5" s="1">
        <v>4</v>
      </c>
      <c r="B5" s="4">
        <v>15.62</v>
      </c>
      <c r="C5" s="4">
        <v>2</v>
      </c>
      <c r="D5" s="5">
        <f t="shared" si="0"/>
        <v>2.7485521444115397</v>
      </c>
      <c r="E5" s="3">
        <f t="shared" si="1"/>
        <v>0.5</v>
      </c>
      <c r="G5" s="53" t="s">
        <v>54</v>
      </c>
      <c r="H5" s="53"/>
      <c r="Q5" s="3">
        <f t="shared" si="2"/>
        <v>13.41812680056502</v>
      </c>
      <c r="S5" s="3">
        <f t="shared" si="3"/>
        <v>13.535568221493101</v>
      </c>
      <c r="T5" s="3">
        <f t="shared" si="4"/>
        <v>2.0844317785068984</v>
      </c>
      <c r="U5" s="3">
        <f t="shared" si="5"/>
        <v>13.344633665217021</v>
      </c>
      <c r="Z5" s="3">
        <f t="shared" si="6"/>
        <v>13.508687673611101</v>
      </c>
    </row>
    <row r="6" spans="1:28" x14ac:dyDescent="0.3">
      <c r="A6" s="1">
        <v>5</v>
      </c>
      <c r="B6" s="4">
        <v>13.56</v>
      </c>
      <c r="C6" s="4">
        <v>2</v>
      </c>
      <c r="D6" s="5">
        <f t="shared" si="0"/>
        <v>2.6071242825122494</v>
      </c>
      <c r="E6" s="3">
        <f t="shared" si="1"/>
        <v>0.5</v>
      </c>
      <c r="G6" t="s">
        <v>55</v>
      </c>
      <c r="H6">
        <v>0.83368029518524789</v>
      </c>
      <c r="Q6" s="3">
        <f t="shared" si="2"/>
        <v>13.41812680056502</v>
      </c>
      <c r="S6" s="3">
        <f t="shared" si="3"/>
        <v>13.535568221493101</v>
      </c>
      <c r="T6" s="3">
        <f t="shared" si="4"/>
        <v>2.4431778506899704E-2</v>
      </c>
      <c r="U6" s="3">
        <f t="shared" si="5"/>
        <v>0.18017535772049928</v>
      </c>
      <c r="Z6" s="3">
        <f t="shared" si="6"/>
        <v>32.895004340277744</v>
      </c>
    </row>
    <row r="7" spans="1:28" x14ac:dyDescent="0.3">
      <c r="A7" s="1">
        <v>6</v>
      </c>
      <c r="B7" s="4">
        <v>15.14</v>
      </c>
      <c r="C7" s="4">
        <v>2</v>
      </c>
      <c r="D7" s="5">
        <f t="shared" si="0"/>
        <v>2.717340248009303</v>
      </c>
      <c r="E7" s="3">
        <f t="shared" si="1"/>
        <v>0.5</v>
      </c>
      <c r="G7" t="s">
        <v>56</v>
      </c>
      <c r="H7">
        <v>0.69502283458016201</v>
      </c>
      <c r="Q7" s="3">
        <f t="shared" si="2"/>
        <v>13.41812680056502</v>
      </c>
      <c r="S7" s="3">
        <f t="shared" si="3"/>
        <v>13.535568221493101</v>
      </c>
      <c r="T7" s="3">
        <f t="shared" si="4"/>
        <v>1.6044317785068998</v>
      </c>
      <c r="U7" s="3">
        <f t="shared" si="5"/>
        <v>10.59730368894914</v>
      </c>
      <c r="Z7" s="3">
        <f t="shared" si="6"/>
        <v>17.26748767361109</v>
      </c>
    </row>
    <row r="8" spans="1:28" x14ac:dyDescent="0.3">
      <c r="A8" s="1">
        <v>7</v>
      </c>
      <c r="B8" s="4">
        <v>15.74</v>
      </c>
      <c r="C8" s="4">
        <v>2</v>
      </c>
      <c r="D8" s="5">
        <f t="shared" si="0"/>
        <v>2.7562052429892572</v>
      </c>
      <c r="E8" s="3">
        <f t="shared" si="1"/>
        <v>0.5</v>
      </c>
      <c r="G8" t="s">
        <v>57</v>
      </c>
      <c r="H8">
        <v>0.68839289620146993</v>
      </c>
      <c r="Q8" s="3">
        <f t="shared" si="2"/>
        <v>13.41812680056502</v>
      </c>
      <c r="S8" s="3">
        <f t="shared" si="3"/>
        <v>13.535568221493101</v>
      </c>
      <c r="T8" s="3">
        <f t="shared" si="4"/>
        <v>2.2044317785068994</v>
      </c>
      <c r="U8" s="3">
        <f t="shared" si="5"/>
        <v>14.005284488608002</v>
      </c>
      <c r="Z8" s="3">
        <f t="shared" si="6"/>
        <v>12.640987673611093</v>
      </c>
    </row>
    <row r="9" spans="1:28" x14ac:dyDescent="0.3">
      <c r="A9" s="1">
        <v>8</v>
      </c>
      <c r="B9" s="4">
        <v>15.04</v>
      </c>
      <c r="C9" s="4">
        <v>2</v>
      </c>
      <c r="D9" s="5">
        <f t="shared" si="0"/>
        <v>2.7107133185216936</v>
      </c>
      <c r="E9" s="3">
        <f t="shared" si="1"/>
        <v>0.5</v>
      </c>
      <c r="G9" t="s">
        <v>58</v>
      </c>
      <c r="H9">
        <v>0.13201791313333933</v>
      </c>
      <c r="Q9" s="3">
        <f t="shared" si="2"/>
        <v>13.41812680056502</v>
      </c>
      <c r="S9" s="3">
        <f t="shared" si="3"/>
        <v>13.535568221493101</v>
      </c>
      <c r="T9" s="3">
        <f t="shared" si="4"/>
        <v>1.5044317785068984</v>
      </c>
      <c r="U9" s="3">
        <f t="shared" si="5"/>
        <v>10.002870867732037</v>
      </c>
      <c r="Z9" s="3">
        <f t="shared" si="6"/>
        <v>18.108571006944434</v>
      </c>
    </row>
    <row r="10" spans="1:28" ht="15" thickBot="1" x14ac:dyDescent="0.35">
      <c r="A10" s="1">
        <v>9</v>
      </c>
      <c r="B10" s="4">
        <v>12.3</v>
      </c>
      <c r="C10" s="4">
        <v>2</v>
      </c>
      <c r="D10" s="5">
        <f t="shared" si="0"/>
        <v>2.5095992623783721</v>
      </c>
      <c r="E10" s="3">
        <f t="shared" si="1"/>
        <v>0.5</v>
      </c>
      <c r="G10" s="51" t="s">
        <v>59</v>
      </c>
      <c r="H10" s="51">
        <v>48</v>
      </c>
      <c r="Q10" s="3">
        <f t="shared" si="2"/>
        <v>13.41812680056502</v>
      </c>
      <c r="S10" s="3">
        <f t="shared" si="3"/>
        <v>13.535568221493101</v>
      </c>
      <c r="T10" s="3">
        <f t="shared" si="4"/>
        <v>-1.2355682214931001</v>
      </c>
      <c r="U10" s="3">
        <f t="shared" si="5"/>
        <v>-10.045270093439838</v>
      </c>
      <c r="Z10" s="3">
        <f t="shared" si="6"/>
        <v>48.935854340277736</v>
      </c>
    </row>
    <row r="11" spans="1:28" x14ac:dyDescent="0.3">
      <c r="A11" s="1">
        <v>10</v>
      </c>
      <c r="B11" s="4">
        <v>12.6</v>
      </c>
      <c r="C11" s="4">
        <v>2</v>
      </c>
      <c r="D11" s="5">
        <f t="shared" si="0"/>
        <v>2.5336968139574321</v>
      </c>
      <c r="E11" s="3">
        <f t="shared" si="1"/>
        <v>0.5</v>
      </c>
      <c r="Q11" s="3">
        <f t="shared" si="2"/>
        <v>13.41812680056502</v>
      </c>
      <c r="S11" s="3">
        <f t="shared" si="3"/>
        <v>13.535568221493101</v>
      </c>
      <c r="T11" s="3">
        <f t="shared" si="4"/>
        <v>-0.93556822149310115</v>
      </c>
      <c r="U11" s="3">
        <f t="shared" si="5"/>
        <v>-7.4251446150246121</v>
      </c>
      <c r="Z11" s="3">
        <f t="shared" si="6"/>
        <v>44.828604340277749</v>
      </c>
    </row>
    <row r="12" spans="1:28" ht="15" thickBot="1" x14ac:dyDescent="0.35">
      <c r="A12" s="1">
        <v>1</v>
      </c>
      <c r="B12" s="4">
        <v>15</v>
      </c>
      <c r="C12" s="4">
        <v>3</v>
      </c>
      <c r="D12" s="5">
        <f t="shared" si="0"/>
        <v>2.7080502011022101</v>
      </c>
      <c r="E12" s="3">
        <f t="shared" si="1"/>
        <v>0.33333333333333331</v>
      </c>
      <c r="G12" t="s">
        <v>60</v>
      </c>
      <c r="Q12" s="3">
        <f t="shared" si="2"/>
        <v>17.643464397785227</v>
      </c>
      <c r="S12" s="3">
        <f t="shared" si="3"/>
        <v>17.797887854931471</v>
      </c>
      <c r="T12" s="3">
        <f t="shared" si="4"/>
        <v>-2.7978878549314707</v>
      </c>
      <c r="U12" s="3">
        <f t="shared" si="5"/>
        <v>-18.652585699543138</v>
      </c>
      <c r="Z12" s="3">
        <f t="shared" si="6"/>
        <v>18.45060434027776</v>
      </c>
    </row>
    <row r="13" spans="1:28" x14ac:dyDescent="0.3">
      <c r="A13" s="1">
        <v>2</v>
      </c>
      <c r="B13" s="4">
        <v>15.34</v>
      </c>
      <c r="C13" s="4">
        <v>3</v>
      </c>
      <c r="D13" s="5">
        <f t="shared" si="0"/>
        <v>2.73046379593911</v>
      </c>
      <c r="E13" s="3">
        <f t="shared" si="1"/>
        <v>0.33333333333333331</v>
      </c>
      <c r="G13" s="52"/>
      <c r="H13" s="52" t="s">
        <v>61</v>
      </c>
      <c r="I13" s="52" t="s">
        <v>62</v>
      </c>
      <c r="J13" s="52" t="s">
        <v>63</v>
      </c>
      <c r="K13" s="52" t="s">
        <v>64</v>
      </c>
      <c r="L13" s="52" t="s">
        <v>65</v>
      </c>
      <c r="Q13" s="3">
        <f t="shared" si="2"/>
        <v>17.643464397785227</v>
      </c>
      <c r="S13" s="3">
        <f t="shared" si="3"/>
        <v>17.797887854931471</v>
      </c>
      <c r="T13" s="3">
        <f t="shared" si="4"/>
        <v>-2.4578878549314709</v>
      </c>
      <c r="U13" s="3">
        <f t="shared" si="5"/>
        <v>-16.022736994338143</v>
      </c>
      <c r="Z13" s="3">
        <f t="shared" si="6"/>
        <v>15.645321006944428</v>
      </c>
    </row>
    <row r="14" spans="1:28" x14ac:dyDescent="0.3">
      <c r="A14" s="1">
        <v>3</v>
      </c>
      <c r="B14" s="4">
        <v>17.5</v>
      </c>
      <c r="C14" s="4">
        <v>3</v>
      </c>
      <c r="D14" s="5">
        <f t="shared" si="0"/>
        <v>2.8622008809294686</v>
      </c>
      <c r="E14" s="3">
        <f t="shared" si="1"/>
        <v>0.33333333333333331</v>
      </c>
      <c r="G14" t="s">
        <v>66</v>
      </c>
      <c r="H14">
        <v>1</v>
      </c>
      <c r="I14">
        <v>1.8270705111477747</v>
      </c>
      <c r="J14">
        <v>1.8270705111477747</v>
      </c>
      <c r="K14">
        <v>104.83096446475081</v>
      </c>
      <c r="L14">
        <v>1.911889369677287E-13</v>
      </c>
      <c r="Q14" s="3">
        <f t="shared" si="2"/>
        <v>17.643464397785227</v>
      </c>
      <c r="S14" s="3">
        <f t="shared" si="3"/>
        <v>17.797887854931471</v>
      </c>
      <c r="T14" s="3">
        <f t="shared" si="4"/>
        <v>-0.29788785493147074</v>
      </c>
      <c r="U14" s="3">
        <f t="shared" si="5"/>
        <v>-1.7022163138941184</v>
      </c>
      <c r="Z14" s="3">
        <f t="shared" si="6"/>
        <v>3.2235210069444364</v>
      </c>
    </row>
    <row r="15" spans="1:28" x14ac:dyDescent="0.3">
      <c r="A15" s="1">
        <v>4</v>
      </c>
      <c r="B15" s="4">
        <v>19.440000000000001</v>
      </c>
      <c r="C15" s="4">
        <v>3</v>
      </c>
      <c r="D15" s="5">
        <f t="shared" si="0"/>
        <v>2.9673327990322931</v>
      </c>
      <c r="E15" s="3">
        <f t="shared" si="1"/>
        <v>0.33333333333333331</v>
      </c>
      <c r="G15" t="s">
        <v>67</v>
      </c>
      <c r="H15">
        <v>46</v>
      </c>
      <c r="I15">
        <v>0.80172155185176874</v>
      </c>
      <c r="J15">
        <v>1.7428729388081928E-2</v>
      </c>
      <c r="Q15" s="3">
        <f t="shared" si="2"/>
        <v>17.643464397785227</v>
      </c>
      <c r="S15" s="3">
        <f t="shared" si="3"/>
        <v>17.797887854931471</v>
      </c>
      <c r="T15" s="3">
        <f t="shared" si="4"/>
        <v>1.6421121450685305</v>
      </c>
      <c r="U15" s="3">
        <f t="shared" si="5"/>
        <v>8.4470789355377072</v>
      </c>
      <c r="Z15" s="3">
        <f t="shared" si="6"/>
        <v>2.090434027777879E-2</v>
      </c>
    </row>
    <row r="16" spans="1:28" ht="15" thickBot="1" x14ac:dyDescent="0.35">
      <c r="A16" s="1">
        <v>5</v>
      </c>
      <c r="B16" s="4">
        <v>16.54</v>
      </c>
      <c r="C16" s="4">
        <v>3</v>
      </c>
      <c r="D16" s="5">
        <f t="shared" si="0"/>
        <v>2.8057816895955452</v>
      </c>
      <c r="E16" s="3">
        <f t="shared" si="1"/>
        <v>0.33333333333333331</v>
      </c>
      <c r="G16" s="51" t="s">
        <v>68</v>
      </c>
      <c r="H16" s="51">
        <v>47</v>
      </c>
      <c r="I16" s="51">
        <v>2.6287920629995436</v>
      </c>
      <c r="J16" s="51"/>
      <c r="K16" s="51"/>
      <c r="L16" s="51"/>
      <c r="Q16" s="3">
        <f t="shared" si="2"/>
        <v>17.643464397785227</v>
      </c>
      <c r="S16" s="3">
        <f t="shared" si="3"/>
        <v>17.797887854931471</v>
      </c>
      <c r="T16" s="3">
        <f t="shared" si="4"/>
        <v>-1.2578878549314716</v>
      </c>
      <c r="U16" s="3">
        <f t="shared" si="5"/>
        <v>-7.6051260878565401</v>
      </c>
      <c r="Z16" s="3">
        <f t="shared" si="6"/>
        <v>7.5923210069444371</v>
      </c>
    </row>
    <row r="17" spans="1:26" ht="15" thickBot="1" x14ac:dyDescent="0.35">
      <c r="A17" s="1">
        <v>6</v>
      </c>
      <c r="B17" s="4">
        <v>17.239999999999998</v>
      </c>
      <c r="C17" s="4">
        <v>3</v>
      </c>
      <c r="D17" s="5">
        <f t="shared" si="0"/>
        <v>2.8472322652355468</v>
      </c>
      <c r="E17" s="3">
        <f t="shared" si="1"/>
        <v>0.33333333333333331</v>
      </c>
      <c r="Q17" s="3">
        <f t="shared" si="2"/>
        <v>17.643464397785227</v>
      </c>
      <c r="S17" s="3">
        <f t="shared" si="3"/>
        <v>17.797887854931471</v>
      </c>
      <c r="T17" s="3">
        <f t="shared" si="4"/>
        <v>-0.5578878549314723</v>
      </c>
      <c r="U17" s="3">
        <f t="shared" si="5"/>
        <v>-3.2360084392776813</v>
      </c>
      <c r="Z17" s="3">
        <f t="shared" si="6"/>
        <v>4.2247376736111084</v>
      </c>
    </row>
    <row r="18" spans="1:26" x14ac:dyDescent="0.3">
      <c r="A18" s="1">
        <v>7</v>
      </c>
      <c r="B18" s="4">
        <v>16.3</v>
      </c>
      <c r="C18" s="4">
        <v>3</v>
      </c>
      <c r="D18" s="5">
        <f t="shared" si="0"/>
        <v>2.7911651078127169</v>
      </c>
      <c r="E18" s="3">
        <f t="shared" si="1"/>
        <v>0.33333333333333331</v>
      </c>
      <c r="G18" s="52"/>
      <c r="H18" s="52" t="s">
        <v>69</v>
      </c>
      <c r="I18" s="52" t="s">
        <v>58</v>
      </c>
      <c r="J18" s="52" t="s">
        <v>70</v>
      </c>
      <c r="K18" s="52" t="s">
        <v>71</v>
      </c>
      <c r="L18" s="52" t="s">
        <v>72</v>
      </c>
      <c r="M18" s="52" t="s">
        <v>73</v>
      </c>
      <c r="N18" s="52" t="s">
        <v>74</v>
      </c>
      <c r="O18" s="52" t="s">
        <v>75</v>
      </c>
      <c r="Q18" s="3">
        <f t="shared" si="2"/>
        <v>17.643464397785227</v>
      </c>
      <c r="S18" s="3">
        <f t="shared" si="3"/>
        <v>17.797887854931471</v>
      </c>
      <c r="T18" s="3">
        <f t="shared" si="4"/>
        <v>-1.49788785493147</v>
      </c>
      <c r="U18" s="3">
        <f t="shared" si="5"/>
        <v>-9.1894960425243557</v>
      </c>
      <c r="Z18" s="3">
        <f t="shared" si="6"/>
        <v>8.9725210069444277</v>
      </c>
    </row>
    <row r="19" spans="1:26" x14ac:dyDescent="0.3">
      <c r="A19" s="1">
        <v>8</v>
      </c>
      <c r="B19" s="4">
        <v>15.26</v>
      </c>
      <c r="C19" s="4">
        <v>3</v>
      </c>
      <c r="D19" s="5">
        <f t="shared" si="0"/>
        <v>2.7252350258563109</v>
      </c>
      <c r="E19" s="3">
        <f t="shared" si="1"/>
        <v>0.33333333333333331</v>
      </c>
      <c r="G19" t="s">
        <v>76</v>
      </c>
      <c r="H19">
        <v>3.4178831989227549</v>
      </c>
      <c r="I19">
        <v>5.1038478736348231E-2</v>
      </c>
      <c r="J19">
        <v>66.966792183965126</v>
      </c>
      <c r="K19">
        <v>1.6683237270908495E-47</v>
      </c>
      <c r="L19">
        <v>3.3151480696988167</v>
      </c>
      <c r="M19">
        <v>3.5206183281466932</v>
      </c>
      <c r="N19">
        <v>3.3151480696988167</v>
      </c>
      <c r="O19">
        <v>3.5206183281466932</v>
      </c>
      <c r="Q19" s="3">
        <f t="shared" si="2"/>
        <v>17.643464397785227</v>
      </c>
      <c r="S19" s="3">
        <f t="shared" si="3"/>
        <v>17.797887854931471</v>
      </c>
      <c r="T19" s="3">
        <f t="shared" si="4"/>
        <v>-2.537887854931471</v>
      </c>
      <c r="U19" s="3">
        <f t="shared" si="5"/>
        <v>-16.630982011346468</v>
      </c>
      <c r="Z19" s="3">
        <f t="shared" si="6"/>
        <v>16.284587673611096</v>
      </c>
    </row>
    <row r="20" spans="1:26" ht="15" thickBot="1" x14ac:dyDescent="0.35">
      <c r="A20" s="1">
        <v>9</v>
      </c>
      <c r="B20" s="4">
        <v>20.8</v>
      </c>
      <c r="C20" s="4">
        <v>3</v>
      </c>
      <c r="D20" s="5">
        <f t="shared" si="0"/>
        <v>3.0349529867072724</v>
      </c>
      <c r="E20" s="3">
        <f t="shared" si="1"/>
        <v>0.33333333333333331</v>
      </c>
      <c r="G20" s="51" t="s">
        <v>39</v>
      </c>
      <c r="H20" s="51">
        <v>-1.6425533195841069</v>
      </c>
      <c r="I20" s="51">
        <v>0.16042597431261799</v>
      </c>
      <c r="J20" s="51">
        <v>-10.238699354153869</v>
      </c>
      <c r="K20" s="51">
        <v>1.9118893696772663E-13</v>
      </c>
      <c r="L20" s="51">
        <v>-1.9654740572303371</v>
      </c>
      <c r="M20" s="51">
        <v>-1.3196325819378767</v>
      </c>
      <c r="N20" s="51">
        <v>-1.9654740572303371</v>
      </c>
      <c r="O20" s="51">
        <v>-1.3196325819378767</v>
      </c>
      <c r="Q20" s="3">
        <f t="shared" si="2"/>
        <v>17.643464397785227</v>
      </c>
      <c r="S20" s="3">
        <f t="shared" si="3"/>
        <v>17.797887854931471</v>
      </c>
      <c r="T20" s="3">
        <f t="shared" si="4"/>
        <v>3.00211214506853</v>
      </c>
      <c r="U20" s="3">
        <f t="shared" si="5"/>
        <v>14.433231466675625</v>
      </c>
      <c r="Z20" s="3">
        <f t="shared" si="6"/>
        <v>2.2637710069444532</v>
      </c>
    </row>
    <row r="21" spans="1:26" x14ac:dyDescent="0.3">
      <c r="A21" s="1">
        <v>10</v>
      </c>
      <c r="B21" s="4">
        <v>23.3</v>
      </c>
      <c r="C21" s="4">
        <v>3</v>
      </c>
      <c r="D21" s="5">
        <f t="shared" si="0"/>
        <v>3.1484533605716547</v>
      </c>
      <c r="E21" s="3">
        <f t="shared" si="1"/>
        <v>0.33333333333333331</v>
      </c>
      <c r="Q21" s="3">
        <f t="shared" si="2"/>
        <v>17.643464397785227</v>
      </c>
      <c r="S21" s="3">
        <f t="shared" si="3"/>
        <v>17.797887854931471</v>
      </c>
      <c r="T21" s="3">
        <f t="shared" si="4"/>
        <v>5.50211214506853</v>
      </c>
      <c r="U21" s="3">
        <f t="shared" si="5"/>
        <v>23.614215214886393</v>
      </c>
      <c r="Z21" s="3">
        <f t="shared" si="6"/>
        <v>16.036687673611134</v>
      </c>
    </row>
    <row r="22" spans="1:26" x14ac:dyDescent="0.3">
      <c r="A22" s="1">
        <v>1</v>
      </c>
      <c r="B22" s="4">
        <v>16.36</v>
      </c>
      <c r="C22" s="4">
        <v>4</v>
      </c>
      <c r="D22" s="5">
        <f t="shared" si="0"/>
        <v>2.7948393311746011</v>
      </c>
      <c r="E22" s="3">
        <f t="shared" si="1"/>
        <v>0.25</v>
      </c>
      <c r="Q22" s="3">
        <f t="shared" si="2"/>
        <v>20.231582408931818</v>
      </c>
      <c r="S22" s="3">
        <f t="shared" si="3"/>
        <v>20.408658227415547</v>
      </c>
      <c r="T22" s="3">
        <f t="shared" si="4"/>
        <v>-4.0486582274155474</v>
      </c>
      <c r="U22" s="3">
        <f t="shared" si="5"/>
        <v>-24.747299678579139</v>
      </c>
      <c r="Z22" s="3">
        <f t="shared" si="6"/>
        <v>8.6166710069444346</v>
      </c>
    </row>
    <row r="23" spans="1:26" x14ac:dyDescent="0.3">
      <c r="A23" s="1">
        <v>2</v>
      </c>
      <c r="B23" s="4">
        <v>17.52</v>
      </c>
      <c r="C23" s="4">
        <v>4</v>
      </c>
      <c r="D23" s="5">
        <f t="shared" si="0"/>
        <v>2.8633430855082453</v>
      </c>
      <c r="E23" s="3">
        <f t="shared" si="1"/>
        <v>0.25</v>
      </c>
      <c r="Q23" s="3">
        <f t="shared" si="2"/>
        <v>20.231582408931818</v>
      </c>
      <c r="S23" s="3">
        <f t="shared" si="3"/>
        <v>20.408658227415547</v>
      </c>
      <c r="T23" s="3">
        <f t="shared" si="4"/>
        <v>-2.8886582274155472</v>
      </c>
      <c r="U23" s="3">
        <f t="shared" si="5"/>
        <v>-16.487775270636686</v>
      </c>
      <c r="Z23" s="3">
        <f t="shared" si="6"/>
        <v>3.1521043402777713</v>
      </c>
    </row>
    <row r="24" spans="1:26" x14ac:dyDescent="0.3">
      <c r="A24" s="1">
        <v>3</v>
      </c>
      <c r="B24" s="4">
        <v>21.28</v>
      </c>
      <c r="C24" s="4">
        <v>4</v>
      </c>
      <c r="D24" s="5">
        <f t="shared" si="0"/>
        <v>3.0577676644734435</v>
      </c>
      <c r="E24" s="3">
        <f t="shared" si="1"/>
        <v>0.25</v>
      </c>
      <c r="Q24" s="3">
        <f t="shared" si="2"/>
        <v>20.231582408931818</v>
      </c>
      <c r="S24" s="3">
        <f t="shared" si="3"/>
        <v>20.408658227415547</v>
      </c>
      <c r="T24" s="3">
        <f t="shared" si="4"/>
        <v>0.87134177258445433</v>
      </c>
      <c r="U24" s="3">
        <f t="shared" si="5"/>
        <v>4.0946511869570221</v>
      </c>
      <c r="Z24" s="3">
        <f t="shared" si="6"/>
        <v>3.9385710069444579</v>
      </c>
    </row>
    <row r="25" spans="1:26" x14ac:dyDescent="0.3">
      <c r="A25" s="1">
        <v>4</v>
      </c>
      <c r="B25" s="4">
        <v>18.86</v>
      </c>
      <c r="C25" s="4">
        <v>4</v>
      </c>
      <c r="D25" s="5">
        <f t="shared" si="0"/>
        <v>2.9370432772053112</v>
      </c>
      <c r="E25" s="3">
        <f t="shared" si="1"/>
        <v>0.25</v>
      </c>
      <c r="Q25" s="3">
        <f t="shared" si="2"/>
        <v>20.231582408931818</v>
      </c>
      <c r="S25" s="3">
        <f t="shared" si="3"/>
        <v>20.408658227415547</v>
      </c>
      <c r="T25" s="3">
        <f t="shared" si="4"/>
        <v>-1.5486582274155474</v>
      </c>
      <c r="U25" s="3">
        <f t="shared" si="5"/>
        <v>-8.2113373669965384</v>
      </c>
      <c r="Z25" s="3">
        <f t="shared" si="6"/>
        <v>0.18958767361110967</v>
      </c>
    </row>
    <row r="26" spans="1:26" x14ac:dyDescent="0.3">
      <c r="A26" s="1">
        <v>5</v>
      </c>
      <c r="B26" s="4">
        <v>18.100000000000001</v>
      </c>
      <c r="C26" s="4">
        <v>4</v>
      </c>
      <c r="D26" s="5">
        <f t="shared" si="0"/>
        <v>2.8959119382717802</v>
      </c>
      <c r="E26" s="3">
        <f t="shared" si="1"/>
        <v>0.25</v>
      </c>
      <c r="Q26" s="3">
        <f t="shared" si="2"/>
        <v>20.231582408931818</v>
      </c>
      <c r="S26" s="3">
        <f t="shared" si="3"/>
        <v>20.408658227415547</v>
      </c>
      <c r="T26" s="3">
        <f t="shared" si="4"/>
        <v>-2.3086582274155454</v>
      </c>
      <c r="U26" s="3">
        <f t="shared" si="5"/>
        <v>-12.755017831025112</v>
      </c>
      <c r="Z26" s="3">
        <f t="shared" si="6"/>
        <v>1.4290210069444358</v>
      </c>
    </row>
    <row r="27" spans="1:26" x14ac:dyDescent="0.3">
      <c r="A27" s="1">
        <v>6</v>
      </c>
      <c r="B27" s="4">
        <v>18.86</v>
      </c>
      <c r="C27" s="4">
        <v>4</v>
      </c>
      <c r="D27" s="5">
        <f t="shared" si="0"/>
        <v>2.9370432772053112</v>
      </c>
      <c r="E27" s="3">
        <f t="shared" si="1"/>
        <v>0.25</v>
      </c>
      <c r="Q27" s="3">
        <f t="shared" si="2"/>
        <v>20.231582408931818</v>
      </c>
      <c r="S27" s="3">
        <f t="shared" si="3"/>
        <v>20.408658227415547</v>
      </c>
      <c r="T27" s="3">
        <f t="shared" si="4"/>
        <v>-1.5486582274155474</v>
      </c>
      <c r="U27" s="3">
        <f t="shared" si="5"/>
        <v>-8.2113373669965384</v>
      </c>
      <c r="Z27" s="3">
        <f t="shared" si="6"/>
        <v>0.18958767361110967</v>
      </c>
    </row>
    <row r="28" spans="1:26" x14ac:dyDescent="0.3">
      <c r="A28" s="1">
        <v>7</v>
      </c>
      <c r="B28" s="4">
        <v>20.5</v>
      </c>
      <c r="C28" s="4">
        <v>4</v>
      </c>
      <c r="D28" s="5">
        <f t="shared" si="0"/>
        <v>3.0204248861443626</v>
      </c>
      <c r="E28" s="3">
        <f t="shared" si="1"/>
        <v>0.25</v>
      </c>
      <c r="Q28" s="3">
        <f t="shared" si="2"/>
        <v>20.231582408931818</v>
      </c>
      <c r="S28" s="3">
        <f t="shared" si="3"/>
        <v>20.408658227415547</v>
      </c>
      <c r="T28" s="3">
        <f t="shared" si="4"/>
        <v>9.1341772584453196E-2</v>
      </c>
      <c r="U28" s="3">
        <f t="shared" si="5"/>
        <v>0.44556962236318631</v>
      </c>
      <c r="Z28" s="3">
        <f t="shared" si="6"/>
        <v>1.4510210069444498</v>
      </c>
    </row>
    <row r="29" spans="1:26" x14ac:dyDescent="0.3">
      <c r="A29" s="1">
        <v>8</v>
      </c>
      <c r="B29" s="4">
        <v>18</v>
      </c>
      <c r="C29" s="4">
        <v>4</v>
      </c>
      <c r="D29" s="5">
        <f t="shared" si="0"/>
        <v>2.8903717578961645</v>
      </c>
      <c r="E29" s="3">
        <f t="shared" si="1"/>
        <v>0.25</v>
      </c>
      <c r="Q29" s="3">
        <f t="shared" si="2"/>
        <v>20.231582408931818</v>
      </c>
      <c r="S29" s="3">
        <f t="shared" si="3"/>
        <v>20.408658227415547</v>
      </c>
      <c r="T29" s="3">
        <f t="shared" si="4"/>
        <v>-2.4086582274155468</v>
      </c>
      <c r="U29" s="3">
        <f t="shared" si="5"/>
        <v>-13.381434596753039</v>
      </c>
      <c r="Z29" s="3">
        <f t="shared" si="6"/>
        <v>1.678104340277772</v>
      </c>
    </row>
    <row r="30" spans="1:26" x14ac:dyDescent="0.3">
      <c r="A30" s="1">
        <v>9</v>
      </c>
      <c r="B30" s="4">
        <v>22.28</v>
      </c>
      <c r="C30" s="4">
        <v>4</v>
      </c>
      <c r="D30" s="5">
        <f t="shared" si="0"/>
        <v>3.1036894150590832</v>
      </c>
      <c r="E30" s="3">
        <f t="shared" si="1"/>
        <v>0.25</v>
      </c>
      <c r="Q30" s="3">
        <f t="shared" si="2"/>
        <v>20.231582408931818</v>
      </c>
      <c r="S30" s="3">
        <f t="shared" si="3"/>
        <v>20.408658227415547</v>
      </c>
      <c r="T30" s="3">
        <f t="shared" si="4"/>
        <v>1.8713417725844543</v>
      </c>
      <c r="U30" s="3">
        <f t="shared" si="5"/>
        <v>8.3992000564831866</v>
      </c>
      <c r="Z30" s="3">
        <f t="shared" si="6"/>
        <v>8.9077376736111304</v>
      </c>
    </row>
    <row r="31" spans="1:26" x14ac:dyDescent="0.3">
      <c r="A31" s="1">
        <v>10</v>
      </c>
      <c r="B31" s="4">
        <v>26.06</v>
      </c>
      <c r="C31" s="4">
        <v>4</v>
      </c>
      <c r="D31" s="5">
        <f t="shared" si="0"/>
        <v>3.2604015716966992</v>
      </c>
      <c r="E31" s="3">
        <f t="shared" si="1"/>
        <v>0.25</v>
      </c>
      <c r="Q31" s="3">
        <f t="shared" si="2"/>
        <v>20.231582408931818</v>
      </c>
      <c r="S31" s="3">
        <f t="shared" si="3"/>
        <v>20.408658227415547</v>
      </c>
      <c r="T31" s="3">
        <f t="shared" si="4"/>
        <v>5.6513417725844519</v>
      </c>
      <c r="U31" s="3">
        <f t="shared" si="5"/>
        <v>21.685885543301811</v>
      </c>
      <c r="Z31" s="3">
        <f t="shared" si="6"/>
        <v>45.759587673611122</v>
      </c>
    </row>
    <row r="32" spans="1:26" x14ac:dyDescent="0.3">
      <c r="A32" s="1">
        <v>1</v>
      </c>
      <c r="B32" s="4">
        <v>18.5</v>
      </c>
      <c r="C32" s="4">
        <v>5</v>
      </c>
      <c r="D32" s="5">
        <f t="shared" si="0"/>
        <v>2.917770732084279</v>
      </c>
      <c r="E32" s="3">
        <f t="shared" si="1"/>
        <v>0.2</v>
      </c>
      <c r="Q32" s="3">
        <f t="shared" si="2"/>
        <v>21.9632924540802</v>
      </c>
      <c r="S32" s="3">
        <f t="shared" si="3"/>
        <v>22.155524970019577</v>
      </c>
      <c r="T32" s="3">
        <f t="shared" si="4"/>
        <v>-3.6555249700195773</v>
      </c>
      <c r="U32" s="3">
        <f t="shared" si="5"/>
        <v>-19.759594432538254</v>
      </c>
      <c r="Z32" s="3">
        <f t="shared" si="6"/>
        <v>0.63268767361110756</v>
      </c>
    </row>
    <row r="33" spans="1:26" x14ac:dyDescent="0.3">
      <c r="A33" s="1">
        <v>2</v>
      </c>
      <c r="B33" s="4">
        <v>19.66</v>
      </c>
      <c r="C33" s="4">
        <v>5</v>
      </c>
      <c r="D33" s="5">
        <f t="shared" si="0"/>
        <v>2.9785861147190205</v>
      </c>
      <c r="E33" s="3">
        <f t="shared" si="1"/>
        <v>0.2</v>
      </c>
      <c r="Q33" s="3">
        <f t="shared" si="2"/>
        <v>21.9632924540802</v>
      </c>
      <c r="S33" s="3">
        <f t="shared" si="3"/>
        <v>22.155524970019577</v>
      </c>
      <c r="T33" s="3">
        <f t="shared" si="4"/>
        <v>-2.4955249700195772</v>
      </c>
      <c r="U33" s="3">
        <f t="shared" si="5"/>
        <v>-12.693412868868654</v>
      </c>
      <c r="Z33" s="3">
        <f t="shared" si="6"/>
        <v>0.13292100694444617</v>
      </c>
    </row>
    <row r="34" spans="1:26" x14ac:dyDescent="0.3">
      <c r="A34" s="1">
        <v>3</v>
      </c>
      <c r="B34" s="4">
        <v>23.58</v>
      </c>
      <c r="C34" s="4">
        <v>5</v>
      </c>
      <c r="D34" s="5">
        <f t="shared" si="0"/>
        <v>3.1603988951092248</v>
      </c>
      <c r="E34" s="3">
        <f t="shared" si="1"/>
        <v>0.2</v>
      </c>
      <c r="Q34" s="3">
        <f t="shared" si="2"/>
        <v>21.9632924540802</v>
      </c>
      <c r="S34" s="3">
        <f t="shared" si="3"/>
        <v>22.155524970019577</v>
      </c>
      <c r="T34" s="3">
        <f t="shared" si="4"/>
        <v>1.424475029980421</v>
      </c>
      <c r="U34" s="3">
        <f t="shared" si="5"/>
        <v>6.0410306614945766</v>
      </c>
      <c r="Z34" s="3">
        <f t="shared" si="6"/>
        <v>18.357654340277783</v>
      </c>
    </row>
    <row r="35" spans="1:26" x14ac:dyDescent="0.3">
      <c r="A35" s="1">
        <v>4</v>
      </c>
      <c r="B35" s="4">
        <v>21.62</v>
      </c>
      <c r="C35" s="4">
        <v>5</v>
      </c>
      <c r="D35" s="5">
        <f t="shared" si="0"/>
        <v>3.0736188122110621</v>
      </c>
      <c r="E35" s="3">
        <f t="shared" si="1"/>
        <v>0.2</v>
      </c>
      <c r="Q35" s="3">
        <f t="shared" si="2"/>
        <v>21.9632924540802</v>
      </c>
      <c r="S35" s="3">
        <f t="shared" si="3"/>
        <v>22.155524970019577</v>
      </c>
      <c r="T35" s="3">
        <f t="shared" si="4"/>
        <v>-0.53552497001957633</v>
      </c>
      <c r="U35" s="3">
        <f t="shared" si="5"/>
        <v>-2.4769887604975778</v>
      </c>
      <c r="Z35" s="3">
        <f t="shared" si="6"/>
        <v>5.4036876736111257</v>
      </c>
    </row>
    <row r="36" spans="1:26" x14ac:dyDescent="0.3">
      <c r="A36" s="1">
        <v>5</v>
      </c>
      <c r="B36" s="4">
        <v>21.16</v>
      </c>
      <c r="C36" s="4">
        <v>5</v>
      </c>
      <c r="D36" s="5">
        <f t="shared" si="0"/>
        <v>3.0521126069900988</v>
      </c>
      <c r="E36" s="3">
        <f t="shared" si="1"/>
        <v>0.2</v>
      </c>
      <c r="Q36" s="3">
        <f t="shared" si="2"/>
        <v>21.9632924540802</v>
      </c>
      <c r="S36" s="3">
        <f t="shared" si="3"/>
        <v>22.155524970019577</v>
      </c>
      <c r="T36" s="3">
        <f t="shared" si="4"/>
        <v>-0.99552497001957718</v>
      </c>
      <c r="U36" s="3">
        <f t="shared" si="5"/>
        <v>-4.7047493857257896</v>
      </c>
      <c r="Z36" s="3">
        <f t="shared" si="6"/>
        <v>3.4766710069444531</v>
      </c>
    </row>
    <row r="37" spans="1:26" x14ac:dyDescent="0.3">
      <c r="A37" s="1">
        <v>6</v>
      </c>
      <c r="B37" s="4">
        <v>21.56</v>
      </c>
      <c r="C37" s="4">
        <v>5</v>
      </c>
      <c r="D37" s="5">
        <f t="shared" si="0"/>
        <v>3.0708397460407961</v>
      </c>
      <c r="E37" s="3">
        <f t="shared" si="1"/>
        <v>0.2</v>
      </c>
      <c r="Q37" s="3">
        <f t="shared" si="2"/>
        <v>21.9632924540802</v>
      </c>
      <c r="S37" s="3">
        <f t="shared" si="3"/>
        <v>22.155524970019577</v>
      </c>
      <c r="T37" s="3">
        <f t="shared" si="4"/>
        <v>-0.5955249700195786</v>
      </c>
      <c r="U37" s="3">
        <f t="shared" si="5"/>
        <v>-2.7621751856195669</v>
      </c>
      <c r="Z37" s="3">
        <f t="shared" si="6"/>
        <v>5.1283376736111155</v>
      </c>
    </row>
    <row r="38" spans="1:26" x14ac:dyDescent="0.3">
      <c r="A38" s="1">
        <v>7</v>
      </c>
      <c r="B38" s="4">
        <v>23.48</v>
      </c>
      <c r="C38" s="4">
        <v>5</v>
      </c>
      <c r="D38" s="5">
        <f t="shared" si="0"/>
        <v>3.1561489949598958</v>
      </c>
      <c r="E38" s="3">
        <f t="shared" si="1"/>
        <v>0.2</v>
      </c>
      <c r="Q38" s="3">
        <f t="shared" si="2"/>
        <v>21.9632924540802</v>
      </c>
      <c r="S38" s="3">
        <f t="shared" si="3"/>
        <v>22.155524970019577</v>
      </c>
      <c r="T38" s="3">
        <f t="shared" si="4"/>
        <v>1.3244750299804231</v>
      </c>
      <c r="U38" s="3">
        <f t="shared" si="5"/>
        <v>5.6408646932726709</v>
      </c>
      <c r="Z38" s="3">
        <f t="shared" si="6"/>
        <v>17.510737673611132</v>
      </c>
    </row>
    <row r="39" spans="1:26" x14ac:dyDescent="0.3">
      <c r="A39" s="1">
        <v>8</v>
      </c>
      <c r="B39" s="4">
        <v>21.68</v>
      </c>
      <c r="C39" s="4">
        <v>5</v>
      </c>
      <c r="D39" s="5">
        <f t="shared" si="0"/>
        <v>3.0763901765714454</v>
      </c>
      <c r="E39" s="3">
        <f t="shared" si="1"/>
        <v>0.2</v>
      </c>
      <c r="Q39" s="3">
        <f t="shared" si="2"/>
        <v>21.9632924540802</v>
      </c>
      <c r="S39" s="3">
        <f t="shared" si="3"/>
        <v>22.155524970019577</v>
      </c>
      <c r="T39" s="3">
        <f t="shared" si="4"/>
        <v>-0.47552497001957761</v>
      </c>
      <c r="U39" s="3">
        <f t="shared" si="5"/>
        <v>-2.1933808580238821</v>
      </c>
      <c r="Z39" s="3">
        <f t="shared" si="6"/>
        <v>5.68623767361112</v>
      </c>
    </row>
    <row r="40" spans="1:26" x14ac:dyDescent="0.3">
      <c r="A40" s="1">
        <v>9</v>
      </c>
      <c r="B40" s="4">
        <v>24.26</v>
      </c>
      <c r="C40" s="4">
        <v>5</v>
      </c>
      <c r="D40" s="5">
        <f t="shared" si="0"/>
        <v>3.1888289035159043</v>
      </c>
      <c r="E40" s="3">
        <f t="shared" si="1"/>
        <v>0.2</v>
      </c>
      <c r="Q40" s="3">
        <f t="shared" si="2"/>
        <v>21.9632924540802</v>
      </c>
      <c r="S40" s="3">
        <f t="shared" si="3"/>
        <v>22.155524970019577</v>
      </c>
      <c r="T40" s="3">
        <f t="shared" si="4"/>
        <v>2.1044750299804242</v>
      </c>
      <c r="U40" s="3">
        <f t="shared" si="5"/>
        <v>8.6746703626563235</v>
      </c>
      <c r="Z40" s="3">
        <f t="shared" si="6"/>
        <v>24.64708767361115</v>
      </c>
    </row>
    <row r="41" spans="1:26" x14ac:dyDescent="0.3">
      <c r="A41" s="1">
        <v>10</v>
      </c>
      <c r="B41" s="4">
        <v>29.7</v>
      </c>
      <c r="C41" s="4">
        <v>5</v>
      </c>
      <c r="D41" s="5">
        <f t="shared" si="0"/>
        <v>3.3911470458086539</v>
      </c>
      <c r="E41" s="3">
        <f t="shared" si="1"/>
        <v>0.2</v>
      </c>
      <c r="Q41" s="3">
        <f t="shared" si="2"/>
        <v>21.9632924540802</v>
      </c>
      <c r="S41" s="3">
        <f t="shared" si="3"/>
        <v>22.155524970019577</v>
      </c>
      <c r="T41" s="3">
        <f t="shared" si="4"/>
        <v>7.544475029980422</v>
      </c>
      <c r="U41" s="3">
        <f t="shared" si="5"/>
        <v>25.402272828216908</v>
      </c>
      <c r="Z41" s="3">
        <f t="shared" si="6"/>
        <v>108.2553543402778</v>
      </c>
    </row>
    <row r="42" spans="1:26" x14ac:dyDescent="0.3">
      <c r="A42" s="1">
        <v>1</v>
      </c>
      <c r="B42" s="4">
        <v>21.02</v>
      </c>
      <c r="C42" s="4">
        <v>6</v>
      </c>
      <c r="D42" s="5">
        <f t="shared" si="0"/>
        <v>3.045474365448805</v>
      </c>
      <c r="E42" s="3">
        <f t="shared" si="1"/>
        <v>0.16666666666666666</v>
      </c>
      <c r="Q42" s="3">
        <f t="shared" si="2"/>
        <v>23.199351189825308</v>
      </c>
      <c r="S42" s="3">
        <f t="shared" si="3"/>
        <v>23.402402242244033</v>
      </c>
      <c r="T42" s="3">
        <f t="shared" si="4"/>
        <v>-2.3824022422440336</v>
      </c>
      <c r="U42" s="3">
        <f t="shared" si="5"/>
        <v>-11.333978317050589</v>
      </c>
      <c r="Z42" s="3">
        <f t="shared" si="6"/>
        <v>2.9741876736111172</v>
      </c>
    </row>
    <row r="43" spans="1:26" x14ac:dyDescent="0.3">
      <c r="A43" s="1">
        <v>2</v>
      </c>
      <c r="B43" s="4">
        <v>21.02</v>
      </c>
      <c r="C43" s="4">
        <v>6</v>
      </c>
      <c r="D43" s="5">
        <f t="shared" si="0"/>
        <v>3.045474365448805</v>
      </c>
      <c r="E43" s="3">
        <f t="shared" si="1"/>
        <v>0.16666666666666666</v>
      </c>
      <c r="Q43" s="3">
        <f t="shared" si="2"/>
        <v>23.199351189825308</v>
      </c>
      <c r="S43" s="3">
        <f t="shared" si="3"/>
        <v>23.402402242244033</v>
      </c>
      <c r="T43" s="3">
        <f t="shared" si="4"/>
        <v>-2.3824022422440336</v>
      </c>
      <c r="U43" s="3">
        <f t="shared" si="5"/>
        <v>-11.333978317050589</v>
      </c>
      <c r="Z43" s="3">
        <f t="shared" si="6"/>
        <v>2.9741876736111172</v>
      </c>
    </row>
    <row r="44" spans="1:26" x14ac:dyDescent="0.3">
      <c r="A44" s="1">
        <v>3</v>
      </c>
      <c r="B44" s="4">
        <v>24.26</v>
      </c>
      <c r="C44" s="4">
        <v>6</v>
      </c>
      <c r="D44" s="5">
        <f t="shared" si="0"/>
        <v>3.1888289035159043</v>
      </c>
      <c r="E44" s="3">
        <f t="shared" si="1"/>
        <v>0.16666666666666666</v>
      </c>
      <c r="Q44" s="3">
        <f t="shared" si="2"/>
        <v>23.199351189825308</v>
      </c>
      <c r="S44" s="3">
        <f t="shared" si="3"/>
        <v>23.402402242244033</v>
      </c>
      <c r="T44" s="3">
        <f t="shared" si="4"/>
        <v>0.85759775775596836</v>
      </c>
      <c r="U44" s="3">
        <f t="shared" si="5"/>
        <v>3.5350278555480967</v>
      </c>
      <c r="Z44" s="3">
        <f t="shared" si="6"/>
        <v>24.64708767361115</v>
      </c>
    </row>
    <row r="45" spans="1:26" x14ac:dyDescent="0.3">
      <c r="A45" s="1">
        <v>4</v>
      </c>
      <c r="B45" s="4">
        <v>24.22</v>
      </c>
      <c r="C45" s="4">
        <v>6</v>
      </c>
      <c r="D45" s="5">
        <f t="shared" si="0"/>
        <v>3.1871787381249463</v>
      </c>
      <c r="E45" s="3">
        <f t="shared" si="1"/>
        <v>0.16666666666666666</v>
      </c>
      <c r="Q45" s="3">
        <f t="shared" si="2"/>
        <v>23.199351189825308</v>
      </c>
      <c r="S45" s="3">
        <f t="shared" si="3"/>
        <v>23.402402242244033</v>
      </c>
      <c r="T45" s="3">
        <f t="shared" si="4"/>
        <v>0.81759775775596566</v>
      </c>
      <c r="U45" s="3">
        <f t="shared" si="5"/>
        <v>3.3757132855324756</v>
      </c>
      <c r="Z45" s="3">
        <f t="shared" si="6"/>
        <v>24.251521006944454</v>
      </c>
    </row>
    <row r="46" spans="1:26" x14ac:dyDescent="0.3">
      <c r="A46" s="1">
        <v>5</v>
      </c>
      <c r="B46" s="4">
        <v>21.78</v>
      </c>
      <c r="C46" s="4">
        <v>6</v>
      </c>
      <c r="D46" s="5">
        <f t="shared" si="0"/>
        <v>3.0809921175048145</v>
      </c>
      <c r="E46" s="3">
        <f t="shared" si="1"/>
        <v>0.16666666666666666</v>
      </c>
      <c r="Q46" s="3">
        <f t="shared" si="2"/>
        <v>23.199351189825308</v>
      </c>
      <c r="S46" s="3">
        <f t="shared" si="3"/>
        <v>23.402402242244033</v>
      </c>
      <c r="T46" s="3">
        <f t="shared" si="4"/>
        <v>-1.6224022422440321</v>
      </c>
      <c r="U46" s="3">
        <f t="shared" si="5"/>
        <v>-7.4490461076401839</v>
      </c>
      <c r="Z46" s="3">
        <f t="shared" si="6"/>
        <v>6.1731543402777946</v>
      </c>
    </row>
    <row r="47" spans="1:26" x14ac:dyDescent="0.3">
      <c r="A47" s="1">
        <v>6</v>
      </c>
      <c r="B47" s="4">
        <v>21.2</v>
      </c>
      <c r="C47" s="4">
        <v>6</v>
      </c>
      <c r="D47" s="5">
        <f t="shared" si="0"/>
        <v>3.0540011816779669</v>
      </c>
      <c r="E47" s="3">
        <f t="shared" si="1"/>
        <v>0.16666666666666666</v>
      </c>
      <c r="Q47" s="3">
        <f t="shared" si="2"/>
        <v>23.199351189825308</v>
      </c>
      <c r="S47" s="3">
        <f t="shared" si="3"/>
        <v>23.402402242244033</v>
      </c>
      <c r="T47" s="3">
        <f t="shared" si="4"/>
        <v>-2.2024022422440339</v>
      </c>
      <c r="U47" s="3">
        <f t="shared" si="5"/>
        <v>-10.388689821905821</v>
      </c>
      <c r="Z47" s="3">
        <f t="shared" si="6"/>
        <v>3.6274376736111167</v>
      </c>
    </row>
    <row r="48" spans="1:26" x14ac:dyDescent="0.3">
      <c r="A48" s="1">
        <v>7</v>
      </c>
      <c r="B48" s="4">
        <v>26.26</v>
      </c>
      <c r="C48" s="4">
        <v>6</v>
      </c>
      <c r="D48" s="5">
        <f t="shared" si="0"/>
        <v>3.26804686887465</v>
      </c>
      <c r="E48" s="3">
        <f t="shared" si="1"/>
        <v>0.16666666666666666</v>
      </c>
      <c r="Q48" s="3">
        <f t="shared" si="2"/>
        <v>23.199351189825308</v>
      </c>
      <c r="S48" s="3">
        <f t="shared" si="3"/>
        <v>23.402402242244033</v>
      </c>
      <c r="T48" s="3">
        <f t="shared" si="4"/>
        <v>2.8575977577559684</v>
      </c>
      <c r="U48" s="3">
        <f t="shared" si="5"/>
        <v>10.881941194805666</v>
      </c>
      <c r="Z48" s="3">
        <f t="shared" si="6"/>
        <v>48.505421006944495</v>
      </c>
    </row>
    <row r="49" spans="1:26" x14ac:dyDescent="0.3">
      <c r="A49" s="1">
        <v>8</v>
      </c>
      <c r="B49" s="4">
        <v>30.06</v>
      </c>
      <c r="C49" s="4">
        <v>6</v>
      </c>
      <c r="D49" s="5">
        <f t="shared" si="0"/>
        <v>3.4031953843248286</v>
      </c>
      <c r="E49" s="3">
        <f t="shared" si="1"/>
        <v>0.16666666666666666</v>
      </c>
      <c r="Q49" s="3">
        <f t="shared" si="2"/>
        <v>23.199351189825308</v>
      </c>
      <c r="S49" s="3">
        <f t="shared" si="3"/>
        <v>23.402402242244033</v>
      </c>
      <c r="T49" s="3">
        <f t="shared" si="4"/>
        <v>6.6575977577559655</v>
      </c>
      <c r="U49" s="3">
        <f t="shared" si="5"/>
        <v>22.147697131590039</v>
      </c>
      <c r="Z49" s="3">
        <f t="shared" si="6"/>
        <v>115.8762543402778</v>
      </c>
    </row>
    <row r="50" spans="1:26" x14ac:dyDescent="0.3">
      <c r="Z50" s="23">
        <f>SUM(Z2:Z49)</f>
        <v>931.80019166666693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8A45-DE1A-46BE-B94D-9506B5244925}">
  <dimension ref="A1:AC49"/>
  <sheetViews>
    <sheetView showGridLines="0" workbookViewId="0">
      <selection activeCell="D13" sqref="D13"/>
    </sheetView>
  </sheetViews>
  <sheetFormatPr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5" max="5" width="10.5546875" customWidth="1"/>
    <col min="6" max="6" width="12.109375" customWidth="1"/>
    <col min="15" max="15" width="14.109375" bestFit="1" customWidth="1"/>
  </cols>
  <sheetData>
    <row r="1" spans="1:29" x14ac:dyDescent="0.3">
      <c r="A1" s="2" t="s">
        <v>0</v>
      </c>
      <c r="B1" s="2" t="s">
        <v>1</v>
      </c>
      <c r="C1" s="2" t="s">
        <v>2</v>
      </c>
      <c r="D1" s="2"/>
      <c r="E1" s="24" t="s">
        <v>4</v>
      </c>
      <c r="F1" s="21"/>
      <c r="H1" t="s">
        <v>6</v>
      </c>
      <c r="O1" s="6" t="s">
        <v>77</v>
      </c>
      <c r="P1" s="1">
        <v>5</v>
      </c>
      <c r="R1" s="18" t="s">
        <v>78</v>
      </c>
      <c r="S1" s="10"/>
      <c r="T1" s="7" t="s">
        <v>79</v>
      </c>
      <c r="U1" s="8"/>
      <c r="V1" s="7"/>
      <c r="W1" s="7" t="s">
        <v>80</v>
      </c>
      <c r="X1" s="7"/>
      <c r="Y1" s="10"/>
      <c r="Z1" s="7" t="s">
        <v>81</v>
      </c>
      <c r="AA1" s="8"/>
    </row>
    <row r="2" spans="1:29" x14ac:dyDescent="0.3">
      <c r="A2" s="1">
        <v>1</v>
      </c>
      <c r="B2" s="4">
        <v>11.2</v>
      </c>
      <c r="C2" s="4">
        <v>2</v>
      </c>
      <c r="D2" s="4"/>
      <c r="E2" s="1" t="s">
        <v>82</v>
      </c>
      <c r="F2" s="12">
        <v>3.4178831989227549</v>
      </c>
      <c r="O2" s="6" t="s">
        <v>83</v>
      </c>
      <c r="P2" s="4">
        <f>MIN(B32:B41)</f>
        <v>18.5</v>
      </c>
      <c r="R2" s="29" t="s">
        <v>84</v>
      </c>
      <c r="S2" s="29" t="s">
        <v>85</v>
      </c>
      <c r="T2" s="6" t="s">
        <v>86</v>
      </c>
      <c r="U2" s="35" t="s">
        <v>87</v>
      </c>
      <c r="V2" s="6" t="s">
        <v>85</v>
      </c>
      <c r="W2" s="6" t="s">
        <v>86</v>
      </c>
      <c r="X2" s="6" t="s">
        <v>87</v>
      </c>
      <c r="Y2" s="18" t="s">
        <v>85</v>
      </c>
      <c r="Z2" s="31" t="s">
        <v>86</v>
      </c>
      <c r="AA2" s="32" t="s">
        <v>87</v>
      </c>
    </row>
    <row r="3" spans="1:29" x14ac:dyDescent="0.3">
      <c r="A3" s="1">
        <v>2</v>
      </c>
      <c r="B3" s="4">
        <v>11.12</v>
      </c>
      <c r="C3" s="4">
        <v>2</v>
      </c>
      <c r="D3" s="4"/>
      <c r="E3" s="1" t="s">
        <v>88</v>
      </c>
      <c r="F3" s="12">
        <v>-1.6425533195841069</v>
      </c>
      <c r="O3" s="6" t="s">
        <v>89</v>
      </c>
      <c r="P3" s="4">
        <f>MAX(B32:B41)</f>
        <v>29.7</v>
      </c>
      <c r="R3" s="36" t="s">
        <v>90</v>
      </c>
      <c r="S3" s="54">
        <f>P3</f>
        <v>29.7</v>
      </c>
      <c r="T3" s="55">
        <f>AVERAGE(S3,U3)</f>
        <v>27.833333333333332</v>
      </c>
      <c r="U3" s="56">
        <f>S3-P6</f>
        <v>25.966666666666665</v>
      </c>
      <c r="V3" s="38">
        <f>U3</f>
        <v>25.966666666666665</v>
      </c>
      <c r="W3" s="38">
        <f>AVERAGE(V3,X3)</f>
        <v>24.099999999999998</v>
      </c>
      <c r="X3" s="38">
        <f>V3-P6</f>
        <v>22.233333333333331</v>
      </c>
      <c r="Y3" s="37">
        <f>X3</f>
        <v>22.233333333333331</v>
      </c>
      <c r="Z3" s="38">
        <f>AVERAGE(Y3,AA3)</f>
        <v>20.366666666666664</v>
      </c>
      <c r="AA3" s="39">
        <f>Y3-P6</f>
        <v>18.499999999999996</v>
      </c>
      <c r="AB3" s="20"/>
      <c r="AC3" s="25"/>
    </row>
    <row r="4" spans="1:29" x14ac:dyDescent="0.3">
      <c r="A4" s="1">
        <v>3</v>
      </c>
      <c r="B4" s="4">
        <v>14.3</v>
      </c>
      <c r="C4" s="4">
        <v>2</v>
      </c>
      <c r="D4" s="4"/>
      <c r="O4" s="6" t="s">
        <v>91</v>
      </c>
      <c r="P4" s="4">
        <f>P3-P2</f>
        <v>11.2</v>
      </c>
      <c r="R4" s="29">
        <v>2</v>
      </c>
      <c r="S4" s="40">
        <f>EXP(LN(S$3)+$F$3*((1/$R4)-(1/$P$1)))</f>
        <v>18.144746139950755</v>
      </c>
      <c r="T4" s="27">
        <f t="shared" ref="T4:AA10" si="0">EXP(LN(T$3)+$F$3*((1/$R4)-(1/$P$1)))</f>
        <v>17.004335608146889</v>
      </c>
      <c r="U4" s="28">
        <f t="shared" si="0"/>
        <v>15.863925076343026</v>
      </c>
      <c r="V4" s="40">
        <f t="shared" si="0"/>
        <v>15.863925076343026</v>
      </c>
      <c r="W4" s="27">
        <f t="shared" si="0"/>
        <v>14.723514544539164</v>
      </c>
      <c r="X4" s="28">
        <f t="shared" si="0"/>
        <v>13.583104012735301</v>
      </c>
      <c r="Y4" s="40">
        <f t="shared" si="0"/>
        <v>13.583104012735301</v>
      </c>
      <c r="Z4" s="27">
        <f t="shared" si="0"/>
        <v>12.442693480931435</v>
      </c>
      <c r="AA4" s="28">
        <f t="shared" si="0"/>
        <v>11.302282949127573</v>
      </c>
    </row>
    <row r="5" spans="1:29" x14ac:dyDescent="0.3">
      <c r="A5" s="1">
        <v>4</v>
      </c>
      <c r="B5" s="4">
        <v>15.62</v>
      </c>
      <c r="C5" s="4">
        <v>2</v>
      </c>
      <c r="D5" s="4"/>
      <c r="E5" s="2" t="s">
        <v>92</v>
      </c>
      <c r="F5" s="2" t="s">
        <v>78</v>
      </c>
      <c r="O5" s="6" t="s">
        <v>93</v>
      </c>
      <c r="P5" s="1">
        <v>3</v>
      </c>
      <c r="R5" s="29">
        <v>3</v>
      </c>
      <c r="S5" s="13">
        <f t="shared" ref="S5:S10" si="1">EXP(LN(S$3)+$F$3*((1/$R5)-(1/$P$1)))</f>
        <v>23.858485411957169</v>
      </c>
      <c r="T5" s="4">
        <f t="shared" si="0"/>
        <v>22.358962198635506</v>
      </c>
      <c r="U5" s="14">
        <f t="shared" si="0"/>
        <v>20.85943898531384</v>
      </c>
      <c r="V5" s="13">
        <f t="shared" si="0"/>
        <v>20.85943898531384</v>
      </c>
      <c r="W5" s="4">
        <f t="shared" si="0"/>
        <v>19.359915771992181</v>
      </c>
      <c r="X5" s="14">
        <f t="shared" si="0"/>
        <v>17.860392558670519</v>
      </c>
      <c r="Y5" s="13">
        <f t="shared" si="0"/>
        <v>17.860392558670519</v>
      </c>
      <c r="Z5" s="4">
        <f t="shared" si="0"/>
        <v>16.360869345348853</v>
      </c>
      <c r="AA5" s="14">
        <f t="shared" si="0"/>
        <v>14.86134613202719</v>
      </c>
    </row>
    <row r="6" spans="1:29" x14ac:dyDescent="0.3">
      <c r="A6" s="1">
        <v>5</v>
      </c>
      <c r="B6" s="4">
        <v>13.56</v>
      </c>
      <c r="C6" s="4">
        <v>2</v>
      </c>
      <c r="D6" s="4"/>
      <c r="E6" s="3">
        <f>EXP($F$2+$F$3*(1/F6))</f>
        <v>13.41812680056502</v>
      </c>
      <c r="F6" s="1">
        <v>2</v>
      </c>
      <c r="O6" s="6" t="s">
        <v>94</v>
      </c>
      <c r="P6" s="3">
        <f>P4/P5</f>
        <v>3.7333333333333329</v>
      </c>
      <c r="R6" s="29">
        <v>4</v>
      </c>
      <c r="S6" s="13">
        <f t="shared" si="1"/>
        <v>27.358284228175801</v>
      </c>
      <c r="T6" s="4">
        <f t="shared" si="0"/>
        <v>25.638796106090677</v>
      </c>
      <c r="U6" s="14">
        <f t="shared" si="0"/>
        <v>23.919307984005552</v>
      </c>
      <c r="V6" s="13">
        <f t="shared" si="0"/>
        <v>23.919307984005552</v>
      </c>
      <c r="W6" s="4">
        <f t="shared" si="0"/>
        <v>22.199819861920432</v>
      </c>
      <c r="X6" s="14">
        <f t="shared" si="0"/>
        <v>20.480331739835307</v>
      </c>
      <c r="Y6" s="13">
        <f t="shared" si="0"/>
        <v>20.480331739835307</v>
      </c>
      <c r="Z6" s="4">
        <f t="shared" si="0"/>
        <v>18.760843617750179</v>
      </c>
      <c r="AA6" s="14">
        <f t="shared" si="0"/>
        <v>17.041355495665059</v>
      </c>
    </row>
    <row r="7" spans="1:29" x14ac:dyDescent="0.3">
      <c r="A7" s="1">
        <v>6</v>
      </c>
      <c r="B7" s="4">
        <v>15.14</v>
      </c>
      <c r="C7" s="4">
        <v>2</v>
      </c>
      <c r="D7" s="4"/>
      <c r="E7" s="3">
        <f t="shared" ref="E7:E22" si="2">EXP($F$2+$F$3*(1/F7))</f>
        <v>15.813466246029952</v>
      </c>
      <c r="F7" s="1">
        <v>2.5</v>
      </c>
      <c r="R7" s="30">
        <v>5</v>
      </c>
      <c r="S7" s="26">
        <f t="shared" si="1"/>
        <v>29.7</v>
      </c>
      <c r="T7" s="33">
        <f t="shared" si="0"/>
        <v>27.833333333333332</v>
      </c>
      <c r="U7" s="34">
        <f t="shared" si="0"/>
        <v>25.966666666666661</v>
      </c>
      <c r="V7" s="26">
        <f t="shared" si="0"/>
        <v>25.966666666666661</v>
      </c>
      <c r="W7" s="33">
        <f t="shared" si="0"/>
        <v>24.1</v>
      </c>
      <c r="X7" s="34">
        <f t="shared" si="0"/>
        <v>22.233333333333334</v>
      </c>
      <c r="Y7" s="26">
        <f t="shared" si="0"/>
        <v>22.233333333333334</v>
      </c>
      <c r="Z7" s="33">
        <f t="shared" si="0"/>
        <v>20.36666666666666</v>
      </c>
      <c r="AA7" s="34">
        <f t="shared" si="0"/>
        <v>18.499999999999996</v>
      </c>
    </row>
    <row r="8" spans="1:29" x14ac:dyDescent="0.3">
      <c r="A8" s="1">
        <v>7</v>
      </c>
      <c r="B8" s="4">
        <v>15.74</v>
      </c>
      <c r="C8" s="4">
        <v>2</v>
      </c>
      <c r="D8" s="4"/>
      <c r="E8" s="3">
        <f t="shared" si="2"/>
        <v>17.643464397785227</v>
      </c>
      <c r="F8" s="1">
        <v>3</v>
      </c>
      <c r="R8" s="29">
        <v>6</v>
      </c>
      <c r="S8" s="13">
        <f t="shared" si="1"/>
        <v>31.371468179389911</v>
      </c>
      <c r="T8" s="4">
        <f t="shared" si="0"/>
        <v>29.399748518283474</v>
      </c>
      <c r="U8" s="14">
        <f t="shared" si="0"/>
        <v>27.428028857177036</v>
      </c>
      <c r="V8" s="13">
        <f t="shared" si="0"/>
        <v>27.428028857177036</v>
      </c>
      <c r="W8" s="4">
        <f t="shared" si="0"/>
        <v>25.456309196070602</v>
      </c>
      <c r="X8" s="14">
        <f t="shared" si="0"/>
        <v>23.484589534964165</v>
      </c>
      <c r="Y8" s="13">
        <f t="shared" si="0"/>
        <v>23.484589534964165</v>
      </c>
      <c r="Z8" s="4">
        <f t="shared" si="0"/>
        <v>21.512869873857724</v>
      </c>
      <c r="AA8" s="14">
        <f t="shared" si="0"/>
        <v>19.54115021275129</v>
      </c>
    </row>
    <row r="9" spans="1:29" x14ac:dyDescent="0.3">
      <c r="A9" s="1">
        <v>8</v>
      </c>
      <c r="B9" s="4">
        <v>15.04</v>
      </c>
      <c r="C9" s="4">
        <v>2</v>
      </c>
      <c r="D9" s="4"/>
      <c r="E9" s="3">
        <f t="shared" si="2"/>
        <v>19.078885463859677</v>
      </c>
      <c r="F9" s="1">
        <v>3.5</v>
      </c>
      <c r="R9" s="29">
        <v>7</v>
      </c>
      <c r="S9" s="13">
        <f t="shared" si="1"/>
        <v>32.622663150257779</v>
      </c>
      <c r="T9" s="4">
        <f t="shared" si="0"/>
        <v>30.572304972463797</v>
      </c>
      <c r="U9" s="14">
        <f t="shared" si="0"/>
        <v>28.521946794669816</v>
      </c>
      <c r="V9" s="13">
        <f t="shared" si="0"/>
        <v>28.521946794669816</v>
      </c>
      <c r="W9" s="4">
        <f t="shared" si="0"/>
        <v>26.471588616875842</v>
      </c>
      <c r="X9" s="14">
        <f t="shared" si="0"/>
        <v>24.421230439081864</v>
      </c>
      <c r="Y9" s="13">
        <f t="shared" si="0"/>
        <v>24.421230439081864</v>
      </c>
      <c r="Z9" s="4">
        <f t="shared" si="0"/>
        <v>22.370872261287879</v>
      </c>
      <c r="AA9" s="14">
        <f t="shared" si="0"/>
        <v>20.320514083493901</v>
      </c>
    </row>
    <row r="10" spans="1:29" x14ac:dyDescent="0.3">
      <c r="A10" s="1">
        <v>9</v>
      </c>
      <c r="B10" s="4">
        <v>12.3</v>
      </c>
      <c r="C10" s="4">
        <v>2</v>
      </c>
      <c r="D10" s="4"/>
      <c r="E10" s="3">
        <f t="shared" si="2"/>
        <v>20.231582408931818</v>
      </c>
      <c r="F10" s="1">
        <v>4</v>
      </c>
      <c r="R10" s="9">
        <v>8</v>
      </c>
      <c r="S10" s="15">
        <f t="shared" si="1"/>
        <v>33.593699845086881</v>
      </c>
      <c r="T10" s="16">
        <f t="shared" si="0"/>
        <v>31.482311302634727</v>
      </c>
      <c r="U10" s="17">
        <f t="shared" si="0"/>
        <v>29.370922760182577</v>
      </c>
      <c r="V10" s="15">
        <f t="shared" si="0"/>
        <v>29.370922760182577</v>
      </c>
      <c r="W10" s="16">
        <f t="shared" si="0"/>
        <v>27.259534217730433</v>
      </c>
      <c r="X10" s="17">
        <f t="shared" si="0"/>
        <v>25.148145675278283</v>
      </c>
      <c r="Y10" s="15">
        <f t="shared" si="0"/>
        <v>25.148145675278283</v>
      </c>
      <c r="Z10" s="16">
        <f t="shared" si="0"/>
        <v>23.036757132826125</v>
      </c>
      <c r="AA10" s="17">
        <f t="shared" si="0"/>
        <v>20.925368590373978</v>
      </c>
    </row>
    <row r="11" spans="1:29" x14ac:dyDescent="0.3">
      <c r="A11" s="1">
        <v>10</v>
      </c>
      <c r="B11" s="4">
        <v>12.6</v>
      </c>
      <c r="C11" s="4">
        <v>2</v>
      </c>
      <c r="D11" s="4"/>
      <c r="E11" s="3">
        <f t="shared" si="2"/>
        <v>21.176061097114818</v>
      </c>
      <c r="F11" s="1">
        <v>4.5</v>
      </c>
      <c r="R11" s="6"/>
      <c r="S11" s="4"/>
      <c r="T11" s="4"/>
      <c r="U11" s="4"/>
      <c r="V11" s="4"/>
      <c r="W11" s="4"/>
      <c r="X11" s="4"/>
      <c r="Y11" s="4"/>
      <c r="Z11" s="4"/>
      <c r="AA11" s="4"/>
    </row>
    <row r="12" spans="1:29" x14ac:dyDescent="0.3">
      <c r="A12" s="1">
        <v>1</v>
      </c>
      <c r="B12" s="4">
        <v>15</v>
      </c>
      <c r="C12" s="4">
        <v>3</v>
      </c>
      <c r="D12" s="4"/>
      <c r="E12" s="3">
        <f t="shared" si="2"/>
        <v>21.9632924540802</v>
      </c>
      <c r="F12" s="1">
        <v>5</v>
      </c>
      <c r="R12" t="s">
        <v>14</v>
      </c>
      <c r="S12" s="4"/>
      <c r="T12" s="4"/>
      <c r="U12" s="4"/>
      <c r="V12" s="4"/>
      <c r="W12" s="4"/>
      <c r="X12" s="4"/>
      <c r="Y12" s="4"/>
      <c r="Z12" s="4"/>
      <c r="AA12" s="4"/>
    </row>
    <row r="13" spans="1:29" x14ac:dyDescent="0.3">
      <c r="A13" s="1">
        <v>2</v>
      </c>
      <c r="B13" s="4">
        <v>15.34</v>
      </c>
      <c r="C13" s="4">
        <v>3</v>
      </c>
      <c r="D13" s="4"/>
      <c r="E13" s="3">
        <f t="shared" si="2"/>
        <v>22.629110232394588</v>
      </c>
      <c r="F13" s="1">
        <v>5.5</v>
      </c>
    </row>
    <row r="14" spans="1:29" x14ac:dyDescent="0.3">
      <c r="A14" s="1">
        <v>3</v>
      </c>
      <c r="B14" s="4">
        <v>17.5</v>
      </c>
      <c r="C14" s="4">
        <v>3</v>
      </c>
      <c r="D14" s="4"/>
      <c r="E14" s="3">
        <f t="shared" si="2"/>
        <v>23.199351189825308</v>
      </c>
      <c r="F14" s="1">
        <v>6</v>
      </c>
    </row>
    <row r="15" spans="1:29" x14ac:dyDescent="0.3">
      <c r="A15" s="1">
        <v>4</v>
      </c>
      <c r="B15" s="4">
        <v>19.440000000000001</v>
      </c>
      <c r="C15" s="4">
        <v>3</v>
      </c>
      <c r="D15" s="4"/>
      <c r="E15" s="3">
        <f t="shared" si="2"/>
        <v>23.693072082583253</v>
      </c>
      <c r="F15" s="1">
        <v>6.5</v>
      </c>
    </row>
    <row r="16" spans="1:29" x14ac:dyDescent="0.3">
      <c r="A16" s="1">
        <v>5</v>
      </c>
      <c r="B16" s="4">
        <v>16.54</v>
      </c>
      <c r="C16" s="4">
        <v>3</v>
      </c>
      <c r="D16" s="4"/>
      <c r="E16" s="3">
        <f t="shared" si="2"/>
        <v>24.124615872055777</v>
      </c>
      <c r="F16" s="1">
        <v>7</v>
      </c>
    </row>
    <row r="17" spans="1:6" x14ac:dyDescent="0.3">
      <c r="A17" s="1">
        <v>6</v>
      </c>
      <c r="B17" s="4">
        <v>17.239999999999998</v>
      </c>
      <c r="C17" s="4">
        <v>3</v>
      </c>
      <c r="D17" s="4"/>
      <c r="E17" s="3">
        <f t="shared" si="2"/>
        <v>24.504973321013338</v>
      </c>
      <c r="F17" s="1">
        <v>7.5</v>
      </c>
    </row>
    <row r="18" spans="1:6" x14ac:dyDescent="0.3">
      <c r="A18" s="1">
        <v>7</v>
      </c>
      <c r="B18" s="4">
        <v>16.3</v>
      </c>
      <c r="C18" s="4">
        <v>3</v>
      </c>
      <c r="D18" s="4"/>
      <c r="E18" s="3">
        <f t="shared" si="2"/>
        <v>24.842702165395014</v>
      </c>
      <c r="F18" s="1">
        <v>8</v>
      </c>
    </row>
    <row r="19" spans="1:6" x14ac:dyDescent="0.3">
      <c r="A19" s="1">
        <v>8</v>
      </c>
      <c r="B19" s="4">
        <v>15.26</v>
      </c>
      <c r="C19" s="4">
        <v>3</v>
      </c>
      <c r="D19" s="4"/>
      <c r="E19" s="3">
        <f t="shared" si="2"/>
        <v>25.144561532578138</v>
      </c>
      <c r="F19" s="1">
        <v>8.5</v>
      </c>
    </row>
    <row r="20" spans="1:6" x14ac:dyDescent="0.3">
      <c r="A20" s="1">
        <v>9</v>
      </c>
      <c r="B20" s="4">
        <v>20.8</v>
      </c>
      <c r="C20" s="4">
        <v>3</v>
      </c>
      <c r="D20" s="4"/>
      <c r="E20" s="3">
        <f t="shared" si="2"/>
        <v>25.415958764029941</v>
      </c>
      <c r="F20" s="1">
        <v>9</v>
      </c>
    </row>
    <row r="21" spans="1:6" x14ac:dyDescent="0.3">
      <c r="A21" s="1">
        <v>10</v>
      </c>
      <c r="B21" s="4">
        <v>23.3</v>
      </c>
      <c r="C21" s="4">
        <v>3</v>
      </c>
      <c r="D21" s="4"/>
      <c r="E21" s="3">
        <f t="shared" si="2"/>
        <v>25.661269952660408</v>
      </c>
      <c r="F21" s="1">
        <v>9.5</v>
      </c>
    </row>
    <row r="22" spans="1:6" x14ac:dyDescent="0.3">
      <c r="A22" s="1">
        <v>1</v>
      </c>
      <c r="B22" s="4">
        <v>16.36</v>
      </c>
      <c r="C22" s="4">
        <v>4</v>
      </c>
      <c r="D22" s="4"/>
      <c r="E22" s="3">
        <f t="shared" si="2"/>
        <v>25.8840737635343</v>
      </c>
      <c r="F22" s="1">
        <v>10</v>
      </c>
    </row>
    <row r="23" spans="1:6" x14ac:dyDescent="0.3">
      <c r="A23" s="1">
        <v>2</v>
      </c>
      <c r="B23" s="4">
        <v>17.52</v>
      </c>
      <c r="C23" s="4">
        <v>4</v>
      </c>
      <c r="D23" s="4"/>
      <c r="E23" s="3"/>
      <c r="F23" s="1"/>
    </row>
    <row r="24" spans="1:6" x14ac:dyDescent="0.3">
      <c r="A24" s="1">
        <v>3</v>
      </c>
      <c r="B24" s="4">
        <v>21.28</v>
      </c>
      <c r="C24" s="4">
        <v>4</v>
      </c>
      <c r="D24" s="4"/>
      <c r="E24" s="3"/>
      <c r="F24" s="1"/>
    </row>
    <row r="25" spans="1:6" x14ac:dyDescent="0.3">
      <c r="A25" s="1">
        <v>4</v>
      </c>
      <c r="B25" s="4">
        <v>18.86</v>
      </c>
      <c r="C25" s="4">
        <v>4</v>
      </c>
      <c r="D25" s="4"/>
      <c r="E25" s="3"/>
      <c r="F25" s="1"/>
    </row>
    <row r="26" spans="1:6" x14ac:dyDescent="0.3">
      <c r="A26" s="1">
        <v>5</v>
      </c>
      <c r="B26" s="4">
        <v>18.100000000000001</v>
      </c>
      <c r="C26" s="4">
        <v>4</v>
      </c>
      <c r="D26" s="4"/>
      <c r="E26" s="3"/>
      <c r="F26" s="1"/>
    </row>
    <row r="27" spans="1:6" x14ac:dyDescent="0.3">
      <c r="A27" s="1">
        <v>6</v>
      </c>
      <c r="B27" s="4">
        <v>18.86</v>
      </c>
      <c r="C27" s="4">
        <v>4</v>
      </c>
      <c r="D27" s="4"/>
    </row>
    <row r="28" spans="1:6" x14ac:dyDescent="0.3">
      <c r="A28" s="1">
        <v>7</v>
      </c>
      <c r="B28" s="4">
        <v>20.5</v>
      </c>
      <c r="C28" s="4">
        <v>4</v>
      </c>
      <c r="D28" s="4"/>
    </row>
    <row r="29" spans="1:6" x14ac:dyDescent="0.3">
      <c r="A29" s="1">
        <v>8</v>
      </c>
      <c r="B29" s="4">
        <v>18</v>
      </c>
      <c r="C29" s="4">
        <v>4</v>
      </c>
      <c r="D29" s="4"/>
    </row>
    <row r="30" spans="1:6" x14ac:dyDescent="0.3">
      <c r="A30" s="1">
        <v>9</v>
      </c>
      <c r="B30" s="4">
        <v>22.28</v>
      </c>
      <c r="C30" s="4">
        <v>4</v>
      </c>
      <c r="D30" s="4"/>
    </row>
    <row r="31" spans="1:6" x14ac:dyDescent="0.3">
      <c r="A31" s="1">
        <v>10</v>
      </c>
      <c r="B31" s="4">
        <v>26.06</v>
      </c>
      <c r="C31" s="4">
        <v>4</v>
      </c>
      <c r="D31" s="4"/>
    </row>
    <row r="32" spans="1:6" x14ac:dyDescent="0.3">
      <c r="A32" s="1">
        <v>1</v>
      </c>
      <c r="B32" s="4">
        <v>18.5</v>
      </c>
      <c r="C32" s="4">
        <v>5</v>
      </c>
      <c r="D32" s="4"/>
    </row>
    <row r="33" spans="1:4" x14ac:dyDescent="0.3">
      <c r="A33" s="1">
        <v>2</v>
      </c>
      <c r="B33" s="4">
        <v>19.66</v>
      </c>
      <c r="C33" s="4">
        <v>5</v>
      </c>
      <c r="D33" s="4"/>
    </row>
    <row r="34" spans="1:4" x14ac:dyDescent="0.3">
      <c r="A34" s="1">
        <v>3</v>
      </c>
      <c r="B34" s="4">
        <v>23.58</v>
      </c>
      <c r="C34" s="4">
        <v>5</v>
      </c>
      <c r="D34" s="4"/>
    </row>
    <row r="35" spans="1:4" x14ac:dyDescent="0.3">
      <c r="A35" s="1">
        <v>4</v>
      </c>
      <c r="B35" s="4">
        <v>21.62</v>
      </c>
      <c r="C35" s="4">
        <v>5</v>
      </c>
      <c r="D35" s="4"/>
    </row>
    <row r="36" spans="1:4" x14ac:dyDescent="0.3">
      <c r="A36" s="1">
        <v>5</v>
      </c>
      <c r="B36" s="4">
        <v>21.16</v>
      </c>
      <c r="C36" s="4">
        <v>5</v>
      </c>
      <c r="D36" s="4"/>
    </row>
    <row r="37" spans="1:4" x14ac:dyDescent="0.3">
      <c r="A37" s="1">
        <v>6</v>
      </c>
      <c r="B37" s="4">
        <v>21.56</v>
      </c>
      <c r="C37" s="4">
        <v>5</v>
      </c>
      <c r="D37" s="4"/>
    </row>
    <row r="38" spans="1:4" x14ac:dyDescent="0.3">
      <c r="A38" s="1">
        <v>7</v>
      </c>
      <c r="B38" s="4">
        <v>23.48</v>
      </c>
      <c r="C38" s="4">
        <v>5</v>
      </c>
      <c r="D38" s="4"/>
    </row>
    <row r="39" spans="1:4" x14ac:dyDescent="0.3">
      <c r="A39" s="1">
        <v>8</v>
      </c>
      <c r="B39" s="4">
        <v>21.68</v>
      </c>
      <c r="C39" s="4">
        <v>5</v>
      </c>
      <c r="D39" s="4"/>
    </row>
    <row r="40" spans="1:4" x14ac:dyDescent="0.3">
      <c r="A40" s="1">
        <v>9</v>
      </c>
      <c r="B40" s="4">
        <v>24.26</v>
      </c>
      <c r="C40" s="4">
        <v>5</v>
      </c>
      <c r="D40" s="4"/>
    </row>
    <row r="41" spans="1:4" x14ac:dyDescent="0.3">
      <c r="A41" s="1">
        <v>10</v>
      </c>
      <c r="B41" s="4">
        <v>29.7</v>
      </c>
      <c r="C41" s="4">
        <v>5</v>
      </c>
      <c r="D41" s="4"/>
    </row>
    <row r="42" spans="1:4" x14ac:dyDescent="0.3">
      <c r="A42" s="1">
        <v>1</v>
      </c>
      <c r="B42" s="4">
        <v>21.02</v>
      </c>
      <c r="C42" s="4">
        <v>6</v>
      </c>
      <c r="D42" s="4"/>
    </row>
    <row r="43" spans="1:4" x14ac:dyDescent="0.3">
      <c r="A43" s="1">
        <v>2</v>
      </c>
      <c r="B43" s="4">
        <v>21.02</v>
      </c>
      <c r="C43" s="4">
        <v>6</v>
      </c>
      <c r="D43" s="4"/>
    </row>
    <row r="44" spans="1:4" x14ac:dyDescent="0.3">
      <c r="A44" s="1">
        <v>3</v>
      </c>
      <c r="B44" s="4">
        <v>24.26</v>
      </c>
      <c r="C44" s="4">
        <v>6</v>
      </c>
      <c r="D44" s="4"/>
    </row>
    <row r="45" spans="1:4" x14ac:dyDescent="0.3">
      <c r="A45" s="1">
        <v>4</v>
      </c>
      <c r="B45" s="4">
        <v>24.22</v>
      </c>
      <c r="C45" s="4">
        <v>6</v>
      </c>
      <c r="D45" s="4"/>
    </row>
    <row r="46" spans="1:4" x14ac:dyDescent="0.3">
      <c r="A46" s="1">
        <v>5</v>
      </c>
      <c r="B46" s="4">
        <v>21.78</v>
      </c>
      <c r="C46" s="4">
        <v>6</v>
      </c>
      <c r="D46" s="4"/>
    </row>
    <row r="47" spans="1:4" x14ac:dyDescent="0.3">
      <c r="A47" s="1">
        <v>6</v>
      </c>
      <c r="B47" s="4">
        <v>21.2</v>
      </c>
      <c r="C47" s="4">
        <v>6</v>
      </c>
      <c r="D47" s="4"/>
    </row>
    <row r="48" spans="1:4" x14ac:dyDescent="0.3">
      <c r="A48" s="1">
        <v>7</v>
      </c>
      <c r="B48" s="4">
        <v>26.26</v>
      </c>
      <c r="C48" s="4">
        <v>6</v>
      </c>
      <c r="D48" s="4"/>
    </row>
    <row r="49" spans="1:4" x14ac:dyDescent="0.3">
      <c r="A49" s="1">
        <v>8</v>
      </c>
      <c r="B49" s="4">
        <v>30.06</v>
      </c>
      <c r="C49" s="4">
        <v>6</v>
      </c>
      <c r="D49" s="4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89C7F-6AD0-44FA-BE6F-DE30B055005F}">
  <dimension ref="A1:V49"/>
  <sheetViews>
    <sheetView showGridLines="0" workbookViewId="0">
      <selection activeCell="M4" sqref="M4"/>
    </sheetView>
  </sheetViews>
  <sheetFormatPr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5" max="5" width="10.5546875" customWidth="1"/>
    <col min="6" max="6" width="12.109375" customWidth="1"/>
    <col min="8" max="8" width="14.1093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E1" s="24" t="s">
        <v>4</v>
      </c>
      <c r="F1" s="21"/>
      <c r="H1" s="6" t="s">
        <v>77</v>
      </c>
      <c r="I1" s="1">
        <v>5</v>
      </c>
      <c r="K1" s="18" t="s">
        <v>78</v>
      </c>
      <c r="L1" s="10"/>
      <c r="M1" s="7" t="s">
        <v>79</v>
      </c>
      <c r="N1" s="8"/>
      <c r="O1" s="7"/>
      <c r="P1" s="7" t="s">
        <v>80</v>
      </c>
      <c r="Q1" s="7"/>
      <c r="R1" s="10"/>
      <c r="S1" s="7" t="s">
        <v>81</v>
      </c>
      <c r="T1" s="8"/>
    </row>
    <row r="2" spans="1:22" x14ac:dyDescent="0.3">
      <c r="A2" s="1">
        <v>1</v>
      </c>
      <c r="B2" s="4">
        <v>11.2</v>
      </c>
      <c r="C2" s="4">
        <v>2</v>
      </c>
      <c r="E2" s="41" t="s">
        <v>82</v>
      </c>
      <c r="F2" s="42">
        <v>3.4178831989227549</v>
      </c>
      <c r="H2" s="6" t="s">
        <v>83</v>
      </c>
      <c r="I2" s="4">
        <v>18.5</v>
      </c>
      <c r="K2" s="29" t="s">
        <v>84</v>
      </c>
      <c r="L2" s="29" t="s">
        <v>85</v>
      </c>
      <c r="M2" s="6" t="s">
        <v>86</v>
      </c>
      <c r="N2" s="35" t="s">
        <v>87</v>
      </c>
      <c r="O2" s="6" t="s">
        <v>85</v>
      </c>
      <c r="P2" s="6" t="s">
        <v>86</v>
      </c>
      <c r="Q2" s="6" t="s">
        <v>87</v>
      </c>
      <c r="R2" s="18" t="s">
        <v>85</v>
      </c>
      <c r="S2" s="31" t="s">
        <v>86</v>
      </c>
      <c r="T2" s="32" t="s">
        <v>87</v>
      </c>
    </row>
    <row r="3" spans="1:22" x14ac:dyDescent="0.3">
      <c r="A3" s="1">
        <v>2</v>
      </c>
      <c r="B3" s="4">
        <v>11.12</v>
      </c>
      <c r="C3" s="4">
        <v>2</v>
      </c>
      <c r="E3" s="1" t="s">
        <v>88</v>
      </c>
      <c r="F3" s="12">
        <v>-1.6425533195841069</v>
      </c>
      <c r="H3" s="6" t="s">
        <v>89</v>
      </c>
      <c r="I3" s="4">
        <v>29.7</v>
      </c>
      <c r="K3" s="36" t="s">
        <v>90</v>
      </c>
      <c r="L3" s="37">
        <f>I3</f>
        <v>29.7</v>
      </c>
      <c r="M3" s="38">
        <f>AVERAGE(L3,N3)</f>
        <v>27.833333333333332</v>
      </c>
      <c r="N3" s="39">
        <f>L3-I6</f>
        <v>25.966666666666665</v>
      </c>
      <c r="O3" s="38">
        <f>N3</f>
        <v>25.966666666666665</v>
      </c>
      <c r="P3" s="38">
        <f>AVERAGE(O3,Q3)</f>
        <v>24.099999999999998</v>
      </c>
      <c r="Q3" s="38">
        <f>O3-I6</f>
        <v>22.233333333333331</v>
      </c>
      <c r="R3" s="37">
        <f>Q3</f>
        <v>22.233333333333331</v>
      </c>
      <c r="S3" s="38">
        <f>AVERAGE(R3,T3)</f>
        <v>20.366666666666664</v>
      </c>
      <c r="T3" s="39">
        <f>R3-I6</f>
        <v>18.499999999999996</v>
      </c>
      <c r="U3" s="20"/>
      <c r="V3" s="25"/>
    </row>
    <row r="4" spans="1:22" x14ac:dyDescent="0.3">
      <c r="A4" s="1">
        <v>3</v>
      </c>
      <c r="B4" s="4">
        <v>14.3</v>
      </c>
      <c r="C4" s="4">
        <v>2</v>
      </c>
      <c r="H4" s="6" t="s">
        <v>91</v>
      </c>
      <c r="I4" s="4">
        <v>11.2</v>
      </c>
      <c r="K4" s="43" t="s">
        <v>82</v>
      </c>
      <c r="L4" s="48">
        <f>LN(L$3)-$F$3*(1/$I$1)</f>
        <v>3.7196577097254755</v>
      </c>
      <c r="M4" s="47">
        <f t="shared" ref="M4:T4" si="0">LN(M$3)-$F$3*(1/$I$1)</f>
        <v>3.6547450071055216</v>
      </c>
      <c r="N4" s="49">
        <f t="shared" si="0"/>
        <v>3.5853243281254139</v>
      </c>
      <c r="O4" s="46">
        <f t="shared" si="0"/>
        <v>3.5853243281254139</v>
      </c>
      <c r="P4" s="44">
        <f t="shared" si="0"/>
        <v>3.5107225044134305</v>
      </c>
      <c r="Q4" s="45">
        <f t="shared" si="0"/>
        <v>3.43010332817029</v>
      </c>
      <c r="R4" s="46">
        <f t="shared" si="0"/>
        <v>3.43010332817029</v>
      </c>
      <c r="S4" s="44">
        <f t="shared" si="0"/>
        <v>3.3424102414262613</v>
      </c>
      <c r="T4" s="45">
        <f t="shared" si="0"/>
        <v>3.2462813960011001</v>
      </c>
      <c r="U4" t="s">
        <v>12</v>
      </c>
    </row>
    <row r="5" spans="1:22" x14ac:dyDescent="0.3">
      <c r="A5" s="1">
        <v>4</v>
      </c>
      <c r="B5" s="4">
        <v>15.62</v>
      </c>
      <c r="C5" s="4">
        <v>2</v>
      </c>
      <c r="E5" s="3"/>
      <c r="F5" s="1"/>
      <c r="H5" s="6" t="s">
        <v>93</v>
      </c>
      <c r="I5" s="1">
        <v>3</v>
      </c>
      <c r="K5" s="29">
        <v>2</v>
      </c>
      <c r="L5" s="40">
        <f>EXP(L$4+$F$3*(1/$K5))</f>
        <v>18.144746139950755</v>
      </c>
      <c r="M5" s="27">
        <f t="shared" ref="M5:T11" si="1">EXP(M$4+$F$3*(1/$K5))</f>
        <v>17.004335608146889</v>
      </c>
      <c r="N5" s="28">
        <f t="shared" si="1"/>
        <v>15.863925076343019</v>
      </c>
      <c r="O5" s="40">
        <f t="shared" si="1"/>
        <v>15.863925076343019</v>
      </c>
      <c r="P5" s="27">
        <f t="shared" si="1"/>
        <v>14.723514544539158</v>
      </c>
      <c r="Q5" s="28">
        <f t="shared" si="1"/>
        <v>13.583104012735301</v>
      </c>
      <c r="R5" s="40">
        <f t="shared" si="1"/>
        <v>13.583104012735301</v>
      </c>
      <c r="S5" s="27">
        <f t="shared" si="1"/>
        <v>12.442693480931435</v>
      </c>
      <c r="T5" s="28">
        <f t="shared" si="1"/>
        <v>11.302282949127568</v>
      </c>
      <c r="U5" t="s">
        <v>6</v>
      </c>
    </row>
    <row r="6" spans="1:22" x14ac:dyDescent="0.3">
      <c r="A6" s="1">
        <v>5</v>
      </c>
      <c r="B6" s="4">
        <v>13.56</v>
      </c>
      <c r="C6" s="4">
        <v>2</v>
      </c>
      <c r="E6" s="3"/>
      <c r="F6" s="1"/>
      <c r="H6" s="6" t="s">
        <v>94</v>
      </c>
      <c r="I6" s="3">
        <v>3.7333333333333329</v>
      </c>
      <c r="K6" s="29">
        <v>3</v>
      </c>
      <c r="L6" s="13">
        <f t="shared" ref="L6:L11" si="2">EXP(L$4+$F$3*(1/$K6))</f>
        <v>23.858485411957179</v>
      </c>
      <c r="M6" s="4">
        <f t="shared" si="1"/>
        <v>22.358962198635513</v>
      </c>
      <c r="N6" s="14">
        <f t="shared" si="1"/>
        <v>20.85943898531384</v>
      </c>
      <c r="O6" s="13">
        <f t="shared" si="1"/>
        <v>20.85943898531384</v>
      </c>
      <c r="P6" s="4">
        <f t="shared" si="1"/>
        <v>19.359915771992181</v>
      </c>
      <c r="Q6" s="14">
        <f t="shared" si="1"/>
        <v>17.860392558670526</v>
      </c>
      <c r="R6" s="13">
        <f t="shared" si="1"/>
        <v>17.860392558670526</v>
      </c>
      <c r="S6" s="4">
        <f t="shared" si="1"/>
        <v>16.36086934534886</v>
      </c>
      <c r="T6" s="14">
        <f t="shared" si="1"/>
        <v>14.86134613202719</v>
      </c>
    </row>
    <row r="7" spans="1:22" x14ac:dyDescent="0.3">
      <c r="A7" s="1">
        <v>6</v>
      </c>
      <c r="B7" s="4">
        <v>15.14</v>
      </c>
      <c r="C7" s="4">
        <v>2</v>
      </c>
      <c r="E7" s="3"/>
      <c r="F7" s="1"/>
      <c r="K7" s="29">
        <v>4</v>
      </c>
      <c r="L7" s="13">
        <f t="shared" si="2"/>
        <v>27.358284228175812</v>
      </c>
      <c r="M7" s="4">
        <f t="shared" si="1"/>
        <v>25.638796106090687</v>
      </c>
      <c r="N7" s="14">
        <f t="shared" si="1"/>
        <v>23.919307984005552</v>
      </c>
      <c r="O7" s="13">
        <f t="shared" si="1"/>
        <v>23.919307984005552</v>
      </c>
      <c r="P7" s="4">
        <f t="shared" si="1"/>
        <v>22.199819861920432</v>
      </c>
      <c r="Q7" s="14">
        <f t="shared" si="1"/>
        <v>20.480331739835318</v>
      </c>
      <c r="R7" s="13">
        <f t="shared" si="1"/>
        <v>20.480331739835318</v>
      </c>
      <c r="S7" s="4">
        <f t="shared" si="1"/>
        <v>18.76084361775019</v>
      </c>
      <c r="T7" s="14">
        <f t="shared" si="1"/>
        <v>17.041355495665059</v>
      </c>
    </row>
    <row r="8" spans="1:22" x14ac:dyDescent="0.3">
      <c r="A8" s="1">
        <v>7</v>
      </c>
      <c r="B8" s="4">
        <v>15.74</v>
      </c>
      <c r="C8" s="4">
        <v>2</v>
      </c>
      <c r="E8" s="3"/>
      <c r="F8" s="1"/>
      <c r="K8" s="30">
        <v>5</v>
      </c>
      <c r="L8" s="26">
        <f t="shared" si="2"/>
        <v>29.7</v>
      </c>
      <c r="M8" s="33">
        <f t="shared" si="1"/>
        <v>27.833333333333332</v>
      </c>
      <c r="N8" s="34">
        <f t="shared" si="1"/>
        <v>25.966666666666651</v>
      </c>
      <c r="O8" s="26">
        <f t="shared" si="1"/>
        <v>25.966666666666651</v>
      </c>
      <c r="P8" s="33">
        <f t="shared" si="1"/>
        <v>24.099999999999991</v>
      </c>
      <c r="Q8" s="34">
        <f t="shared" si="1"/>
        <v>22.233333333333334</v>
      </c>
      <c r="R8" s="26">
        <f t="shared" si="1"/>
        <v>22.233333333333334</v>
      </c>
      <c r="S8" s="33">
        <f t="shared" si="1"/>
        <v>20.36666666666666</v>
      </c>
      <c r="T8" s="34">
        <f t="shared" si="1"/>
        <v>18.499999999999989</v>
      </c>
    </row>
    <row r="9" spans="1:22" x14ac:dyDescent="0.3">
      <c r="A9" s="1">
        <v>8</v>
      </c>
      <c r="B9" s="4">
        <v>15.04</v>
      </c>
      <c r="C9" s="4">
        <v>2</v>
      </c>
      <c r="E9" s="3"/>
      <c r="F9" s="1"/>
      <c r="K9" s="29">
        <v>6</v>
      </c>
      <c r="L9" s="13">
        <f t="shared" si="2"/>
        <v>31.371468179389925</v>
      </c>
      <c r="M9" s="4">
        <f t="shared" si="1"/>
        <v>29.399748518283488</v>
      </c>
      <c r="N9" s="14">
        <f t="shared" si="1"/>
        <v>27.428028857177036</v>
      </c>
      <c r="O9" s="13">
        <f t="shared" si="1"/>
        <v>27.428028857177036</v>
      </c>
      <c r="P9" s="4">
        <f t="shared" si="1"/>
        <v>25.456309196070602</v>
      </c>
      <c r="Q9" s="14">
        <f t="shared" si="1"/>
        <v>23.484589534964176</v>
      </c>
      <c r="R9" s="13">
        <f t="shared" si="1"/>
        <v>23.484589534964176</v>
      </c>
      <c r="S9" s="4">
        <f t="shared" si="1"/>
        <v>21.512869873857735</v>
      </c>
      <c r="T9" s="14">
        <f t="shared" si="1"/>
        <v>19.54115021275129</v>
      </c>
    </row>
    <row r="10" spans="1:22" x14ac:dyDescent="0.3">
      <c r="A10" s="1">
        <v>9</v>
      </c>
      <c r="B10" s="4">
        <v>12.3</v>
      </c>
      <c r="C10" s="4">
        <v>2</v>
      </c>
      <c r="E10" s="3"/>
      <c r="F10" s="1"/>
      <c r="K10" s="29">
        <v>7</v>
      </c>
      <c r="L10" s="13">
        <f t="shared" si="2"/>
        <v>32.622663150257779</v>
      </c>
      <c r="M10" s="4">
        <f t="shared" si="1"/>
        <v>30.572304972463797</v>
      </c>
      <c r="N10" s="14">
        <f t="shared" si="1"/>
        <v>28.521946794669805</v>
      </c>
      <c r="O10" s="13">
        <f t="shared" si="1"/>
        <v>28.521946794669805</v>
      </c>
      <c r="P10" s="4">
        <f t="shared" si="1"/>
        <v>26.471588616875831</v>
      </c>
      <c r="Q10" s="14">
        <f t="shared" si="1"/>
        <v>24.421230439081864</v>
      </c>
      <c r="R10" s="13">
        <f t="shared" si="1"/>
        <v>24.421230439081864</v>
      </c>
      <c r="S10" s="4">
        <f t="shared" si="1"/>
        <v>22.370872261287879</v>
      </c>
      <c r="T10" s="14">
        <f t="shared" si="1"/>
        <v>20.32051408349389</v>
      </c>
    </row>
    <row r="11" spans="1:22" x14ac:dyDescent="0.3">
      <c r="A11" s="1">
        <v>10</v>
      </c>
      <c r="B11" s="4">
        <v>12.6</v>
      </c>
      <c r="C11" s="4">
        <v>2</v>
      </c>
      <c r="E11" s="3"/>
      <c r="F11" s="1"/>
      <c r="K11" s="9">
        <v>8</v>
      </c>
      <c r="L11" s="15">
        <f t="shared" si="2"/>
        <v>33.593699845086896</v>
      </c>
      <c r="M11" s="16">
        <f t="shared" si="1"/>
        <v>31.482311302634741</v>
      </c>
      <c r="N11" s="17">
        <f t="shared" si="1"/>
        <v>29.370922760182577</v>
      </c>
      <c r="O11" s="15">
        <f t="shared" si="1"/>
        <v>29.370922760182577</v>
      </c>
      <c r="P11" s="16">
        <f t="shared" si="1"/>
        <v>27.259534217730433</v>
      </c>
      <c r="Q11" s="17">
        <f t="shared" si="1"/>
        <v>25.148145675278293</v>
      </c>
      <c r="R11" s="15">
        <f t="shared" si="1"/>
        <v>25.148145675278293</v>
      </c>
      <c r="S11" s="16">
        <f t="shared" si="1"/>
        <v>23.036757132826136</v>
      </c>
      <c r="T11" s="17">
        <f t="shared" si="1"/>
        <v>20.925368590373978</v>
      </c>
    </row>
    <row r="12" spans="1:22" x14ac:dyDescent="0.3">
      <c r="A12" s="1">
        <v>1</v>
      </c>
      <c r="B12" s="4">
        <v>15</v>
      </c>
      <c r="C12" s="4">
        <v>3</v>
      </c>
      <c r="E12" s="3"/>
      <c r="F12" s="1"/>
      <c r="K12" s="6"/>
      <c r="L12" s="4"/>
      <c r="M12" s="4"/>
      <c r="N12" s="4"/>
      <c r="O12" s="4"/>
      <c r="P12" s="4"/>
      <c r="Q12" s="4"/>
      <c r="R12" s="4"/>
      <c r="S12" s="4"/>
      <c r="T12" s="4"/>
    </row>
    <row r="13" spans="1:22" x14ac:dyDescent="0.3">
      <c r="A13" s="1">
        <v>2</v>
      </c>
      <c r="B13" s="4">
        <v>15.34</v>
      </c>
      <c r="C13" s="4">
        <v>3</v>
      </c>
      <c r="E13" s="3"/>
      <c r="F13" s="1"/>
      <c r="L13" s="4"/>
      <c r="M13" s="4"/>
      <c r="N13" s="4"/>
      <c r="O13" s="4"/>
      <c r="P13" s="4"/>
      <c r="Q13" s="4"/>
      <c r="R13" s="4"/>
      <c r="S13" s="4"/>
      <c r="T13" s="4"/>
    </row>
    <row r="14" spans="1:22" x14ac:dyDescent="0.3">
      <c r="A14" s="1">
        <v>3</v>
      </c>
      <c r="B14" s="4">
        <v>17.5</v>
      </c>
      <c r="C14" s="4">
        <v>3</v>
      </c>
      <c r="E14" s="3"/>
      <c r="F14" s="1"/>
    </row>
    <row r="15" spans="1:22" x14ac:dyDescent="0.3">
      <c r="A15" s="1">
        <v>4</v>
      </c>
      <c r="B15" s="4">
        <v>19.440000000000001</v>
      </c>
      <c r="C15" s="4">
        <v>3</v>
      </c>
      <c r="E15" s="3"/>
      <c r="F15" s="1"/>
    </row>
    <row r="16" spans="1:22" x14ac:dyDescent="0.3">
      <c r="A16" s="1">
        <v>5</v>
      </c>
      <c r="B16" s="4">
        <v>16.54</v>
      </c>
      <c r="C16" s="4">
        <v>3</v>
      </c>
      <c r="E16" s="3"/>
      <c r="F16" s="1"/>
    </row>
    <row r="17" spans="1:6" x14ac:dyDescent="0.3">
      <c r="A17" s="1">
        <v>6</v>
      </c>
      <c r="B17" s="4">
        <v>17.239999999999998</v>
      </c>
      <c r="C17" s="4">
        <v>3</v>
      </c>
      <c r="E17" s="3"/>
      <c r="F17" s="1"/>
    </row>
    <row r="18" spans="1:6" x14ac:dyDescent="0.3">
      <c r="A18" s="1">
        <v>7</v>
      </c>
      <c r="B18" s="4">
        <v>16.3</v>
      </c>
      <c r="C18" s="4">
        <v>3</v>
      </c>
      <c r="E18" s="3"/>
      <c r="F18" s="1"/>
    </row>
    <row r="19" spans="1:6" x14ac:dyDescent="0.3">
      <c r="A19" s="1">
        <v>8</v>
      </c>
      <c r="B19" s="4">
        <v>15.26</v>
      </c>
      <c r="C19" s="4">
        <v>3</v>
      </c>
      <c r="E19" s="3"/>
      <c r="F19" s="1"/>
    </row>
    <row r="20" spans="1:6" x14ac:dyDescent="0.3">
      <c r="A20" s="1">
        <v>9</v>
      </c>
      <c r="B20" s="4">
        <v>20.8</v>
      </c>
      <c r="C20" s="4">
        <v>3</v>
      </c>
      <c r="E20" s="3"/>
      <c r="F20" s="1"/>
    </row>
    <row r="21" spans="1:6" x14ac:dyDescent="0.3">
      <c r="A21" s="1">
        <v>10</v>
      </c>
      <c r="B21" s="4">
        <v>23.3</v>
      </c>
      <c r="C21" s="4">
        <v>3</v>
      </c>
      <c r="E21" s="3"/>
      <c r="F21" s="1"/>
    </row>
    <row r="22" spans="1:6" x14ac:dyDescent="0.3">
      <c r="A22" s="1">
        <v>1</v>
      </c>
      <c r="B22" s="4">
        <v>16.36</v>
      </c>
      <c r="C22" s="4">
        <v>4</v>
      </c>
      <c r="E22" s="3"/>
      <c r="F22" s="1"/>
    </row>
    <row r="23" spans="1:6" x14ac:dyDescent="0.3">
      <c r="A23" s="1">
        <v>2</v>
      </c>
      <c r="B23" s="4">
        <v>17.52</v>
      </c>
      <c r="C23" s="4">
        <v>4</v>
      </c>
      <c r="E23" s="3"/>
      <c r="F23" s="1"/>
    </row>
    <row r="24" spans="1:6" x14ac:dyDescent="0.3">
      <c r="A24" s="1">
        <v>3</v>
      </c>
      <c r="B24" s="4">
        <v>21.28</v>
      </c>
      <c r="C24" s="4">
        <v>4</v>
      </c>
      <c r="E24" s="3"/>
      <c r="F24" s="1"/>
    </row>
    <row r="25" spans="1:6" x14ac:dyDescent="0.3">
      <c r="A25" s="1">
        <v>4</v>
      </c>
      <c r="B25" s="4">
        <v>18.86</v>
      </c>
      <c r="C25" s="4">
        <v>4</v>
      </c>
      <c r="E25" s="3"/>
      <c r="F25" s="1"/>
    </row>
    <row r="26" spans="1:6" x14ac:dyDescent="0.3">
      <c r="A26" s="1">
        <v>5</v>
      </c>
      <c r="B26" s="4">
        <v>18.100000000000001</v>
      </c>
      <c r="C26" s="4">
        <v>4</v>
      </c>
      <c r="E26" s="3"/>
      <c r="F26" s="1"/>
    </row>
    <row r="27" spans="1:6" x14ac:dyDescent="0.3">
      <c r="A27" s="1">
        <v>6</v>
      </c>
      <c r="B27" s="4">
        <v>18.86</v>
      </c>
      <c r="C27" s="4">
        <v>4</v>
      </c>
    </row>
    <row r="28" spans="1:6" x14ac:dyDescent="0.3">
      <c r="A28" s="1">
        <v>7</v>
      </c>
      <c r="B28" s="4">
        <v>20.5</v>
      </c>
      <c r="C28" s="4">
        <v>4</v>
      </c>
    </row>
    <row r="29" spans="1:6" x14ac:dyDescent="0.3">
      <c r="A29" s="1">
        <v>8</v>
      </c>
      <c r="B29" s="4">
        <v>18</v>
      </c>
      <c r="C29" s="4">
        <v>4</v>
      </c>
    </row>
    <row r="30" spans="1:6" x14ac:dyDescent="0.3">
      <c r="A30" s="1">
        <v>9</v>
      </c>
      <c r="B30" s="4">
        <v>22.28</v>
      </c>
      <c r="C30" s="4">
        <v>4</v>
      </c>
    </row>
    <row r="31" spans="1:6" x14ac:dyDescent="0.3">
      <c r="A31" s="1">
        <v>10</v>
      </c>
      <c r="B31" s="4">
        <v>26.06</v>
      </c>
      <c r="C31" s="4">
        <v>4</v>
      </c>
    </row>
    <row r="32" spans="1:6" x14ac:dyDescent="0.3">
      <c r="A32" s="1">
        <v>1</v>
      </c>
      <c r="B32" s="4">
        <v>18.5</v>
      </c>
      <c r="C32" s="4">
        <v>5</v>
      </c>
    </row>
    <row r="33" spans="1:3" x14ac:dyDescent="0.3">
      <c r="A33" s="1">
        <v>2</v>
      </c>
      <c r="B33" s="4">
        <v>19.66</v>
      </c>
      <c r="C33" s="4">
        <v>5</v>
      </c>
    </row>
    <row r="34" spans="1:3" x14ac:dyDescent="0.3">
      <c r="A34" s="1">
        <v>3</v>
      </c>
      <c r="B34" s="4">
        <v>23.58</v>
      </c>
      <c r="C34" s="4">
        <v>5</v>
      </c>
    </row>
    <row r="35" spans="1:3" x14ac:dyDescent="0.3">
      <c r="A35" s="1">
        <v>4</v>
      </c>
      <c r="B35" s="4">
        <v>21.62</v>
      </c>
      <c r="C35" s="4">
        <v>5</v>
      </c>
    </row>
    <row r="36" spans="1:3" x14ac:dyDescent="0.3">
      <c r="A36" s="1">
        <v>5</v>
      </c>
      <c r="B36" s="4">
        <v>21.16</v>
      </c>
      <c r="C36" s="4">
        <v>5</v>
      </c>
    </row>
    <row r="37" spans="1:3" x14ac:dyDescent="0.3">
      <c r="A37" s="1">
        <v>6</v>
      </c>
      <c r="B37" s="4">
        <v>21.56</v>
      </c>
      <c r="C37" s="4">
        <v>5</v>
      </c>
    </row>
    <row r="38" spans="1:3" x14ac:dyDescent="0.3">
      <c r="A38" s="1">
        <v>7</v>
      </c>
      <c r="B38" s="4">
        <v>23.48</v>
      </c>
      <c r="C38" s="4">
        <v>5</v>
      </c>
    </row>
    <row r="39" spans="1:3" x14ac:dyDescent="0.3">
      <c r="A39" s="1">
        <v>8</v>
      </c>
      <c r="B39" s="4">
        <v>21.68</v>
      </c>
      <c r="C39" s="4">
        <v>5</v>
      </c>
    </row>
    <row r="40" spans="1:3" x14ac:dyDescent="0.3">
      <c r="A40" s="1">
        <v>9</v>
      </c>
      <c r="B40" s="4">
        <v>24.26</v>
      </c>
      <c r="C40" s="4">
        <v>5</v>
      </c>
    </row>
    <row r="41" spans="1:3" x14ac:dyDescent="0.3">
      <c r="A41" s="1">
        <v>10</v>
      </c>
      <c r="B41" s="4">
        <v>29.7</v>
      </c>
      <c r="C41" s="4">
        <v>5</v>
      </c>
    </row>
    <row r="42" spans="1:3" x14ac:dyDescent="0.3">
      <c r="A42" s="1">
        <v>1</v>
      </c>
      <c r="B42" s="4">
        <v>21.02</v>
      </c>
      <c r="C42" s="4">
        <v>6</v>
      </c>
    </row>
    <row r="43" spans="1:3" x14ac:dyDescent="0.3">
      <c r="A43" s="1">
        <v>2</v>
      </c>
      <c r="B43" s="4">
        <v>21.02</v>
      </c>
      <c r="C43" s="4">
        <v>6</v>
      </c>
    </row>
    <row r="44" spans="1:3" x14ac:dyDescent="0.3">
      <c r="A44" s="1">
        <v>3</v>
      </c>
      <c r="B44" s="4">
        <v>24.26</v>
      </c>
      <c r="C44" s="4">
        <v>6</v>
      </c>
    </row>
    <row r="45" spans="1:3" x14ac:dyDescent="0.3">
      <c r="A45" s="1">
        <v>4</v>
      </c>
      <c r="B45" s="4">
        <v>24.22</v>
      </c>
      <c r="C45" s="4">
        <v>6</v>
      </c>
    </row>
    <row r="46" spans="1:3" x14ac:dyDescent="0.3">
      <c r="A46" s="1">
        <v>5</v>
      </c>
      <c r="B46" s="4">
        <v>21.78</v>
      </c>
      <c r="C46" s="4">
        <v>6</v>
      </c>
    </row>
    <row r="47" spans="1:3" x14ac:dyDescent="0.3">
      <c r="A47" s="1">
        <v>6</v>
      </c>
      <c r="B47" s="4">
        <v>21.2</v>
      </c>
      <c r="C47" s="4">
        <v>6</v>
      </c>
    </row>
    <row r="48" spans="1:3" x14ac:dyDescent="0.3">
      <c r="A48" s="1">
        <v>7</v>
      </c>
      <c r="B48" s="4">
        <v>26.26</v>
      </c>
      <c r="C48" s="4">
        <v>6</v>
      </c>
    </row>
    <row r="49" spans="1:3" x14ac:dyDescent="0.3">
      <c r="A49" s="1">
        <v>8</v>
      </c>
      <c r="B49" s="4">
        <v>30.06</v>
      </c>
      <c r="C49" s="4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0AE9-A642-4C23-9537-AA1BAE3387AB}">
  <dimension ref="A1:V49"/>
  <sheetViews>
    <sheetView showGridLines="0" topLeftCell="D1" workbookViewId="0">
      <selection activeCell="L5" sqref="L5"/>
    </sheetView>
  </sheetViews>
  <sheetFormatPr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5" max="5" width="10.5546875" customWidth="1"/>
    <col min="6" max="6" width="12.109375" customWidth="1"/>
    <col min="8" max="8" width="14.1093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E1" s="24" t="s">
        <v>4</v>
      </c>
      <c r="F1" s="21"/>
      <c r="H1" s="6" t="s">
        <v>77</v>
      </c>
      <c r="I1" s="1">
        <v>5</v>
      </c>
      <c r="K1" s="18" t="s">
        <v>78</v>
      </c>
      <c r="L1" s="10"/>
      <c r="M1" s="7" t="s">
        <v>79</v>
      </c>
      <c r="N1" s="8"/>
      <c r="O1" s="7"/>
      <c r="P1" s="7" t="s">
        <v>80</v>
      </c>
      <c r="Q1" s="7"/>
      <c r="R1" s="10"/>
      <c r="S1" s="7" t="s">
        <v>81</v>
      </c>
      <c r="T1" s="8"/>
    </row>
    <row r="2" spans="1:22" x14ac:dyDescent="0.3">
      <c r="A2" s="1">
        <v>1</v>
      </c>
      <c r="B2" s="4">
        <v>11.2</v>
      </c>
      <c r="C2" s="4">
        <v>2</v>
      </c>
      <c r="E2" s="1" t="s">
        <v>82</v>
      </c>
      <c r="F2" s="12">
        <v>3.4178831989227549</v>
      </c>
      <c r="H2" s="6" t="s">
        <v>83</v>
      </c>
      <c r="I2" s="4">
        <v>18.5</v>
      </c>
      <c r="K2" s="29" t="s">
        <v>84</v>
      </c>
      <c r="L2" s="29" t="s">
        <v>85</v>
      </c>
      <c r="M2" s="6" t="s">
        <v>86</v>
      </c>
      <c r="N2" s="35" t="s">
        <v>87</v>
      </c>
      <c r="O2" s="6" t="s">
        <v>85</v>
      </c>
      <c r="P2" s="6" t="s">
        <v>86</v>
      </c>
      <c r="Q2" s="6" t="s">
        <v>87</v>
      </c>
      <c r="R2" s="18" t="s">
        <v>85</v>
      </c>
      <c r="S2" s="31" t="s">
        <v>86</v>
      </c>
      <c r="T2" s="32" t="s">
        <v>87</v>
      </c>
    </row>
    <row r="3" spans="1:22" x14ac:dyDescent="0.3">
      <c r="A3" s="1">
        <v>2</v>
      </c>
      <c r="B3" s="4">
        <v>11.12</v>
      </c>
      <c r="C3" s="4">
        <v>2</v>
      </c>
      <c r="E3" s="41" t="s">
        <v>88</v>
      </c>
      <c r="F3" s="42">
        <v>-1.6425533195841069</v>
      </c>
      <c r="H3" s="6" t="s">
        <v>89</v>
      </c>
      <c r="I3" s="4">
        <v>29.7</v>
      </c>
      <c r="K3" s="36" t="s">
        <v>90</v>
      </c>
      <c r="L3" s="37">
        <v>29.7</v>
      </c>
      <c r="M3" s="38">
        <v>27.833333333333332</v>
      </c>
      <c r="N3" s="39">
        <v>25.966666666666665</v>
      </c>
      <c r="O3" s="38">
        <v>25.966666666666665</v>
      </c>
      <c r="P3" s="38">
        <v>24.099999999999998</v>
      </c>
      <c r="Q3" s="38">
        <v>22.233333333333331</v>
      </c>
      <c r="R3" s="37">
        <v>22.233333333333331</v>
      </c>
      <c r="S3" s="38">
        <v>20.366666666666664</v>
      </c>
      <c r="T3" s="39">
        <v>18.499999999999996</v>
      </c>
      <c r="V3" s="25"/>
    </row>
    <row r="4" spans="1:22" x14ac:dyDescent="0.3">
      <c r="A4" s="1">
        <v>3</v>
      </c>
      <c r="B4" s="4">
        <v>14.3</v>
      </c>
      <c r="C4" s="4">
        <v>2</v>
      </c>
      <c r="H4" s="6" t="s">
        <v>91</v>
      </c>
      <c r="I4" s="4">
        <v>11.2</v>
      </c>
      <c r="K4" s="43" t="s">
        <v>88</v>
      </c>
      <c r="L4" s="46">
        <f>(LN(L$3)-$F$2)*$I$1</f>
        <v>-0.13368076557050523</v>
      </c>
      <c r="M4" s="44">
        <f t="shared" ref="M4:T4" si="0">(LN(M$3)-$F$2)*$I$1</f>
        <v>-0.45824427867027451</v>
      </c>
      <c r="N4" s="45">
        <f t="shared" si="0"/>
        <v>-0.80534767357081094</v>
      </c>
      <c r="O4" s="46">
        <f t="shared" si="0"/>
        <v>-0.80534767357081094</v>
      </c>
      <c r="P4" s="44">
        <f t="shared" si="0"/>
        <v>-1.1783567921307281</v>
      </c>
      <c r="Q4" s="45">
        <f t="shared" si="0"/>
        <v>-1.5814526733464329</v>
      </c>
      <c r="R4" s="46">
        <f t="shared" si="0"/>
        <v>-1.5814526733464329</v>
      </c>
      <c r="S4" s="44">
        <f t="shared" si="0"/>
        <v>-2.0199181070665762</v>
      </c>
      <c r="T4" s="45">
        <f t="shared" si="0"/>
        <v>-2.5005623341923799</v>
      </c>
      <c r="U4" t="s">
        <v>95</v>
      </c>
    </row>
    <row r="5" spans="1:22" x14ac:dyDescent="0.3">
      <c r="A5" s="1">
        <v>4</v>
      </c>
      <c r="B5" s="4">
        <v>15.62</v>
      </c>
      <c r="C5" s="4">
        <v>2</v>
      </c>
      <c r="E5" s="3"/>
      <c r="F5" s="1"/>
      <c r="H5" s="6" t="s">
        <v>93</v>
      </c>
      <c r="I5" s="1">
        <v>3</v>
      </c>
      <c r="K5" s="29">
        <v>2</v>
      </c>
      <c r="L5" s="40">
        <f>EXP($F$2+L$4*(1/$K5))</f>
        <v>28.532472257632168</v>
      </c>
      <c r="M5" s="27">
        <f t="shared" ref="M5:T11" si="1">EXP($F$2+M$4*(1/$K5))</f>
        <v>24.258354162130463</v>
      </c>
      <c r="N5" s="28">
        <f t="shared" si="1"/>
        <v>20.393360091090784</v>
      </c>
      <c r="O5" s="40">
        <f t="shared" si="1"/>
        <v>20.393360091090784</v>
      </c>
      <c r="P5" s="27">
        <f t="shared" si="1"/>
        <v>16.923527319273738</v>
      </c>
      <c r="Q5" s="28">
        <f t="shared" si="1"/>
        <v>13.834380883915468</v>
      </c>
      <c r="R5" s="40">
        <f t="shared" si="1"/>
        <v>13.834380883915468</v>
      </c>
      <c r="S5" s="27">
        <f t="shared" si="1"/>
        <v>11.110872632976992</v>
      </c>
      <c r="T5" s="28">
        <f t="shared" si="1"/>
        <v>8.7373071154087771</v>
      </c>
      <c r="U5" t="s">
        <v>6</v>
      </c>
    </row>
    <row r="6" spans="1:22" x14ac:dyDescent="0.3">
      <c r="A6" s="1">
        <v>5</v>
      </c>
      <c r="B6" s="4">
        <v>13.56</v>
      </c>
      <c r="C6" s="4">
        <v>2</v>
      </c>
      <c r="E6" s="3"/>
      <c r="F6" s="1"/>
      <c r="H6" s="6" t="s">
        <v>94</v>
      </c>
      <c r="I6" s="3">
        <v>3.7333333333333329</v>
      </c>
      <c r="K6" s="29">
        <v>3</v>
      </c>
      <c r="L6" s="13">
        <f t="shared" ref="L6:L11" si="2">EXP($F$2+L$4*(1/$K6))</f>
        <v>29.175314086902695</v>
      </c>
      <c r="M6" s="4">
        <f t="shared" si="1"/>
        <v>26.18364832070554</v>
      </c>
      <c r="N6" s="14">
        <f t="shared" si="1"/>
        <v>23.322859508523926</v>
      </c>
      <c r="O6" s="13">
        <f t="shared" si="1"/>
        <v>23.322859508523926</v>
      </c>
      <c r="P6" s="4">
        <f t="shared" si="1"/>
        <v>20.596014815984066</v>
      </c>
      <c r="Q6" s="14">
        <f t="shared" si="1"/>
        <v>18.006491068506797</v>
      </c>
      <c r="R6" s="13">
        <f t="shared" si="1"/>
        <v>18.006491068506797</v>
      </c>
      <c r="S6" s="4">
        <f t="shared" si="1"/>
        <v>15.558034032373648</v>
      </c>
      <c r="T6" s="14">
        <f t="shared" si="1"/>
        <v>13.254835388736458</v>
      </c>
    </row>
    <row r="7" spans="1:22" x14ac:dyDescent="0.3">
      <c r="A7" s="1">
        <v>6</v>
      </c>
      <c r="B7" s="4">
        <v>15.14</v>
      </c>
      <c r="C7" s="4">
        <v>2</v>
      </c>
      <c r="E7" s="3"/>
      <c r="F7" s="1"/>
      <c r="K7" s="29">
        <v>4</v>
      </c>
      <c r="L7" s="13">
        <f t="shared" si="2"/>
        <v>29.502146031493169</v>
      </c>
      <c r="M7" s="4">
        <f t="shared" si="1"/>
        <v>27.202860392318986</v>
      </c>
      <c r="N7" s="14">
        <f t="shared" si="1"/>
        <v>24.941829173612586</v>
      </c>
      <c r="O7" s="13">
        <f t="shared" si="1"/>
        <v>24.941829173612586</v>
      </c>
      <c r="P7" s="4">
        <f t="shared" si="1"/>
        <v>22.721099834503068</v>
      </c>
      <c r="Q7" s="14">
        <f t="shared" si="1"/>
        <v>20.54299548620569</v>
      </c>
      <c r="R7" s="13">
        <f t="shared" si="1"/>
        <v>20.54299548620569</v>
      </c>
      <c r="S7" s="4">
        <f t="shared" si="1"/>
        <v>18.41017815279578</v>
      </c>
      <c r="T7" s="14">
        <f t="shared" si="1"/>
        <v>16.325733665449018</v>
      </c>
    </row>
    <row r="8" spans="1:22" x14ac:dyDescent="0.3">
      <c r="A8" s="1">
        <v>7</v>
      </c>
      <c r="B8" s="4">
        <v>15.74</v>
      </c>
      <c r="C8" s="4">
        <v>2</v>
      </c>
      <c r="E8" s="3"/>
      <c r="F8" s="1"/>
      <c r="K8" s="30">
        <v>5</v>
      </c>
      <c r="L8" s="26">
        <f t="shared" si="2"/>
        <v>29.7</v>
      </c>
      <c r="M8" s="33">
        <f t="shared" si="1"/>
        <v>27.833333333333332</v>
      </c>
      <c r="N8" s="34">
        <f t="shared" si="1"/>
        <v>25.966666666666661</v>
      </c>
      <c r="O8" s="26">
        <f t="shared" si="1"/>
        <v>25.966666666666661</v>
      </c>
      <c r="P8" s="33">
        <f t="shared" si="1"/>
        <v>24.1</v>
      </c>
      <c r="Q8" s="34">
        <f t="shared" si="1"/>
        <v>22.233333333333334</v>
      </c>
      <c r="R8" s="26">
        <f t="shared" si="1"/>
        <v>22.233333333333334</v>
      </c>
      <c r="S8" s="33">
        <f t="shared" si="1"/>
        <v>20.36666666666666</v>
      </c>
      <c r="T8" s="34">
        <f t="shared" si="1"/>
        <v>18.499999999999996</v>
      </c>
    </row>
    <row r="9" spans="1:22" x14ac:dyDescent="0.3">
      <c r="A9" s="1">
        <v>8</v>
      </c>
      <c r="B9" s="4">
        <v>15.04</v>
      </c>
      <c r="C9" s="4">
        <v>2</v>
      </c>
      <c r="E9" s="3"/>
      <c r="F9" s="1"/>
      <c r="K9" s="29">
        <v>6</v>
      </c>
      <c r="L9" s="13">
        <f t="shared" si="2"/>
        <v>29.832639260403898</v>
      </c>
      <c r="M9" s="4">
        <f t="shared" si="1"/>
        <v>28.261745821678424</v>
      </c>
      <c r="N9" s="14">
        <f t="shared" si="1"/>
        <v>26.673180546249558</v>
      </c>
      <c r="O9" s="13">
        <f t="shared" si="1"/>
        <v>26.673180546249558</v>
      </c>
      <c r="P9" s="4">
        <f t="shared" si="1"/>
        <v>25.06544990872737</v>
      </c>
      <c r="Q9" s="14">
        <f t="shared" si="1"/>
        <v>23.436807423538923</v>
      </c>
      <c r="R9" s="13">
        <f t="shared" si="1"/>
        <v>23.436807423538923</v>
      </c>
      <c r="S9" s="4">
        <f t="shared" si="1"/>
        <v>21.785185641862792</v>
      </c>
      <c r="T9" s="14">
        <f t="shared" si="1"/>
        <v>20.108101828383603</v>
      </c>
    </row>
    <row r="10" spans="1:22" x14ac:dyDescent="0.3">
      <c r="A10" s="1">
        <v>9</v>
      </c>
      <c r="B10" s="4">
        <v>12.3</v>
      </c>
      <c r="C10" s="4">
        <v>2</v>
      </c>
      <c r="E10" s="3"/>
      <c r="F10" s="1"/>
      <c r="K10" s="29">
        <v>7</v>
      </c>
      <c r="L10" s="13">
        <f t="shared" si="2"/>
        <v>29.927744106295574</v>
      </c>
      <c r="M10" s="4">
        <f t="shared" si="1"/>
        <v>28.571786089338641</v>
      </c>
      <c r="N10" s="14">
        <f t="shared" si="1"/>
        <v>27.189572376047408</v>
      </c>
      <c r="O10" s="13">
        <f t="shared" si="1"/>
        <v>27.189572376047408</v>
      </c>
      <c r="P10" s="4">
        <f t="shared" si="1"/>
        <v>25.778647019165767</v>
      </c>
      <c r="Q10" s="14">
        <f t="shared" si="1"/>
        <v>24.336113233913302</v>
      </c>
      <c r="R10" s="13">
        <f t="shared" si="1"/>
        <v>24.336113233913302</v>
      </c>
      <c r="S10" s="4">
        <f t="shared" si="1"/>
        <v>22.858509827463923</v>
      </c>
      <c r="T10" s="14">
        <f t="shared" si="1"/>
        <v>21.341638173562341</v>
      </c>
    </row>
    <row r="11" spans="1:22" x14ac:dyDescent="0.3">
      <c r="A11" s="1">
        <v>10</v>
      </c>
      <c r="B11" s="4">
        <v>12.6</v>
      </c>
      <c r="C11" s="4">
        <v>2</v>
      </c>
      <c r="E11" s="3"/>
      <c r="F11" s="1"/>
      <c r="K11" s="9">
        <v>8</v>
      </c>
      <c r="L11" s="15">
        <f t="shared" si="2"/>
        <v>29.999271655770151</v>
      </c>
      <c r="M11" s="16">
        <f t="shared" si="1"/>
        <v>28.806546319961253</v>
      </c>
      <c r="N11" s="17">
        <f t="shared" si="1"/>
        <v>27.583416473413621</v>
      </c>
      <c r="O11" s="15">
        <f t="shared" si="1"/>
        <v>27.583416473413621</v>
      </c>
      <c r="P11" s="16">
        <f t="shared" si="1"/>
        <v>26.326830753815113</v>
      </c>
      <c r="Q11" s="17">
        <f t="shared" si="1"/>
        <v>25.033166728354608</v>
      </c>
      <c r="R11" s="15">
        <f t="shared" si="1"/>
        <v>25.033166728354608</v>
      </c>
      <c r="S11" s="16">
        <f t="shared" si="1"/>
        <v>23.698065860266993</v>
      </c>
      <c r="T11" s="17">
        <f t="shared" si="1"/>
        <v>22.316200781646867</v>
      </c>
    </row>
    <row r="12" spans="1:22" x14ac:dyDescent="0.3">
      <c r="A12" s="1">
        <v>1</v>
      </c>
      <c r="B12" s="4">
        <v>15</v>
      </c>
      <c r="C12" s="4">
        <v>3</v>
      </c>
      <c r="E12" s="3"/>
      <c r="F12" s="1"/>
      <c r="K12" s="6"/>
      <c r="L12" s="4"/>
      <c r="M12" s="4"/>
      <c r="N12" s="4"/>
      <c r="O12" s="4"/>
      <c r="P12" s="4"/>
      <c r="Q12" s="4"/>
      <c r="R12" s="4"/>
      <c r="S12" s="4"/>
      <c r="T12" s="4"/>
    </row>
    <row r="13" spans="1:22" x14ac:dyDescent="0.3">
      <c r="A13" s="1">
        <v>2</v>
      </c>
      <c r="B13" s="4">
        <v>15.34</v>
      </c>
      <c r="C13" s="4">
        <v>3</v>
      </c>
      <c r="E13" s="3"/>
      <c r="F13" s="1"/>
      <c r="L13" s="4"/>
      <c r="M13" s="4"/>
      <c r="N13" s="4"/>
      <c r="O13" s="4"/>
      <c r="P13" s="4"/>
      <c r="Q13" s="4"/>
      <c r="R13" s="4"/>
      <c r="S13" s="4"/>
      <c r="T13" s="4"/>
    </row>
    <row r="14" spans="1:22" x14ac:dyDescent="0.3">
      <c r="A14" s="1">
        <v>3</v>
      </c>
      <c r="B14" s="4">
        <v>17.5</v>
      </c>
      <c r="C14" s="4">
        <v>3</v>
      </c>
      <c r="E14" s="3"/>
      <c r="F14" s="1"/>
    </row>
    <row r="15" spans="1:22" x14ac:dyDescent="0.3">
      <c r="A15" s="1">
        <v>4</v>
      </c>
      <c r="B15" s="4">
        <v>19.440000000000001</v>
      </c>
      <c r="C15" s="4">
        <v>3</v>
      </c>
      <c r="E15" s="3"/>
      <c r="F15" s="1"/>
    </row>
    <row r="16" spans="1:22" x14ac:dyDescent="0.3">
      <c r="A16" s="1">
        <v>5</v>
      </c>
      <c r="B16" s="4">
        <v>16.54</v>
      </c>
      <c r="C16" s="4">
        <v>3</v>
      </c>
      <c r="E16" s="3"/>
      <c r="F16" s="1"/>
    </row>
    <row r="17" spans="1:6" x14ac:dyDescent="0.3">
      <c r="A17" s="1">
        <v>6</v>
      </c>
      <c r="B17" s="4">
        <v>17.239999999999998</v>
      </c>
      <c r="C17" s="4">
        <v>3</v>
      </c>
      <c r="E17" s="3"/>
      <c r="F17" s="1"/>
    </row>
    <row r="18" spans="1:6" x14ac:dyDescent="0.3">
      <c r="A18" s="1">
        <v>7</v>
      </c>
      <c r="B18" s="4">
        <v>16.3</v>
      </c>
      <c r="C18" s="4">
        <v>3</v>
      </c>
      <c r="E18" s="3"/>
      <c r="F18" s="1"/>
    </row>
    <row r="19" spans="1:6" x14ac:dyDescent="0.3">
      <c r="A19" s="1">
        <v>8</v>
      </c>
      <c r="B19" s="4">
        <v>15.26</v>
      </c>
      <c r="C19" s="4">
        <v>3</v>
      </c>
      <c r="E19" s="3"/>
      <c r="F19" s="1"/>
    </row>
    <row r="20" spans="1:6" x14ac:dyDescent="0.3">
      <c r="A20" s="1">
        <v>9</v>
      </c>
      <c r="B20" s="4">
        <v>20.8</v>
      </c>
      <c r="C20" s="4">
        <v>3</v>
      </c>
      <c r="E20" s="3"/>
      <c r="F20" s="1"/>
    </row>
    <row r="21" spans="1:6" x14ac:dyDescent="0.3">
      <c r="A21" s="1">
        <v>10</v>
      </c>
      <c r="B21" s="4">
        <v>23.3</v>
      </c>
      <c r="C21" s="4">
        <v>3</v>
      </c>
      <c r="E21" s="3"/>
      <c r="F21" s="1"/>
    </row>
    <row r="22" spans="1:6" x14ac:dyDescent="0.3">
      <c r="A22" s="1">
        <v>1</v>
      </c>
      <c r="B22" s="4">
        <v>16.36</v>
      </c>
      <c r="C22" s="4">
        <v>4</v>
      </c>
      <c r="E22" s="3"/>
      <c r="F22" s="1"/>
    </row>
    <row r="23" spans="1:6" x14ac:dyDescent="0.3">
      <c r="A23" s="1">
        <v>2</v>
      </c>
      <c r="B23" s="4">
        <v>17.52</v>
      </c>
      <c r="C23" s="4">
        <v>4</v>
      </c>
      <c r="E23" s="3"/>
      <c r="F23" s="1"/>
    </row>
    <row r="24" spans="1:6" x14ac:dyDescent="0.3">
      <c r="A24" s="1">
        <v>3</v>
      </c>
      <c r="B24" s="4">
        <v>21.28</v>
      </c>
      <c r="C24" s="4">
        <v>4</v>
      </c>
      <c r="E24" s="3"/>
      <c r="F24" s="1"/>
    </row>
    <row r="25" spans="1:6" x14ac:dyDescent="0.3">
      <c r="A25" s="1">
        <v>4</v>
      </c>
      <c r="B25" s="4">
        <v>18.86</v>
      </c>
      <c r="C25" s="4">
        <v>4</v>
      </c>
      <c r="E25" s="3"/>
      <c r="F25" s="1"/>
    </row>
    <row r="26" spans="1:6" x14ac:dyDescent="0.3">
      <c r="A26" s="1">
        <v>5</v>
      </c>
      <c r="B26" s="4">
        <v>18.100000000000001</v>
      </c>
      <c r="C26" s="4">
        <v>4</v>
      </c>
      <c r="E26" s="3"/>
      <c r="F26" s="1"/>
    </row>
    <row r="27" spans="1:6" x14ac:dyDescent="0.3">
      <c r="A27" s="1">
        <v>6</v>
      </c>
      <c r="B27" s="4">
        <v>18.86</v>
      </c>
      <c r="C27" s="4">
        <v>4</v>
      </c>
    </row>
    <row r="28" spans="1:6" x14ac:dyDescent="0.3">
      <c r="A28" s="1">
        <v>7</v>
      </c>
      <c r="B28" s="4">
        <v>20.5</v>
      </c>
      <c r="C28" s="4">
        <v>4</v>
      </c>
    </row>
    <row r="29" spans="1:6" x14ac:dyDescent="0.3">
      <c r="A29" s="1">
        <v>8</v>
      </c>
      <c r="B29" s="4">
        <v>18</v>
      </c>
      <c r="C29" s="4">
        <v>4</v>
      </c>
    </row>
    <row r="30" spans="1:6" x14ac:dyDescent="0.3">
      <c r="A30" s="1">
        <v>9</v>
      </c>
      <c r="B30" s="4">
        <v>22.28</v>
      </c>
      <c r="C30" s="4">
        <v>4</v>
      </c>
    </row>
    <row r="31" spans="1:6" x14ac:dyDescent="0.3">
      <c r="A31" s="1">
        <v>10</v>
      </c>
      <c r="B31" s="4">
        <v>26.06</v>
      </c>
      <c r="C31" s="4">
        <v>4</v>
      </c>
    </row>
    <row r="32" spans="1:6" x14ac:dyDescent="0.3">
      <c r="A32" s="1">
        <v>1</v>
      </c>
      <c r="B32" s="4">
        <v>18.5</v>
      </c>
      <c r="C32" s="4">
        <v>5</v>
      </c>
    </row>
    <row r="33" spans="1:3" x14ac:dyDescent="0.3">
      <c r="A33" s="1">
        <v>2</v>
      </c>
      <c r="B33" s="4">
        <v>19.66</v>
      </c>
      <c r="C33" s="4">
        <v>5</v>
      </c>
    </row>
    <row r="34" spans="1:3" x14ac:dyDescent="0.3">
      <c r="A34" s="1">
        <v>3</v>
      </c>
      <c r="B34" s="4">
        <v>23.58</v>
      </c>
      <c r="C34" s="4">
        <v>5</v>
      </c>
    </row>
    <row r="35" spans="1:3" x14ac:dyDescent="0.3">
      <c r="A35" s="1">
        <v>4</v>
      </c>
      <c r="B35" s="4">
        <v>21.62</v>
      </c>
      <c r="C35" s="4">
        <v>5</v>
      </c>
    </row>
    <row r="36" spans="1:3" x14ac:dyDescent="0.3">
      <c r="A36" s="1">
        <v>5</v>
      </c>
      <c r="B36" s="4">
        <v>21.16</v>
      </c>
      <c r="C36" s="4">
        <v>5</v>
      </c>
    </row>
    <row r="37" spans="1:3" x14ac:dyDescent="0.3">
      <c r="A37" s="1">
        <v>6</v>
      </c>
      <c r="B37" s="4">
        <v>21.56</v>
      </c>
      <c r="C37" s="4">
        <v>5</v>
      </c>
    </row>
    <row r="38" spans="1:3" x14ac:dyDescent="0.3">
      <c r="A38" s="1">
        <v>7</v>
      </c>
      <c r="B38" s="4">
        <v>23.48</v>
      </c>
      <c r="C38" s="4">
        <v>5</v>
      </c>
    </row>
    <row r="39" spans="1:3" x14ac:dyDescent="0.3">
      <c r="A39" s="1">
        <v>8</v>
      </c>
      <c r="B39" s="4">
        <v>21.68</v>
      </c>
      <c r="C39" s="4">
        <v>5</v>
      </c>
    </row>
    <row r="40" spans="1:3" x14ac:dyDescent="0.3">
      <c r="A40" s="1">
        <v>9</v>
      </c>
      <c r="B40" s="4">
        <v>24.26</v>
      </c>
      <c r="C40" s="4">
        <v>5</v>
      </c>
    </row>
    <row r="41" spans="1:3" x14ac:dyDescent="0.3">
      <c r="A41" s="1">
        <v>10</v>
      </c>
      <c r="B41" s="4">
        <v>29.7</v>
      </c>
      <c r="C41" s="4">
        <v>5</v>
      </c>
    </row>
    <row r="42" spans="1:3" x14ac:dyDescent="0.3">
      <c r="A42" s="1">
        <v>1</v>
      </c>
      <c r="B42" s="4">
        <v>21.02</v>
      </c>
      <c r="C42" s="4">
        <v>6</v>
      </c>
    </row>
    <row r="43" spans="1:3" x14ac:dyDescent="0.3">
      <c r="A43" s="1">
        <v>2</v>
      </c>
      <c r="B43" s="4">
        <v>21.02</v>
      </c>
      <c r="C43" s="4">
        <v>6</v>
      </c>
    </row>
    <row r="44" spans="1:3" x14ac:dyDescent="0.3">
      <c r="A44" s="1">
        <v>3</v>
      </c>
      <c r="B44" s="4">
        <v>24.26</v>
      </c>
      <c r="C44" s="4">
        <v>6</v>
      </c>
    </row>
    <row r="45" spans="1:3" x14ac:dyDescent="0.3">
      <c r="A45" s="1">
        <v>4</v>
      </c>
      <c r="B45" s="4">
        <v>24.22</v>
      </c>
      <c r="C45" s="4">
        <v>6</v>
      </c>
    </row>
    <row r="46" spans="1:3" x14ac:dyDescent="0.3">
      <c r="A46" s="1">
        <v>5</v>
      </c>
      <c r="B46" s="4">
        <v>21.78</v>
      </c>
      <c r="C46" s="4">
        <v>6</v>
      </c>
    </row>
    <row r="47" spans="1:3" x14ac:dyDescent="0.3">
      <c r="A47" s="1">
        <v>6</v>
      </c>
      <c r="B47" s="4">
        <v>21.2</v>
      </c>
      <c r="C47" s="4">
        <v>6</v>
      </c>
    </row>
    <row r="48" spans="1:3" x14ac:dyDescent="0.3">
      <c r="A48" s="1">
        <v>7</v>
      </c>
      <c r="B48" s="4">
        <v>26.26</v>
      </c>
      <c r="C48" s="4">
        <v>6</v>
      </c>
    </row>
    <row r="49" spans="1:3" x14ac:dyDescent="0.3">
      <c r="A49" s="1">
        <v>8</v>
      </c>
      <c r="B49" s="4">
        <v>30.06</v>
      </c>
      <c r="C49" s="4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D180-8962-462E-A069-EA2D5030130E}">
  <dimension ref="A1:V49"/>
  <sheetViews>
    <sheetView showGridLines="0" workbookViewId="0">
      <selection activeCell="B4" sqref="B4"/>
    </sheetView>
  </sheetViews>
  <sheetFormatPr defaultRowHeight="14.4" x14ac:dyDescent="0.3"/>
  <cols>
    <col min="1" max="1" width="9.109375" style="1"/>
    <col min="2" max="2" width="9.6640625" style="1" bestFit="1" customWidth="1"/>
    <col min="3" max="3" width="11.109375" style="1" bestFit="1" customWidth="1"/>
    <col min="5" max="5" width="10.5546875" customWidth="1"/>
    <col min="6" max="6" width="12.109375" customWidth="1"/>
    <col min="8" max="8" width="14.109375" bestFit="1" customWidth="1"/>
    <col min="24" max="24" width="10.5546875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E1" s="24" t="s">
        <v>4</v>
      </c>
      <c r="F1" s="21"/>
      <c r="H1" s="6" t="s">
        <v>77</v>
      </c>
      <c r="I1" s="1">
        <v>5</v>
      </c>
      <c r="K1" s="18" t="s">
        <v>78</v>
      </c>
      <c r="L1" s="10"/>
      <c r="M1" s="7" t="s">
        <v>79</v>
      </c>
      <c r="N1" s="8"/>
      <c r="O1" s="7"/>
      <c r="P1" s="7" t="s">
        <v>80</v>
      </c>
      <c r="Q1" s="7"/>
      <c r="R1" s="10"/>
      <c r="S1" s="7" t="s">
        <v>81</v>
      </c>
      <c r="T1" s="8"/>
    </row>
    <row r="2" spans="1:22" x14ac:dyDescent="0.3">
      <c r="A2" s="1">
        <v>1</v>
      </c>
      <c r="B2" s="4">
        <v>11.2</v>
      </c>
      <c r="C2" s="4">
        <v>2</v>
      </c>
      <c r="E2" s="41" t="s">
        <v>82</v>
      </c>
      <c r="F2" s="42">
        <v>3.4178831989227549</v>
      </c>
      <c r="H2" s="6" t="s">
        <v>83</v>
      </c>
      <c r="I2" s="4">
        <v>18.5</v>
      </c>
      <c r="K2" s="29" t="s">
        <v>84</v>
      </c>
      <c r="L2" s="29" t="s">
        <v>85</v>
      </c>
      <c r="M2" s="6" t="s">
        <v>86</v>
      </c>
      <c r="N2" s="35" t="s">
        <v>87</v>
      </c>
      <c r="O2" s="6" t="s">
        <v>85</v>
      </c>
      <c r="P2" s="6" t="s">
        <v>86</v>
      </c>
      <c r="Q2" s="6" t="s">
        <v>87</v>
      </c>
      <c r="R2" s="18" t="s">
        <v>85</v>
      </c>
      <c r="S2" s="31" t="s">
        <v>86</v>
      </c>
      <c r="T2" s="32" t="s">
        <v>87</v>
      </c>
    </row>
    <row r="3" spans="1:22" x14ac:dyDescent="0.3">
      <c r="A3" s="1">
        <v>2</v>
      </c>
      <c r="B3" s="4">
        <v>11.12</v>
      </c>
      <c r="C3" s="4">
        <v>2</v>
      </c>
      <c r="E3" s="1" t="s">
        <v>88</v>
      </c>
      <c r="F3" s="12">
        <v>-1.6425533195841069</v>
      </c>
      <c r="H3" s="6" t="s">
        <v>89</v>
      </c>
      <c r="I3" s="4">
        <v>29.7</v>
      </c>
      <c r="K3" s="36" t="s">
        <v>90</v>
      </c>
      <c r="L3" s="37">
        <v>29.7</v>
      </c>
      <c r="M3" s="38">
        <v>27.833333333333332</v>
      </c>
      <c r="N3" s="39">
        <v>25.966666666666665</v>
      </c>
      <c r="O3" s="38">
        <v>25.966666666666665</v>
      </c>
      <c r="P3" s="38">
        <v>24.099999999999998</v>
      </c>
      <c r="Q3" s="38">
        <v>22.233333333333331</v>
      </c>
      <c r="R3" s="37">
        <v>22.233333333333331</v>
      </c>
      <c r="S3" s="38">
        <v>20.366666666666664</v>
      </c>
      <c r="T3" s="39">
        <v>18.499999999999996</v>
      </c>
      <c r="U3" s="20"/>
      <c r="V3" s="25"/>
    </row>
    <row r="4" spans="1:22" x14ac:dyDescent="0.3">
      <c r="A4" s="1">
        <v>3</v>
      </c>
      <c r="B4" s="4">
        <v>14.3</v>
      </c>
      <c r="C4" s="4">
        <v>2</v>
      </c>
      <c r="H4" s="6" t="s">
        <v>91</v>
      </c>
      <c r="I4" s="4">
        <v>11.2</v>
      </c>
      <c r="K4" s="43" t="s">
        <v>82</v>
      </c>
      <c r="L4" s="46">
        <f>LN(L$3)-$F$3*(1/$I$1)</f>
        <v>3.7196577097254755</v>
      </c>
      <c r="M4" s="44">
        <f>LN(M$3)-$F$3*(1/$I$1)</f>
        <v>3.6547450071055216</v>
      </c>
      <c r="N4" s="45">
        <f t="shared" ref="N4:S4" si="0">LN(N$3)-$F$3*(1/$I$1)</f>
        <v>3.5853243281254139</v>
      </c>
      <c r="O4" s="46">
        <f t="shared" si="0"/>
        <v>3.5853243281254139</v>
      </c>
      <c r="P4" s="44">
        <f t="shared" si="0"/>
        <v>3.5107225044134305</v>
      </c>
      <c r="Q4" s="45">
        <f t="shared" si="0"/>
        <v>3.43010332817029</v>
      </c>
      <c r="R4" s="46">
        <f t="shared" si="0"/>
        <v>3.43010332817029</v>
      </c>
      <c r="S4" s="44">
        <f t="shared" si="0"/>
        <v>3.3424102414262613</v>
      </c>
      <c r="T4" s="45">
        <f>LN(T$3)-$F$3*(1/$I$1)</f>
        <v>3.2462813960011001</v>
      </c>
      <c r="U4" t="s">
        <v>12</v>
      </c>
    </row>
    <row r="5" spans="1:22" x14ac:dyDescent="0.3">
      <c r="A5" s="1">
        <v>4</v>
      </c>
      <c r="B5" s="4">
        <v>15.62</v>
      </c>
      <c r="C5" s="4">
        <v>2</v>
      </c>
      <c r="E5" s="3"/>
      <c r="F5" s="1"/>
      <c r="H5" s="6" t="s">
        <v>93</v>
      </c>
      <c r="I5" s="1">
        <v>3</v>
      </c>
      <c r="K5" s="29">
        <v>2</v>
      </c>
      <c r="L5" s="40">
        <f>EXP(($I$10+$I$11*L$3)+$F$3*(1/$K5))</f>
        <v>18.444505432431917</v>
      </c>
      <c r="M5" s="27">
        <f t="shared" ref="M5:T11" si="1">EXP(($I$10+$I$11*M$3)+$F$3*(1/$K5))</f>
        <v>17.051846582847993</v>
      </c>
      <c r="N5" s="28">
        <f t="shared" si="1"/>
        <v>15.764340927988078</v>
      </c>
      <c r="O5" s="40">
        <f t="shared" si="1"/>
        <v>15.764340927988078</v>
      </c>
      <c r="P5" s="27">
        <f t="shared" si="1"/>
        <v>14.574048839016308</v>
      </c>
      <c r="Q5" s="28">
        <f t="shared" si="1"/>
        <v>13.473630171555831</v>
      </c>
      <c r="R5" s="40">
        <f t="shared" si="1"/>
        <v>13.473630171555831</v>
      </c>
      <c r="S5" s="27">
        <f t="shared" si="1"/>
        <v>12.456299001404524</v>
      </c>
      <c r="T5" s="28">
        <f t="shared" si="1"/>
        <v>11.51578177794639</v>
      </c>
      <c r="U5" t="s">
        <v>37</v>
      </c>
    </row>
    <row r="6" spans="1:22" x14ac:dyDescent="0.3">
      <c r="A6" s="1">
        <v>5</v>
      </c>
      <c r="B6" s="4">
        <v>13.56</v>
      </c>
      <c r="C6" s="4">
        <v>2</v>
      </c>
      <c r="E6" s="3"/>
      <c r="F6" s="1"/>
      <c r="H6" s="6" t="s">
        <v>94</v>
      </c>
      <c r="I6" s="3">
        <v>3.7333333333333329</v>
      </c>
      <c r="K6" s="29">
        <v>3</v>
      </c>
      <c r="L6" s="13">
        <f t="shared" ref="L6:L11" si="2">EXP(($I$10+$I$11*L$3)+$F$3*(1/$K6))</f>
        <v>24.252638223553358</v>
      </c>
      <c r="M6" s="4">
        <f t="shared" si="1"/>
        <v>22.421434271161147</v>
      </c>
      <c r="N6" s="14">
        <f t="shared" si="1"/>
        <v>20.72849601524068</v>
      </c>
      <c r="O6" s="13">
        <f t="shared" si="1"/>
        <v>20.72849601524068</v>
      </c>
      <c r="P6" s="4">
        <f t="shared" si="1"/>
        <v>19.163383655901939</v>
      </c>
      <c r="Q6" s="14">
        <f t="shared" si="1"/>
        <v>17.716445654005895</v>
      </c>
      <c r="R6" s="13">
        <f t="shared" si="1"/>
        <v>17.716445654005895</v>
      </c>
      <c r="S6" s="4">
        <f t="shared" si="1"/>
        <v>16.378759213260242</v>
      </c>
      <c r="T6" s="14">
        <f t="shared" si="1"/>
        <v>15.142075256235128</v>
      </c>
    </row>
    <row r="7" spans="1:22" x14ac:dyDescent="0.3">
      <c r="A7" s="1">
        <v>6</v>
      </c>
      <c r="B7" s="4">
        <v>15.14</v>
      </c>
      <c r="C7" s="4">
        <v>2</v>
      </c>
      <c r="E7" s="3"/>
      <c r="F7" s="1"/>
      <c r="K7" s="29">
        <v>4</v>
      </c>
      <c r="L7" s="13">
        <f t="shared" si="2"/>
        <v>27.810255275909569</v>
      </c>
      <c r="M7" s="4">
        <f t="shared" si="1"/>
        <v>25.710432200627636</v>
      </c>
      <c r="N7" s="14">
        <f t="shared" si="1"/>
        <v>23.769157002872966</v>
      </c>
      <c r="O7" s="13">
        <f t="shared" si="1"/>
        <v>23.769157002872966</v>
      </c>
      <c r="P7" s="4">
        <f t="shared" si="1"/>
        <v>21.97445846956369</v>
      </c>
      <c r="Q7" s="14">
        <f t="shared" si="1"/>
        <v>20.315269278258974</v>
      </c>
      <c r="R7" s="13">
        <f t="shared" si="1"/>
        <v>20.315269278258974</v>
      </c>
      <c r="S7" s="4">
        <f t="shared" si="1"/>
        <v>18.78135774857925</v>
      </c>
      <c r="T7" s="14">
        <f t="shared" si="1"/>
        <v>17.363264746759373</v>
      </c>
    </row>
    <row r="8" spans="1:22" x14ac:dyDescent="0.3">
      <c r="A8" s="1">
        <v>7</v>
      </c>
      <c r="B8" s="4">
        <v>15.74</v>
      </c>
      <c r="C8" s="4">
        <v>2</v>
      </c>
      <c r="E8" s="3"/>
      <c r="F8" s="1"/>
      <c r="K8" s="30">
        <v>5</v>
      </c>
      <c r="L8" s="26">
        <f t="shared" si="2"/>
        <v>30.190657235875484</v>
      </c>
      <c r="M8" s="33">
        <f t="shared" si="1"/>
        <v>27.911101076003256</v>
      </c>
      <c r="N8" s="34">
        <f t="shared" si="1"/>
        <v>25.803663603227289</v>
      </c>
      <c r="O8" s="26">
        <f t="shared" si="1"/>
        <v>25.803663603227289</v>
      </c>
      <c r="P8" s="33">
        <f t="shared" si="1"/>
        <v>23.855348935731055</v>
      </c>
      <c r="Q8" s="34">
        <f t="shared" si="1"/>
        <v>22.054142450311208</v>
      </c>
      <c r="R8" s="26">
        <f t="shared" si="1"/>
        <v>22.054142450311208</v>
      </c>
      <c r="S8" s="33">
        <f t="shared" si="1"/>
        <v>20.388936692101797</v>
      </c>
      <c r="T8" s="34">
        <f t="shared" si="1"/>
        <v>18.849462878511027</v>
      </c>
    </row>
    <row r="9" spans="1:22" x14ac:dyDescent="0.3">
      <c r="A9" s="1">
        <v>8</v>
      </c>
      <c r="B9" s="4">
        <v>15.04</v>
      </c>
      <c r="C9" s="4">
        <v>2</v>
      </c>
      <c r="E9" s="3"/>
      <c r="F9" s="1"/>
      <c r="H9" s="6" t="s">
        <v>96</v>
      </c>
      <c r="I9" t="s">
        <v>35</v>
      </c>
      <c r="K9" s="29">
        <v>6</v>
      </c>
      <c r="L9" s="13">
        <f t="shared" si="2"/>
        <v>31.889738814482694</v>
      </c>
      <c r="M9" s="4">
        <f t="shared" si="1"/>
        <v>29.481892904295357</v>
      </c>
      <c r="N9" s="14">
        <f t="shared" si="1"/>
        <v>27.255852243782041</v>
      </c>
      <c r="O9" s="13">
        <f t="shared" si="1"/>
        <v>27.255852243782041</v>
      </c>
      <c r="P9" s="4">
        <f t="shared" si="1"/>
        <v>25.197889563822564</v>
      </c>
      <c r="Q9" s="14">
        <f t="shared" si="1"/>
        <v>23.295314077564658</v>
      </c>
      <c r="R9" s="13">
        <f t="shared" si="1"/>
        <v>23.295314077564658</v>
      </c>
      <c r="S9" s="4">
        <f t="shared" si="1"/>
        <v>21.536393220466909</v>
      </c>
      <c r="T9" s="14">
        <f t="shared" si="1"/>
        <v>19.910280299387207</v>
      </c>
    </row>
    <row r="10" spans="1:22" x14ac:dyDescent="0.3">
      <c r="A10" s="1">
        <v>9</v>
      </c>
      <c r="B10" s="4">
        <v>12.3</v>
      </c>
      <c r="C10" s="4">
        <v>2</v>
      </c>
      <c r="E10" s="3"/>
      <c r="F10" s="1"/>
      <c r="H10" s="6" t="s">
        <v>97</v>
      </c>
      <c r="I10">
        <f>INTERCEPT(L4:T4,L3:T3)</f>
        <v>2.4869245696787545</v>
      </c>
      <c r="K10" s="29">
        <v>7</v>
      </c>
      <c r="L10" s="13">
        <f t="shared" si="2"/>
        <v>33.161604083867289</v>
      </c>
      <c r="M10" s="4">
        <f t="shared" si="1"/>
        <v>30.657725540580866</v>
      </c>
      <c r="N10" s="14">
        <f t="shared" si="1"/>
        <v>28.342903224601024</v>
      </c>
      <c r="O10" s="13">
        <f t="shared" si="1"/>
        <v>28.342903224601024</v>
      </c>
      <c r="P10" s="4">
        <f t="shared" si="1"/>
        <v>26.202862379199143</v>
      </c>
      <c r="Q10" s="14">
        <f t="shared" si="1"/>
        <v>24.224406068158348</v>
      </c>
      <c r="R10" s="13">
        <f t="shared" si="1"/>
        <v>24.224406068158348</v>
      </c>
      <c r="S10" s="4">
        <f t="shared" si="1"/>
        <v>22.395333794557846</v>
      </c>
      <c r="T10" s="14">
        <f t="shared" si="1"/>
        <v>20.704366264274523</v>
      </c>
    </row>
    <row r="11" spans="1:22" x14ac:dyDescent="0.3">
      <c r="A11" s="1">
        <v>10</v>
      </c>
      <c r="B11" s="4">
        <v>12.6</v>
      </c>
      <c r="C11" s="4">
        <v>2</v>
      </c>
      <c r="E11" s="3"/>
      <c r="F11" s="1"/>
      <c r="H11" s="6" t="s">
        <v>98</v>
      </c>
      <c r="I11">
        <f>SLOPE(L4:T4,L3:T3)</f>
        <v>4.205786557931953E-2</v>
      </c>
      <c r="K11" s="9">
        <v>8</v>
      </c>
      <c r="L11" s="15">
        <f t="shared" si="2"/>
        <v>34.148682737639788</v>
      </c>
      <c r="M11" s="16">
        <f t="shared" si="1"/>
        <v>31.570274474516339</v>
      </c>
      <c r="N11" s="17">
        <f t="shared" si="1"/>
        <v>29.186549831326953</v>
      </c>
      <c r="O11" s="15">
        <f t="shared" si="1"/>
        <v>29.186549831326953</v>
      </c>
      <c r="P11" s="16">
        <f t="shared" si="1"/>
        <v>26.982809153089633</v>
      </c>
      <c r="Q11" s="17">
        <f t="shared" si="1"/>
        <v>24.94546268742571</v>
      </c>
      <c r="R11" s="15">
        <f t="shared" si="1"/>
        <v>24.94546268742571</v>
      </c>
      <c r="S11" s="16">
        <f t="shared" si="1"/>
        <v>23.061946780974633</v>
      </c>
      <c r="T11" s="17">
        <f t="shared" si="1"/>
        <v>21.320646403427837</v>
      </c>
    </row>
    <row r="12" spans="1:22" x14ac:dyDescent="0.3">
      <c r="A12" s="1">
        <v>1</v>
      </c>
      <c r="B12" s="4">
        <v>15</v>
      </c>
      <c r="C12" s="4">
        <v>3</v>
      </c>
      <c r="E12" s="3"/>
      <c r="F12" s="1"/>
      <c r="K12" s="6"/>
      <c r="L12" s="4"/>
      <c r="M12" s="4"/>
      <c r="N12" s="4"/>
      <c r="O12" s="4"/>
      <c r="P12" s="4"/>
      <c r="Q12" s="4"/>
      <c r="R12" s="4"/>
      <c r="S12" s="4"/>
      <c r="T12" s="4"/>
    </row>
    <row r="13" spans="1:22" x14ac:dyDescent="0.3">
      <c r="A13" s="1">
        <v>2</v>
      </c>
      <c r="B13" s="4">
        <v>15.34</v>
      </c>
      <c r="C13" s="4">
        <v>3</v>
      </c>
      <c r="E13" s="3"/>
      <c r="F13" s="1"/>
      <c r="L13" s="4"/>
      <c r="M13" s="4"/>
      <c r="N13" s="4"/>
      <c r="O13" s="4"/>
      <c r="P13" s="4"/>
      <c r="Q13" s="4"/>
      <c r="R13" s="4"/>
      <c r="S13" s="4"/>
      <c r="T13" s="4"/>
    </row>
    <row r="14" spans="1:22" x14ac:dyDescent="0.3">
      <c r="A14" s="1">
        <v>3</v>
      </c>
      <c r="B14" s="4">
        <v>17.5</v>
      </c>
      <c r="C14" s="4">
        <v>3</v>
      </c>
      <c r="E14" s="3"/>
      <c r="F14" s="1"/>
    </row>
    <row r="15" spans="1:22" x14ac:dyDescent="0.3">
      <c r="A15" s="1">
        <v>4</v>
      </c>
      <c r="B15" s="4">
        <v>19.440000000000001</v>
      </c>
      <c r="C15" s="4">
        <v>3</v>
      </c>
      <c r="E15" s="3"/>
      <c r="F15" s="1"/>
    </row>
    <row r="16" spans="1:22" x14ac:dyDescent="0.3">
      <c r="A16" s="1">
        <v>5</v>
      </c>
      <c r="B16" s="4">
        <v>16.54</v>
      </c>
      <c r="C16" s="4">
        <v>3</v>
      </c>
      <c r="E16" s="3"/>
      <c r="F16" s="1"/>
    </row>
    <row r="17" spans="1:6" x14ac:dyDescent="0.3">
      <c r="A17" s="1">
        <v>6</v>
      </c>
      <c r="B17" s="4">
        <v>17.239999999999998</v>
      </c>
      <c r="C17" s="4">
        <v>3</v>
      </c>
      <c r="E17" s="3"/>
      <c r="F17" s="1"/>
    </row>
    <row r="18" spans="1:6" x14ac:dyDescent="0.3">
      <c r="A18" s="1">
        <v>7</v>
      </c>
      <c r="B18" s="4">
        <v>16.3</v>
      </c>
      <c r="C18" s="4">
        <v>3</v>
      </c>
      <c r="E18" s="3"/>
      <c r="F18" s="1"/>
    </row>
    <row r="19" spans="1:6" x14ac:dyDescent="0.3">
      <c r="A19" s="1">
        <v>8</v>
      </c>
      <c r="B19" s="4">
        <v>15.26</v>
      </c>
      <c r="C19" s="4">
        <v>3</v>
      </c>
      <c r="E19" s="3"/>
      <c r="F19" s="1"/>
    </row>
    <row r="20" spans="1:6" x14ac:dyDescent="0.3">
      <c r="A20" s="1">
        <v>9</v>
      </c>
      <c r="B20" s="4">
        <v>20.8</v>
      </c>
      <c r="C20" s="4">
        <v>3</v>
      </c>
      <c r="E20" s="3"/>
      <c r="F20" s="1"/>
    </row>
    <row r="21" spans="1:6" x14ac:dyDescent="0.3">
      <c r="A21" s="1">
        <v>10</v>
      </c>
      <c r="B21" s="4">
        <v>23.3</v>
      </c>
      <c r="C21" s="4">
        <v>3</v>
      </c>
      <c r="E21" s="3"/>
      <c r="F21" s="1"/>
    </row>
    <row r="22" spans="1:6" x14ac:dyDescent="0.3">
      <c r="A22" s="1">
        <v>1</v>
      </c>
      <c r="B22" s="4">
        <v>16.36</v>
      </c>
      <c r="C22" s="4">
        <v>4</v>
      </c>
      <c r="E22" s="3"/>
      <c r="F22" s="1"/>
    </row>
    <row r="23" spans="1:6" x14ac:dyDescent="0.3">
      <c r="A23" s="1">
        <v>2</v>
      </c>
      <c r="B23" s="4">
        <v>17.52</v>
      </c>
      <c r="C23" s="4">
        <v>4</v>
      </c>
      <c r="E23" s="3"/>
      <c r="F23" s="1"/>
    </row>
    <row r="24" spans="1:6" x14ac:dyDescent="0.3">
      <c r="A24" s="1">
        <v>3</v>
      </c>
      <c r="B24" s="4">
        <v>21.28</v>
      </c>
      <c r="C24" s="4">
        <v>4</v>
      </c>
      <c r="E24" s="3"/>
      <c r="F24" s="1"/>
    </row>
    <row r="25" spans="1:6" x14ac:dyDescent="0.3">
      <c r="A25" s="1">
        <v>4</v>
      </c>
      <c r="B25" s="4">
        <v>18.86</v>
      </c>
      <c r="C25" s="4">
        <v>4</v>
      </c>
      <c r="E25" s="3"/>
      <c r="F25" s="1"/>
    </row>
    <row r="26" spans="1:6" x14ac:dyDescent="0.3">
      <c r="A26" s="1">
        <v>5</v>
      </c>
      <c r="B26" s="4">
        <v>18.100000000000001</v>
      </c>
      <c r="C26" s="4">
        <v>4</v>
      </c>
      <c r="E26" s="3"/>
      <c r="F26" s="1"/>
    </row>
    <row r="27" spans="1:6" x14ac:dyDescent="0.3">
      <c r="A27" s="1">
        <v>6</v>
      </c>
      <c r="B27" s="4">
        <v>18.86</v>
      </c>
      <c r="C27" s="4">
        <v>4</v>
      </c>
    </row>
    <row r="28" spans="1:6" x14ac:dyDescent="0.3">
      <c r="A28" s="1">
        <v>7</v>
      </c>
      <c r="B28" s="4">
        <v>20.5</v>
      </c>
      <c r="C28" s="4">
        <v>4</v>
      </c>
    </row>
    <row r="29" spans="1:6" x14ac:dyDescent="0.3">
      <c r="A29" s="1">
        <v>8</v>
      </c>
      <c r="B29" s="4">
        <v>18</v>
      </c>
      <c r="C29" s="4">
        <v>4</v>
      </c>
    </row>
    <row r="30" spans="1:6" x14ac:dyDescent="0.3">
      <c r="A30" s="1">
        <v>9</v>
      </c>
      <c r="B30" s="4">
        <v>22.28</v>
      </c>
      <c r="C30" s="4">
        <v>4</v>
      </c>
    </row>
    <row r="31" spans="1:6" x14ac:dyDescent="0.3">
      <c r="A31" s="1">
        <v>10</v>
      </c>
      <c r="B31" s="4">
        <v>26.06</v>
      </c>
      <c r="C31" s="4">
        <v>4</v>
      </c>
    </row>
    <row r="32" spans="1:6" x14ac:dyDescent="0.3">
      <c r="A32" s="1">
        <v>1</v>
      </c>
      <c r="B32" s="4">
        <v>18.5</v>
      </c>
      <c r="C32" s="4">
        <v>5</v>
      </c>
    </row>
    <row r="33" spans="1:3" x14ac:dyDescent="0.3">
      <c r="A33" s="1">
        <v>2</v>
      </c>
      <c r="B33" s="4">
        <v>19.66</v>
      </c>
      <c r="C33" s="4">
        <v>5</v>
      </c>
    </row>
    <row r="34" spans="1:3" x14ac:dyDescent="0.3">
      <c r="A34" s="1">
        <v>3</v>
      </c>
      <c r="B34" s="4">
        <v>23.58</v>
      </c>
      <c r="C34" s="4">
        <v>5</v>
      </c>
    </row>
    <row r="35" spans="1:3" x14ac:dyDescent="0.3">
      <c r="A35" s="1">
        <v>4</v>
      </c>
      <c r="B35" s="4">
        <v>21.62</v>
      </c>
      <c r="C35" s="4">
        <v>5</v>
      </c>
    </row>
    <row r="36" spans="1:3" x14ac:dyDescent="0.3">
      <c r="A36" s="1">
        <v>5</v>
      </c>
      <c r="B36" s="4">
        <v>21.16</v>
      </c>
      <c r="C36" s="4">
        <v>5</v>
      </c>
    </row>
    <row r="37" spans="1:3" x14ac:dyDescent="0.3">
      <c r="A37" s="1">
        <v>6</v>
      </c>
      <c r="B37" s="4">
        <v>21.56</v>
      </c>
      <c r="C37" s="4">
        <v>5</v>
      </c>
    </row>
    <row r="38" spans="1:3" x14ac:dyDescent="0.3">
      <c r="A38" s="1">
        <v>7</v>
      </c>
      <c r="B38" s="4">
        <v>23.48</v>
      </c>
      <c r="C38" s="4">
        <v>5</v>
      </c>
    </row>
    <row r="39" spans="1:3" x14ac:dyDescent="0.3">
      <c r="A39" s="1">
        <v>8</v>
      </c>
      <c r="B39" s="4">
        <v>21.68</v>
      </c>
      <c r="C39" s="4">
        <v>5</v>
      </c>
    </row>
    <row r="40" spans="1:3" x14ac:dyDescent="0.3">
      <c r="A40" s="1">
        <v>9</v>
      </c>
      <c r="B40" s="4">
        <v>24.26</v>
      </c>
      <c r="C40" s="4">
        <v>5</v>
      </c>
    </row>
    <row r="41" spans="1:3" x14ac:dyDescent="0.3">
      <c r="A41" s="1">
        <v>10</v>
      </c>
      <c r="B41" s="4">
        <v>29.7</v>
      </c>
      <c r="C41" s="4">
        <v>5</v>
      </c>
    </row>
    <row r="42" spans="1:3" x14ac:dyDescent="0.3">
      <c r="A42" s="1">
        <v>1</v>
      </c>
      <c r="B42" s="4">
        <v>21.02</v>
      </c>
      <c r="C42" s="4">
        <v>6</v>
      </c>
    </row>
    <row r="43" spans="1:3" x14ac:dyDescent="0.3">
      <c r="A43" s="1">
        <v>2</v>
      </c>
      <c r="B43" s="4">
        <v>21.02</v>
      </c>
      <c r="C43" s="4">
        <v>6</v>
      </c>
    </row>
    <row r="44" spans="1:3" x14ac:dyDescent="0.3">
      <c r="A44" s="1">
        <v>3</v>
      </c>
      <c r="B44" s="4">
        <v>24.26</v>
      </c>
      <c r="C44" s="4">
        <v>6</v>
      </c>
    </row>
    <row r="45" spans="1:3" x14ac:dyDescent="0.3">
      <c r="A45" s="1">
        <v>4</v>
      </c>
      <c r="B45" s="4">
        <v>24.22</v>
      </c>
      <c r="C45" s="4">
        <v>6</v>
      </c>
    </row>
    <row r="46" spans="1:3" x14ac:dyDescent="0.3">
      <c r="A46" s="1">
        <v>5</v>
      </c>
      <c r="B46" s="4">
        <v>21.78</v>
      </c>
      <c r="C46" s="4">
        <v>6</v>
      </c>
    </row>
    <row r="47" spans="1:3" x14ac:dyDescent="0.3">
      <c r="A47" s="1">
        <v>6</v>
      </c>
      <c r="B47" s="4">
        <v>21.2</v>
      </c>
      <c r="C47" s="4">
        <v>6</v>
      </c>
    </row>
    <row r="48" spans="1:3" x14ac:dyDescent="0.3">
      <c r="A48" s="1">
        <v>7</v>
      </c>
      <c r="B48" s="4">
        <v>26.26</v>
      </c>
      <c r="C48" s="4">
        <v>6</v>
      </c>
    </row>
    <row r="49" spans="1:3" x14ac:dyDescent="0.3">
      <c r="A49" s="1">
        <v>8</v>
      </c>
      <c r="B49" s="4">
        <v>30.06</v>
      </c>
      <c r="C49" s="4"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</vt:lpstr>
      <vt:lpstr>Ajuste</vt:lpstr>
      <vt:lpstr>Curva-guia</vt:lpstr>
      <vt:lpstr>Diferença Algébrica anamórfica</vt:lpstr>
      <vt:lpstr>Diferença Algébrica polimórfica</vt:lpstr>
      <vt:lpstr>Hammer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2026-03-17T17:16:00Z</dcterms:modified>
  <cp:category/>
  <cp:contentStatus/>
</cp:coreProperties>
</file>